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esktop\DATA ANALYTICS PROJECTS\"/>
    </mc:Choice>
  </mc:AlternateContent>
  <xr:revisionPtr revIDLastSave="0" documentId="13_ncr:1_{85341A56-88B2-4CB0-9E30-3C8BCF5E9E0B}" xr6:coauthVersionLast="47" xr6:coauthVersionMax="47" xr10:uidLastSave="{00000000-0000-0000-0000-000000000000}"/>
  <bookViews>
    <workbookView xWindow="-120" yWindow="-120" windowWidth="20730" windowHeight="11160" firstSheet="1" activeTab="3" xr2:uid="{00000000-000D-0000-FFFF-FFFF00000000}"/>
  </bookViews>
  <sheets>
    <sheet name="PIVOT TABLES" sheetId="3" r:id="rId1"/>
    <sheet name="DASHBOARD" sheetId="4" r:id="rId2"/>
    <sheet name="Cleaned Readmission_Data" sheetId="1" r:id="rId3"/>
    <sheet name="Hospital readmission dataset" sheetId="5" r:id="rId4"/>
  </sheets>
  <definedNames>
    <definedName name="Slicer_Admission_month">#N/A</definedName>
    <definedName name="Slicer_Disease">#N/A</definedName>
    <definedName name="Slicer_Gender">#N/A</definedName>
    <definedName name="Slicer_Hospital">#N/A</definedName>
    <definedName name="Slicer_Insurance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Q2" i="1"/>
  <c r="P2" i="1"/>
  <c r="R2" i="1"/>
  <c r="S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<sst xmlns="http://schemas.openxmlformats.org/spreadsheetml/2006/main" count="12090" uniqueCount="1056">
  <si>
    <t>Patient_ID</t>
  </si>
  <si>
    <t>Age</t>
  </si>
  <si>
    <t>Gender</t>
  </si>
  <si>
    <t>Disease</t>
  </si>
  <si>
    <t>Admission_Date</t>
  </si>
  <si>
    <t>Discharge_Date</t>
  </si>
  <si>
    <t>Length_of_Stay</t>
  </si>
  <si>
    <t>Readmitted</t>
  </si>
  <si>
    <t>Readmission_Days</t>
  </si>
  <si>
    <t>Hospital</t>
  </si>
  <si>
    <t>Insurance_Type</t>
  </si>
  <si>
    <t>Treatment_Cost_USD</t>
  </si>
  <si>
    <t>RD0001</t>
  </si>
  <si>
    <t>Male</t>
  </si>
  <si>
    <t>Hypertension</t>
  </si>
  <si>
    <t>Yes</t>
  </si>
  <si>
    <t>City General</t>
  </si>
  <si>
    <t>Self-Pay</t>
  </si>
  <si>
    <t>RD0002</t>
  </si>
  <si>
    <t>Diabetes</t>
  </si>
  <si>
    <t>No</t>
  </si>
  <si>
    <t>Sunrise Hospital</t>
  </si>
  <si>
    <t>Private</t>
  </si>
  <si>
    <t>RD0003</t>
  </si>
  <si>
    <t>Female</t>
  </si>
  <si>
    <t>Hope Medical Center</t>
  </si>
  <si>
    <t>RD0004</t>
  </si>
  <si>
    <t>RD0005</t>
  </si>
  <si>
    <t>Heart Disease</t>
  </si>
  <si>
    <t>Royal Care Hospital</t>
  </si>
  <si>
    <t>RD0006</t>
  </si>
  <si>
    <t>RD0007</t>
  </si>
  <si>
    <t>Asthma</t>
  </si>
  <si>
    <t>RD0008</t>
  </si>
  <si>
    <t>COVID-19</t>
  </si>
  <si>
    <t>RD0009</t>
  </si>
  <si>
    <t>RD0010</t>
  </si>
  <si>
    <t>RD0011</t>
  </si>
  <si>
    <t>RD0012</t>
  </si>
  <si>
    <t>RD0013</t>
  </si>
  <si>
    <t>Pneumonia</t>
  </si>
  <si>
    <t>RD0014</t>
  </si>
  <si>
    <t>RD0015</t>
  </si>
  <si>
    <t>RD0016</t>
  </si>
  <si>
    <t>RD0017</t>
  </si>
  <si>
    <t>RD0018</t>
  </si>
  <si>
    <t>RD0019</t>
  </si>
  <si>
    <t>Public</t>
  </si>
  <si>
    <t>RD0020</t>
  </si>
  <si>
    <t>RD0021</t>
  </si>
  <si>
    <t>RD0022</t>
  </si>
  <si>
    <t>RD0023</t>
  </si>
  <si>
    <t>RD0024</t>
  </si>
  <si>
    <t>RD0025</t>
  </si>
  <si>
    <t>RD0026</t>
  </si>
  <si>
    <t>RD0027</t>
  </si>
  <si>
    <t>RD0028</t>
  </si>
  <si>
    <t>RD0029</t>
  </si>
  <si>
    <t>RD0030</t>
  </si>
  <si>
    <t>RD0031</t>
  </si>
  <si>
    <t>RD0032</t>
  </si>
  <si>
    <t>RD0033</t>
  </si>
  <si>
    <t>RD0034</t>
  </si>
  <si>
    <t>RD0035</t>
  </si>
  <si>
    <t>RD0036</t>
  </si>
  <si>
    <t>RD0037</t>
  </si>
  <si>
    <t>RD0038</t>
  </si>
  <si>
    <t>RD0039</t>
  </si>
  <si>
    <t>RD0040</t>
  </si>
  <si>
    <t>RD0041</t>
  </si>
  <si>
    <t>RD0042</t>
  </si>
  <si>
    <t>RD0043</t>
  </si>
  <si>
    <t>RD0044</t>
  </si>
  <si>
    <t>RD0045</t>
  </si>
  <si>
    <t>RD0046</t>
  </si>
  <si>
    <t>RD0047</t>
  </si>
  <si>
    <t>RD0048</t>
  </si>
  <si>
    <t>RD0049</t>
  </si>
  <si>
    <t>RD0050</t>
  </si>
  <si>
    <t>RD0051</t>
  </si>
  <si>
    <t>RD0052</t>
  </si>
  <si>
    <t>RD0053</t>
  </si>
  <si>
    <t>RD0054</t>
  </si>
  <si>
    <t>RD0055</t>
  </si>
  <si>
    <t>RD0056</t>
  </si>
  <si>
    <t>RD0057</t>
  </si>
  <si>
    <t>RD0058</t>
  </si>
  <si>
    <t>RD0059</t>
  </si>
  <si>
    <t>RD0060</t>
  </si>
  <si>
    <t>RD0061</t>
  </si>
  <si>
    <t>RD0062</t>
  </si>
  <si>
    <t>RD0063</t>
  </si>
  <si>
    <t>RD0064</t>
  </si>
  <si>
    <t>RD0065</t>
  </si>
  <si>
    <t>RD0066</t>
  </si>
  <si>
    <t>RD0067</t>
  </si>
  <si>
    <t>RD0068</t>
  </si>
  <si>
    <t>RD0069</t>
  </si>
  <si>
    <t>RD0070</t>
  </si>
  <si>
    <t>RD0071</t>
  </si>
  <si>
    <t>RD0072</t>
  </si>
  <si>
    <t>RD0073</t>
  </si>
  <si>
    <t>RD0074</t>
  </si>
  <si>
    <t>RD0075</t>
  </si>
  <si>
    <t>RD0076</t>
  </si>
  <si>
    <t>RD0077</t>
  </si>
  <si>
    <t>RD0078</t>
  </si>
  <si>
    <t>RD0079</t>
  </si>
  <si>
    <t>RD0080</t>
  </si>
  <si>
    <t>RD0081</t>
  </si>
  <si>
    <t>RD0082</t>
  </si>
  <si>
    <t>RD0083</t>
  </si>
  <si>
    <t>RD0084</t>
  </si>
  <si>
    <t>RD0085</t>
  </si>
  <si>
    <t>RD0086</t>
  </si>
  <si>
    <t>RD0087</t>
  </si>
  <si>
    <t>RD0088</t>
  </si>
  <si>
    <t>RD0089</t>
  </si>
  <si>
    <t>RD0090</t>
  </si>
  <si>
    <t>RD0091</t>
  </si>
  <si>
    <t>RD0092</t>
  </si>
  <si>
    <t>RD0093</t>
  </si>
  <si>
    <t>RD0094</t>
  </si>
  <si>
    <t>RD0095</t>
  </si>
  <si>
    <t>RD0096</t>
  </si>
  <si>
    <t>RD0097</t>
  </si>
  <si>
    <t>RD0098</t>
  </si>
  <si>
    <t>RD0099</t>
  </si>
  <si>
    <t>RD0100</t>
  </si>
  <si>
    <t>RD0101</t>
  </si>
  <si>
    <t>RD0102</t>
  </si>
  <si>
    <t>RD0103</t>
  </si>
  <si>
    <t>RD0104</t>
  </si>
  <si>
    <t>RD0105</t>
  </si>
  <si>
    <t>RD0106</t>
  </si>
  <si>
    <t>RD0107</t>
  </si>
  <si>
    <t>RD0108</t>
  </si>
  <si>
    <t>RD0109</t>
  </si>
  <si>
    <t>RD0110</t>
  </si>
  <si>
    <t>RD0111</t>
  </si>
  <si>
    <t>RD0112</t>
  </si>
  <si>
    <t>RD0113</t>
  </si>
  <si>
    <t>RD0114</t>
  </si>
  <si>
    <t>RD0115</t>
  </si>
  <si>
    <t>RD0116</t>
  </si>
  <si>
    <t>RD0117</t>
  </si>
  <si>
    <t>RD0118</t>
  </si>
  <si>
    <t>RD0119</t>
  </si>
  <si>
    <t>RD0120</t>
  </si>
  <si>
    <t>RD0121</t>
  </si>
  <si>
    <t>RD0122</t>
  </si>
  <si>
    <t>RD0123</t>
  </si>
  <si>
    <t>RD0124</t>
  </si>
  <si>
    <t>RD0125</t>
  </si>
  <si>
    <t>RD0126</t>
  </si>
  <si>
    <t>RD0127</t>
  </si>
  <si>
    <t>RD0128</t>
  </si>
  <si>
    <t>RD0129</t>
  </si>
  <si>
    <t>RD0130</t>
  </si>
  <si>
    <t>RD0131</t>
  </si>
  <si>
    <t>RD0132</t>
  </si>
  <si>
    <t>RD0133</t>
  </si>
  <si>
    <t>RD0134</t>
  </si>
  <si>
    <t>RD0135</t>
  </si>
  <si>
    <t>RD0136</t>
  </si>
  <si>
    <t>RD0137</t>
  </si>
  <si>
    <t>RD0138</t>
  </si>
  <si>
    <t>RD0139</t>
  </si>
  <si>
    <t>RD0140</t>
  </si>
  <si>
    <t>RD0141</t>
  </si>
  <si>
    <t>RD0142</t>
  </si>
  <si>
    <t>RD0143</t>
  </si>
  <si>
    <t>RD0144</t>
  </si>
  <si>
    <t>RD0145</t>
  </si>
  <si>
    <t>RD0146</t>
  </si>
  <si>
    <t>RD0147</t>
  </si>
  <si>
    <t>RD0148</t>
  </si>
  <si>
    <t>RD0149</t>
  </si>
  <si>
    <t>RD0150</t>
  </si>
  <si>
    <t>RD0151</t>
  </si>
  <si>
    <t>RD0152</t>
  </si>
  <si>
    <t>RD0153</t>
  </si>
  <si>
    <t>RD0154</t>
  </si>
  <si>
    <t>RD0155</t>
  </si>
  <si>
    <t>RD0156</t>
  </si>
  <si>
    <t>RD0157</t>
  </si>
  <si>
    <t>RD0158</t>
  </si>
  <si>
    <t>RD0159</t>
  </si>
  <si>
    <t>RD0160</t>
  </si>
  <si>
    <t>RD0161</t>
  </si>
  <si>
    <t>RD0162</t>
  </si>
  <si>
    <t>RD0163</t>
  </si>
  <si>
    <t>RD0164</t>
  </si>
  <si>
    <t>RD0165</t>
  </si>
  <si>
    <t>RD0166</t>
  </si>
  <si>
    <t>RD0167</t>
  </si>
  <si>
    <t>RD0168</t>
  </si>
  <si>
    <t>RD0169</t>
  </si>
  <si>
    <t>RD0170</t>
  </si>
  <si>
    <t>RD0171</t>
  </si>
  <si>
    <t>RD0172</t>
  </si>
  <si>
    <t>RD0173</t>
  </si>
  <si>
    <t>RD0174</t>
  </si>
  <si>
    <t>RD0175</t>
  </si>
  <si>
    <t>RD0176</t>
  </si>
  <si>
    <t>RD0177</t>
  </si>
  <si>
    <t>RD0178</t>
  </si>
  <si>
    <t>RD0179</t>
  </si>
  <si>
    <t>RD0180</t>
  </si>
  <si>
    <t>RD0181</t>
  </si>
  <si>
    <t>RD0182</t>
  </si>
  <si>
    <t>RD0183</t>
  </si>
  <si>
    <t>RD0184</t>
  </si>
  <si>
    <t>RD0185</t>
  </si>
  <si>
    <t>RD0186</t>
  </si>
  <si>
    <t>RD0187</t>
  </si>
  <si>
    <t>RD0188</t>
  </si>
  <si>
    <t>RD0189</t>
  </si>
  <si>
    <t>RD0190</t>
  </si>
  <si>
    <t>RD0191</t>
  </si>
  <si>
    <t>RD0192</t>
  </si>
  <si>
    <t>RD0193</t>
  </si>
  <si>
    <t>RD0194</t>
  </si>
  <si>
    <t>RD0195</t>
  </si>
  <si>
    <t>RD0196</t>
  </si>
  <si>
    <t>RD0197</t>
  </si>
  <si>
    <t>RD0198</t>
  </si>
  <si>
    <t>RD0199</t>
  </si>
  <si>
    <t>RD0200</t>
  </si>
  <si>
    <t>RD0201</t>
  </si>
  <si>
    <t>RD0202</t>
  </si>
  <si>
    <t>RD0203</t>
  </si>
  <si>
    <t>RD0204</t>
  </si>
  <si>
    <t>RD0205</t>
  </si>
  <si>
    <t>RD0206</t>
  </si>
  <si>
    <t>RD0207</t>
  </si>
  <si>
    <t>RD0208</t>
  </si>
  <si>
    <t>RD0209</t>
  </si>
  <si>
    <t>RD0210</t>
  </si>
  <si>
    <t>RD0211</t>
  </si>
  <si>
    <t>RD0212</t>
  </si>
  <si>
    <t>RD0213</t>
  </si>
  <si>
    <t>RD0214</t>
  </si>
  <si>
    <t>RD0215</t>
  </si>
  <si>
    <t>RD0216</t>
  </si>
  <si>
    <t>RD0217</t>
  </si>
  <si>
    <t>RD0218</t>
  </si>
  <si>
    <t>RD0219</t>
  </si>
  <si>
    <t>RD0220</t>
  </si>
  <si>
    <t>RD0221</t>
  </si>
  <si>
    <t>RD0222</t>
  </si>
  <si>
    <t>RD0223</t>
  </si>
  <si>
    <t>RD0224</t>
  </si>
  <si>
    <t>RD0225</t>
  </si>
  <si>
    <t>RD0226</t>
  </si>
  <si>
    <t>RD0227</t>
  </si>
  <si>
    <t>RD0228</t>
  </si>
  <si>
    <t>RD0229</t>
  </si>
  <si>
    <t>RD0230</t>
  </si>
  <si>
    <t>RD0231</t>
  </si>
  <si>
    <t>RD0232</t>
  </si>
  <si>
    <t>RD0233</t>
  </si>
  <si>
    <t>RD0234</t>
  </si>
  <si>
    <t>RD0235</t>
  </si>
  <si>
    <t>RD0236</t>
  </si>
  <si>
    <t>RD0237</t>
  </si>
  <si>
    <t>RD0238</t>
  </si>
  <si>
    <t>RD0239</t>
  </si>
  <si>
    <t>RD0240</t>
  </si>
  <si>
    <t>RD0241</t>
  </si>
  <si>
    <t>RD0242</t>
  </si>
  <si>
    <t>RD0243</t>
  </si>
  <si>
    <t>RD0244</t>
  </si>
  <si>
    <t>RD0245</t>
  </si>
  <si>
    <t>RD0246</t>
  </si>
  <si>
    <t>RD0247</t>
  </si>
  <si>
    <t>RD0248</t>
  </si>
  <si>
    <t>RD0249</t>
  </si>
  <si>
    <t>RD0250</t>
  </si>
  <si>
    <t>RD0251</t>
  </si>
  <si>
    <t>RD0252</t>
  </si>
  <si>
    <t>RD0253</t>
  </si>
  <si>
    <t>RD0254</t>
  </si>
  <si>
    <t>RD0255</t>
  </si>
  <si>
    <t>RD0256</t>
  </si>
  <si>
    <t>RD0257</t>
  </si>
  <si>
    <t>RD0258</t>
  </si>
  <si>
    <t>RD0259</t>
  </si>
  <si>
    <t>RD0260</t>
  </si>
  <si>
    <t>RD0261</t>
  </si>
  <si>
    <t>RD0262</t>
  </si>
  <si>
    <t>RD0263</t>
  </si>
  <si>
    <t>RD0264</t>
  </si>
  <si>
    <t>RD0265</t>
  </si>
  <si>
    <t>RD0266</t>
  </si>
  <si>
    <t>RD0267</t>
  </si>
  <si>
    <t>RD0268</t>
  </si>
  <si>
    <t>RD0269</t>
  </si>
  <si>
    <t>RD0270</t>
  </si>
  <si>
    <t>RD0271</t>
  </si>
  <si>
    <t>RD0272</t>
  </si>
  <si>
    <t>RD0273</t>
  </si>
  <si>
    <t>RD0274</t>
  </si>
  <si>
    <t>RD0275</t>
  </si>
  <si>
    <t>RD0276</t>
  </si>
  <si>
    <t>RD0277</t>
  </si>
  <si>
    <t>RD0278</t>
  </si>
  <si>
    <t>RD0279</t>
  </si>
  <si>
    <t>RD0280</t>
  </si>
  <si>
    <t>RD0281</t>
  </si>
  <si>
    <t>RD0282</t>
  </si>
  <si>
    <t>RD0283</t>
  </si>
  <si>
    <t>RD0284</t>
  </si>
  <si>
    <t>RD0285</t>
  </si>
  <si>
    <t>RD0286</t>
  </si>
  <si>
    <t>RD0287</t>
  </si>
  <si>
    <t>RD0288</t>
  </si>
  <si>
    <t>RD0289</t>
  </si>
  <si>
    <t>RD0290</t>
  </si>
  <si>
    <t>RD0291</t>
  </si>
  <si>
    <t>RD0292</t>
  </si>
  <si>
    <t>RD0293</t>
  </si>
  <si>
    <t>RD0294</t>
  </si>
  <si>
    <t>RD0295</t>
  </si>
  <si>
    <t>RD0296</t>
  </si>
  <si>
    <t>RD0297</t>
  </si>
  <si>
    <t>RD0298</t>
  </si>
  <si>
    <t>RD0299</t>
  </si>
  <si>
    <t>RD0300</t>
  </si>
  <si>
    <t>RD0301</t>
  </si>
  <si>
    <t>RD0302</t>
  </si>
  <si>
    <t>RD0303</t>
  </si>
  <si>
    <t>RD0304</t>
  </si>
  <si>
    <t>RD0305</t>
  </si>
  <si>
    <t>RD0306</t>
  </si>
  <si>
    <t>RD0307</t>
  </si>
  <si>
    <t>RD0308</t>
  </si>
  <si>
    <t>RD0309</t>
  </si>
  <si>
    <t>RD0310</t>
  </si>
  <si>
    <t>RD0311</t>
  </si>
  <si>
    <t>RD0312</t>
  </si>
  <si>
    <t>RD0313</t>
  </si>
  <si>
    <t>RD0314</t>
  </si>
  <si>
    <t>RD0315</t>
  </si>
  <si>
    <t>RD0316</t>
  </si>
  <si>
    <t>RD0317</t>
  </si>
  <si>
    <t>RD0318</t>
  </si>
  <si>
    <t>RD0319</t>
  </si>
  <si>
    <t>RD0320</t>
  </si>
  <si>
    <t>RD0321</t>
  </si>
  <si>
    <t>RD0322</t>
  </si>
  <si>
    <t>RD0323</t>
  </si>
  <si>
    <t>RD0324</t>
  </si>
  <si>
    <t>RD0325</t>
  </si>
  <si>
    <t>RD0326</t>
  </si>
  <si>
    <t>RD0327</t>
  </si>
  <si>
    <t>RD0328</t>
  </si>
  <si>
    <t>RD0329</t>
  </si>
  <si>
    <t>RD0330</t>
  </si>
  <si>
    <t>RD0331</t>
  </si>
  <si>
    <t>RD0332</t>
  </si>
  <si>
    <t>RD0333</t>
  </si>
  <si>
    <t>RD0334</t>
  </si>
  <si>
    <t>RD0335</t>
  </si>
  <si>
    <t>RD0336</t>
  </si>
  <si>
    <t>RD0337</t>
  </si>
  <si>
    <t>RD0338</t>
  </si>
  <si>
    <t>RD0339</t>
  </si>
  <si>
    <t>RD0340</t>
  </si>
  <si>
    <t>RD0341</t>
  </si>
  <si>
    <t>RD0342</t>
  </si>
  <si>
    <t>RD0343</t>
  </si>
  <si>
    <t>RD0344</t>
  </si>
  <si>
    <t>RD0345</t>
  </si>
  <si>
    <t>RD0346</t>
  </si>
  <si>
    <t>RD0347</t>
  </si>
  <si>
    <t>RD0348</t>
  </si>
  <si>
    <t>RD0349</t>
  </si>
  <si>
    <t>RD0350</t>
  </si>
  <si>
    <t>RD0351</t>
  </si>
  <si>
    <t>RD0352</t>
  </si>
  <si>
    <t>RD0353</t>
  </si>
  <si>
    <t>RD0354</t>
  </si>
  <si>
    <t>RD0355</t>
  </si>
  <si>
    <t>RD0356</t>
  </si>
  <si>
    <t>RD0357</t>
  </si>
  <si>
    <t>RD0358</t>
  </si>
  <si>
    <t>RD0359</t>
  </si>
  <si>
    <t>RD0360</t>
  </si>
  <si>
    <t>RD0361</t>
  </si>
  <si>
    <t>RD0362</t>
  </si>
  <si>
    <t>RD0363</t>
  </si>
  <si>
    <t>RD0364</t>
  </si>
  <si>
    <t>RD0365</t>
  </si>
  <si>
    <t>RD0366</t>
  </si>
  <si>
    <t>RD0367</t>
  </si>
  <si>
    <t>RD0368</t>
  </si>
  <si>
    <t>RD0369</t>
  </si>
  <si>
    <t>RD0370</t>
  </si>
  <si>
    <t>RD0371</t>
  </si>
  <si>
    <t>RD0372</t>
  </si>
  <si>
    <t>RD0373</t>
  </si>
  <si>
    <t>RD0374</t>
  </si>
  <si>
    <t>RD0375</t>
  </si>
  <si>
    <t>RD0376</t>
  </si>
  <si>
    <t>RD0377</t>
  </si>
  <si>
    <t>RD0378</t>
  </si>
  <si>
    <t>RD0379</t>
  </si>
  <si>
    <t>RD0380</t>
  </si>
  <si>
    <t>RD0381</t>
  </si>
  <si>
    <t>RD0382</t>
  </si>
  <si>
    <t>RD0383</t>
  </si>
  <si>
    <t>RD0384</t>
  </si>
  <si>
    <t>RD0385</t>
  </si>
  <si>
    <t>RD0386</t>
  </si>
  <si>
    <t>RD0387</t>
  </si>
  <si>
    <t>RD0388</t>
  </si>
  <si>
    <t>RD0389</t>
  </si>
  <si>
    <t>RD0390</t>
  </si>
  <si>
    <t>RD0391</t>
  </si>
  <si>
    <t>RD0392</t>
  </si>
  <si>
    <t>RD0393</t>
  </si>
  <si>
    <t>RD0394</t>
  </si>
  <si>
    <t>RD0395</t>
  </si>
  <si>
    <t>RD0396</t>
  </si>
  <si>
    <t>RD0397</t>
  </si>
  <si>
    <t>RD0398</t>
  </si>
  <si>
    <t>RD0399</t>
  </si>
  <si>
    <t>RD0400</t>
  </si>
  <si>
    <t>RD0401</t>
  </si>
  <si>
    <t>RD0402</t>
  </si>
  <si>
    <t>RD0403</t>
  </si>
  <si>
    <t>RD0404</t>
  </si>
  <si>
    <t>RD0405</t>
  </si>
  <si>
    <t>RD0406</t>
  </si>
  <si>
    <t>RD0407</t>
  </si>
  <si>
    <t>RD0408</t>
  </si>
  <si>
    <t>RD0409</t>
  </si>
  <si>
    <t>RD0410</t>
  </si>
  <si>
    <t>RD0411</t>
  </si>
  <si>
    <t>RD0412</t>
  </si>
  <si>
    <t>RD0413</t>
  </si>
  <si>
    <t>RD0414</t>
  </si>
  <si>
    <t>RD0415</t>
  </si>
  <si>
    <t>RD0416</t>
  </si>
  <si>
    <t>RD0417</t>
  </si>
  <si>
    <t>RD0418</t>
  </si>
  <si>
    <t>RD0419</t>
  </si>
  <si>
    <t>RD0420</t>
  </si>
  <si>
    <t>RD0421</t>
  </si>
  <si>
    <t>RD0422</t>
  </si>
  <si>
    <t>RD0423</t>
  </si>
  <si>
    <t>RD0424</t>
  </si>
  <si>
    <t>RD0425</t>
  </si>
  <si>
    <t>RD0426</t>
  </si>
  <si>
    <t>RD0427</t>
  </si>
  <si>
    <t>RD0428</t>
  </si>
  <si>
    <t>RD0429</t>
  </si>
  <si>
    <t>RD0430</t>
  </si>
  <si>
    <t>RD0431</t>
  </si>
  <si>
    <t>RD0432</t>
  </si>
  <si>
    <t>RD0433</t>
  </si>
  <si>
    <t>RD0434</t>
  </si>
  <si>
    <t>RD0435</t>
  </si>
  <si>
    <t>RD0436</t>
  </si>
  <si>
    <t>RD0437</t>
  </si>
  <si>
    <t>RD0438</t>
  </si>
  <si>
    <t>RD0439</t>
  </si>
  <si>
    <t>RD0440</t>
  </si>
  <si>
    <t>RD0441</t>
  </si>
  <si>
    <t>RD0442</t>
  </si>
  <si>
    <t>RD0443</t>
  </si>
  <si>
    <t>RD0444</t>
  </si>
  <si>
    <t>RD0445</t>
  </si>
  <si>
    <t>RD0446</t>
  </si>
  <si>
    <t>RD0447</t>
  </si>
  <si>
    <t>RD0448</t>
  </si>
  <si>
    <t>RD0449</t>
  </si>
  <si>
    <t>RD0450</t>
  </si>
  <si>
    <t>RD0451</t>
  </si>
  <si>
    <t>RD0452</t>
  </si>
  <si>
    <t>RD0453</t>
  </si>
  <si>
    <t>RD0454</t>
  </si>
  <si>
    <t>RD0455</t>
  </si>
  <si>
    <t>RD0456</t>
  </si>
  <si>
    <t>RD0457</t>
  </si>
  <si>
    <t>RD0458</t>
  </si>
  <si>
    <t>RD0459</t>
  </si>
  <si>
    <t>RD0460</t>
  </si>
  <si>
    <t>RD0461</t>
  </si>
  <si>
    <t>RD0462</t>
  </si>
  <si>
    <t>RD0463</t>
  </si>
  <si>
    <t>RD0464</t>
  </si>
  <si>
    <t>RD0465</t>
  </si>
  <si>
    <t>RD0466</t>
  </si>
  <si>
    <t>RD0467</t>
  </si>
  <si>
    <t>RD0468</t>
  </si>
  <si>
    <t>RD0469</t>
  </si>
  <si>
    <t>RD0470</t>
  </si>
  <si>
    <t>RD0471</t>
  </si>
  <si>
    <t>RD0472</t>
  </si>
  <si>
    <t>RD0473</t>
  </si>
  <si>
    <t>RD0474</t>
  </si>
  <si>
    <t>RD0475</t>
  </si>
  <si>
    <t>RD0476</t>
  </si>
  <si>
    <t>RD0477</t>
  </si>
  <si>
    <t>RD0478</t>
  </si>
  <si>
    <t>RD0479</t>
  </si>
  <si>
    <t>RD0480</t>
  </si>
  <si>
    <t>RD0481</t>
  </si>
  <si>
    <t>RD0482</t>
  </si>
  <si>
    <t>RD0483</t>
  </si>
  <si>
    <t>RD0484</t>
  </si>
  <si>
    <t>RD0485</t>
  </si>
  <si>
    <t>RD0486</t>
  </si>
  <si>
    <t>RD0487</t>
  </si>
  <si>
    <t>RD0488</t>
  </si>
  <si>
    <t>RD0489</t>
  </si>
  <si>
    <t>RD0490</t>
  </si>
  <si>
    <t>RD0491</t>
  </si>
  <si>
    <t>RD0492</t>
  </si>
  <si>
    <t>RD0493</t>
  </si>
  <si>
    <t>RD0494</t>
  </si>
  <si>
    <t>RD0495</t>
  </si>
  <si>
    <t>RD0496</t>
  </si>
  <si>
    <t>RD0497</t>
  </si>
  <si>
    <t>RD0498</t>
  </si>
  <si>
    <t>RD0499</t>
  </si>
  <si>
    <t>RD0500</t>
  </si>
  <si>
    <t>RD0501</t>
  </si>
  <si>
    <t>RD0502</t>
  </si>
  <si>
    <t>RD0503</t>
  </si>
  <si>
    <t>RD0504</t>
  </si>
  <si>
    <t>RD0505</t>
  </si>
  <si>
    <t>RD0506</t>
  </si>
  <si>
    <t>RD0507</t>
  </si>
  <si>
    <t>RD0508</t>
  </si>
  <si>
    <t>RD0509</t>
  </si>
  <si>
    <t>RD0510</t>
  </si>
  <si>
    <t>RD0511</t>
  </si>
  <si>
    <t>RD0512</t>
  </si>
  <si>
    <t>RD0513</t>
  </si>
  <si>
    <t>RD0514</t>
  </si>
  <si>
    <t>RD0515</t>
  </si>
  <si>
    <t>RD0516</t>
  </si>
  <si>
    <t>RD0517</t>
  </si>
  <si>
    <t>RD0518</t>
  </si>
  <si>
    <t>RD0519</t>
  </si>
  <si>
    <t>RD0520</t>
  </si>
  <si>
    <t>RD0521</t>
  </si>
  <si>
    <t>RD0522</t>
  </si>
  <si>
    <t>RD0523</t>
  </si>
  <si>
    <t>RD0524</t>
  </si>
  <si>
    <t>RD0525</t>
  </si>
  <si>
    <t>RD0526</t>
  </si>
  <si>
    <t>RD0527</t>
  </si>
  <si>
    <t>RD0528</t>
  </si>
  <si>
    <t>RD0529</t>
  </si>
  <si>
    <t>RD0530</t>
  </si>
  <si>
    <t>RD0531</t>
  </si>
  <si>
    <t>RD0532</t>
  </si>
  <si>
    <t>RD0533</t>
  </si>
  <si>
    <t>RD0534</t>
  </si>
  <si>
    <t>RD0535</t>
  </si>
  <si>
    <t>RD0536</t>
  </si>
  <si>
    <t>RD0537</t>
  </si>
  <si>
    <t>RD0538</t>
  </si>
  <si>
    <t>RD0539</t>
  </si>
  <si>
    <t>RD0540</t>
  </si>
  <si>
    <t>RD0541</t>
  </si>
  <si>
    <t>RD0542</t>
  </si>
  <si>
    <t>RD0543</t>
  </si>
  <si>
    <t>RD0544</t>
  </si>
  <si>
    <t>RD0545</t>
  </si>
  <si>
    <t>RD0546</t>
  </si>
  <si>
    <t>RD0547</t>
  </si>
  <si>
    <t>RD0548</t>
  </si>
  <si>
    <t>RD0549</t>
  </si>
  <si>
    <t>RD0550</t>
  </si>
  <si>
    <t>RD0551</t>
  </si>
  <si>
    <t>RD0552</t>
  </si>
  <si>
    <t>RD0553</t>
  </si>
  <si>
    <t>RD0554</t>
  </si>
  <si>
    <t>RD0555</t>
  </si>
  <si>
    <t>RD0556</t>
  </si>
  <si>
    <t>RD0557</t>
  </si>
  <si>
    <t>RD0558</t>
  </si>
  <si>
    <t>RD0559</t>
  </si>
  <si>
    <t>RD0560</t>
  </si>
  <si>
    <t>RD0561</t>
  </si>
  <si>
    <t>RD0562</t>
  </si>
  <si>
    <t>RD0563</t>
  </si>
  <si>
    <t>RD0564</t>
  </si>
  <si>
    <t>RD0565</t>
  </si>
  <si>
    <t>RD0566</t>
  </si>
  <si>
    <t>RD0567</t>
  </si>
  <si>
    <t>RD0568</t>
  </si>
  <si>
    <t>RD0569</t>
  </si>
  <si>
    <t>RD0570</t>
  </si>
  <si>
    <t>RD0571</t>
  </si>
  <si>
    <t>RD0572</t>
  </si>
  <si>
    <t>RD0573</t>
  </si>
  <si>
    <t>RD0574</t>
  </si>
  <si>
    <t>RD0575</t>
  </si>
  <si>
    <t>RD0576</t>
  </si>
  <si>
    <t>RD0577</t>
  </si>
  <si>
    <t>RD0578</t>
  </si>
  <si>
    <t>RD0579</t>
  </si>
  <si>
    <t>RD0580</t>
  </si>
  <si>
    <t>RD0581</t>
  </si>
  <si>
    <t>RD0582</t>
  </si>
  <si>
    <t>RD0583</t>
  </si>
  <si>
    <t>RD0584</t>
  </si>
  <si>
    <t>RD0585</t>
  </si>
  <si>
    <t>RD0586</t>
  </si>
  <si>
    <t>RD0587</t>
  </si>
  <si>
    <t>RD0588</t>
  </si>
  <si>
    <t>RD0589</t>
  </si>
  <si>
    <t>RD0590</t>
  </si>
  <si>
    <t>RD0591</t>
  </si>
  <si>
    <t>RD0592</t>
  </si>
  <si>
    <t>RD0593</t>
  </si>
  <si>
    <t>RD0594</t>
  </si>
  <si>
    <t>RD0595</t>
  </si>
  <si>
    <t>RD0596</t>
  </si>
  <si>
    <t>RD0597</t>
  </si>
  <si>
    <t>RD0598</t>
  </si>
  <si>
    <t>RD0599</t>
  </si>
  <si>
    <t>RD0600</t>
  </si>
  <si>
    <t>RD0601</t>
  </si>
  <si>
    <t>RD0602</t>
  </si>
  <si>
    <t>RD0603</t>
  </si>
  <si>
    <t>RD0604</t>
  </si>
  <si>
    <t>RD0605</t>
  </si>
  <si>
    <t>RD0606</t>
  </si>
  <si>
    <t>RD0607</t>
  </si>
  <si>
    <t>RD0608</t>
  </si>
  <si>
    <t>RD0609</t>
  </si>
  <si>
    <t>RD0610</t>
  </si>
  <si>
    <t>RD0611</t>
  </si>
  <si>
    <t>RD0612</t>
  </si>
  <si>
    <t>RD0613</t>
  </si>
  <si>
    <t>RD0614</t>
  </si>
  <si>
    <t>RD0615</t>
  </si>
  <si>
    <t>RD0616</t>
  </si>
  <si>
    <t>RD0617</t>
  </si>
  <si>
    <t>RD0618</t>
  </si>
  <si>
    <t>RD0619</t>
  </si>
  <si>
    <t>RD0620</t>
  </si>
  <si>
    <t>RD0621</t>
  </si>
  <si>
    <t>RD0622</t>
  </si>
  <si>
    <t>RD0623</t>
  </si>
  <si>
    <t>RD0624</t>
  </si>
  <si>
    <t>RD0625</t>
  </si>
  <si>
    <t>RD0626</t>
  </si>
  <si>
    <t>RD0627</t>
  </si>
  <si>
    <t>RD0628</t>
  </si>
  <si>
    <t>RD0629</t>
  </si>
  <si>
    <t>RD0630</t>
  </si>
  <si>
    <t>RD0631</t>
  </si>
  <si>
    <t>RD0632</t>
  </si>
  <si>
    <t>RD0633</t>
  </si>
  <si>
    <t>RD0634</t>
  </si>
  <si>
    <t>RD0635</t>
  </si>
  <si>
    <t>RD0636</t>
  </si>
  <si>
    <t>RD0637</t>
  </si>
  <si>
    <t>RD0638</t>
  </si>
  <si>
    <t>RD0639</t>
  </si>
  <si>
    <t>RD0640</t>
  </si>
  <si>
    <t>RD0641</t>
  </si>
  <si>
    <t>RD0642</t>
  </si>
  <si>
    <t>RD0643</t>
  </si>
  <si>
    <t>RD0644</t>
  </si>
  <si>
    <t>RD0645</t>
  </si>
  <si>
    <t>RD0646</t>
  </si>
  <si>
    <t>RD0647</t>
  </si>
  <si>
    <t>RD0648</t>
  </si>
  <si>
    <t>RD0649</t>
  </si>
  <si>
    <t>RD0650</t>
  </si>
  <si>
    <t>RD0651</t>
  </si>
  <si>
    <t>RD0652</t>
  </si>
  <si>
    <t>RD0653</t>
  </si>
  <si>
    <t>RD0654</t>
  </si>
  <si>
    <t>RD0655</t>
  </si>
  <si>
    <t>RD0656</t>
  </si>
  <si>
    <t>RD0657</t>
  </si>
  <si>
    <t>RD0658</t>
  </si>
  <si>
    <t>RD0659</t>
  </si>
  <si>
    <t>RD0660</t>
  </si>
  <si>
    <t>RD0661</t>
  </si>
  <si>
    <t>RD0662</t>
  </si>
  <si>
    <t>RD0663</t>
  </si>
  <si>
    <t>RD0664</t>
  </si>
  <si>
    <t>RD0665</t>
  </si>
  <si>
    <t>RD0666</t>
  </si>
  <si>
    <t>RD0667</t>
  </si>
  <si>
    <t>RD0668</t>
  </si>
  <si>
    <t>RD0669</t>
  </si>
  <si>
    <t>RD0670</t>
  </si>
  <si>
    <t>RD0671</t>
  </si>
  <si>
    <t>RD0672</t>
  </si>
  <si>
    <t>RD0673</t>
  </si>
  <si>
    <t>RD0674</t>
  </si>
  <si>
    <t>RD0675</t>
  </si>
  <si>
    <t>RD0676</t>
  </si>
  <si>
    <t>RD0677</t>
  </si>
  <si>
    <t>RD0678</t>
  </si>
  <si>
    <t>RD0679</t>
  </si>
  <si>
    <t>RD0680</t>
  </si>
  <si>
    <t>RD0681</t>
  </si>
  <si>
    <t>RD0682</t>
  </si>
  <si>
    <t>RD0683</t>
  </si>
  <si>
    <t>RD0684</t>
  </si>
  <si>
    <t>RD0685</t>
  </si>
  <si>
    <t>RD0686</t>
  </si>
  <si>
    <t>RD0687</t>
  </si>
  <si>
    <t>RD0688</t>
  </si>
  <si>
    <t>RD0689</t>
  </si>
  <si>
    <t>RD0690</t>
  </si>
  <si>
    <t>RD0691</t>
  </si>
  <si>
    <t>RD0692</t>
  </si>
  <si>
    <t>RD0693</t>
  </si>
  <si>
    <t>RD0694</t>
  </si>
  <si>
    <t>RD0695</t>
  </si>
  <si>
    <t>RD0696</t>
  </si>
  <si>
    <t>RD0697</t>
  </si>
  <si>
    <t>RD0698</t>
  </si>
  <si>
    <t>RD0699</t>
  </si>
  <si>
    <t>RD0700</t>
  </si>
  <si>
    <t>RD0701</t>
  </si>
  <si>
    <t>RD0702</t>
  </si>
  <si>
    <t>RD0703</t>
  </si>
  <si>
    <t>RD0704</t>
  </si>
  <si>
    <t>RD0705</t>
  </si>
  <si>
    <t>RD0706</t>
  </si>
  <si>
    <t>RD0707</t>
  </si>
  <si>
    <t>RD0708</t>
  </si>
  <si>
    <t>RD0709</t>
  </si>
  <si>
    <t>RD0710</t>
  </si>
  <si>
    <t>RD0711</t>
  </si>
  <si>
    <t>RD0712</t>
  </si>
  <si>
    <t>RD0713</t>
  </si>
  <si>
    <t>RD0714</t>
  </si>
  <si>
    <t>RD0715</t>
  </si>
  <si>
    <t>RD0716</t>
  </si>
  <si>
    <t>RD0717</t>
  </si>
  <si>
    <t>RD0718</t>
  </si>
  <si>
    <t>RD0719</t>
  </si>
  <si>
    <t>RD0720</t>
  </si>
  <si>
    <t>RD0721</t>
  </si>
  <si>
    <t>RD0722</t>
  </si>
  <si>
    <t>RD0723</t>
  </si>
  <si>
    <t>RD0724</t>
  </si>
  <si>
    <t>RD0725</t>
  </si>
  <si>
    <t>RD0726</t>
  </si>
  <si>
    <t>RD0727</t>
  </si>
  <si>
    <t>RD0728</t>
  </si>
  <si>
    <t>RD0729</t>
  </si>
  <si>
    <t>RD0730</t>
  </si>
  <si>
    <t>RD0731</t>
  </si>
  <si>
    <t>RD0732</t>
  </si>
  <si>
    <t>RD0733</t>
  </si>
  <si>
    <t>RD0734</t>
  </si>
  <si>
    <t>RD0735</t>
  </si>
  <si>
    <t>RD0736</t>
  </si>
  <si>
    <t>RD0737</t>
  </si>
  <si>
    <t>RD0738</t>
  </si>
  <si>
    <t>RD0739</t>
  </si>
  <si>
    <t>RD0740</t>
  </si>
  <si>
    <t>RD0741</t>
  </si>
  <si>
    <t>RD0742</t>
  </si>
  <si>
    <t>RD0743</t>
  </si>
  <si>
    <t>RD0744</t>
  </si>
  <si>
    <t>RD0745</t>
  </si>
  <si>
    <t>RD0746</t>
  </si>
  <si>
    <t>RD0747</t>
  </si>
  <si>
    <t>RD0748</t>
  </si>
  <si>
    <t>RD0749</t>
  </si>
  <si>
    <t>RD0750</t>
  </si>
  <si>
    <t>RD0751</t>
  </si>
  <si>
    <t>RD0752</t>
  </si>
  <si>
    <t>RD0753</t>
  </si>
  <si>
    <t>RD0754</t>
  </si>
  <si>
    <t>RD0755</t>
  </si>
  <si>
    <t>RD0756</t>
  </si>
  <si>
    <t>RD0757</t>
  </si>
  <si>
    <t>RD0758</t>
  </si>
  <si>
    <t>RD0759</t>
  </si>
  <si>
    <t>RD0760</t>
  </si>
  <si>
    <t>RD0761</t>
  </si>
  <si>
    <t>RD0762</t>
  </si>
  <si>
    <t>RD0763</t>
  </si>
  <si>
    <t>RD0764</t>
  </si>
  <si>
    <t>RD0765</t>
  </si>
  <si>
    <t>RD0766</t>
  </si>
  <si>
    <t>RD0767</t>
  </si>
  <si>
    <t>RD0768</t>
  </si>
  <si>
    <t>RD0769</t>
  </si>
  <si>
    <t>RD0770</t>
  </si>
  <si>
    <t>RD0771</t>
  </si>
  <si>
    <t>RD0772</t>
  </si>
  <si>
    <t>RD0773</t>
  </si>
  <si>
    <t>RD0774</t>
  </si>
  <si>
    <t>RD0775</t>
  </si>
  <si>
    <t>RD0776</t>
  </si>
  <si>
    <t>RD0777</t>
  </si>
  <si>
    <t>RD0778</t>
  </si>
  <si>
    <t>RD0779</t>
  </si>
  <si>
    <t>RD0780</t>
  </si>
  <si>
    <t>RD0781</t>
  </si>
  <si>
    <t>RD0782</t>
  </si>
  <si>
    <t>RD0783</t>
  </si>
  <si>
    <t>RD0784</t>
  </si>
  <si>
    <t>RD0785</t>
  </si>
  <si>
    <t>RD0786</t>
  </si>
  <si>
    <t>RD0787</t>
  </si>
  <si>
    <t>RD0788</t>
  </si>
  <si>
    <t>RD0789</t>
  </si>
  <si>
    <t>RD0790</t>
  </si>
  <si>
    <t>RD0791</t>
  </si>
  <si>
    <t>RD0792</t>
  </si>
  <si>
    <t>RD0793</t>
  </si>
  <si>
    <t>RD0794</t>
  </si>
  <si>
    <t>RD0795</t>
  </si>
  <si>
    <t>RD0796</t>
  </si>
  <si>
    <t>RD0797</t>
  </si>
  <si>
    <t>RD0798</t>
  </si>
  <si>
    <t>RD0799</t>
  </si>
  <si>
    <t>RD0800</t>
  </si>
  <si>
    <t>RD0801</t>
  </si>
  <si>
    <t>RD0802</t>
  </si>
  <si>
    <t>RD0803</t>
  </si>
  <si>
    <t>RD0804</t>
  </si>
  <si>
    <t>RD0805</t>
  </si>
  <si>
    <t>RD0806</t>
  </si>
  <si>
    <t>RD0807</t>
  </si>
  <si>
    <t>RD0808</t>
  </si>
  <si>
    <t>RD0809</t>
  </si>
  <si>
    <t>RD0810</t>
  </si>
  <si>
    <t>RD0811</t>
  </si>
  <si>
    <t>RD0812</t>
  </si>
  <si>
    <t>RD0813</t>
  </si>
  <si>
    <t>RD0814</t>
  </si>
  <si>
    <t>RD0815</t>
  </si>
  <si>
    <t>RD0816</t>
  </si>
  <si>
    <t>RD0817</t>
  </si>
  <si>
    <t>RD0818</t>
  </si>
  <si>
    <t>RD0819</t>
  </si>
  <si>
    <t>RD0820</t>
  </si>
  <si>
    <t>RD0821</t>
  </si>
  <si>
    <t>RD0822</t>
  </si>
  <si>
    <t>RD0823</t>
  </si>
  <si>
    <t>RD0824</t>
  </si>
  <si>
    <t>RD0825</t>
  </si>
  <si>
    <t>RD0826</t>
  </si>
  <si>
    <t>RD0827</t>
  </si>
  <si>
    <t>RD0828</t>
  </si>
  <si>
    <t>RD0829</t>
  </si>
  <si>
    <t>RD0830</t>
  </si>
  <si>
    <t>RD0831</t>
  </si>
  <si>
    <t>RD0832</t>
  </si>
  <si>
    <t>RD0833</t>
  </si>
  <si>
    <t>RD0834</t>
  </si>
  <si>
    <t>RD0835</t>
  </si>
  <si>
    <t>RD0836</t>
  </si>
  <si>
    <t>RD0837</t>
  </si>
  <si>
    <t>RD0838</t>
  </si>
  <si>
    <t>RD0839</t>
  </si>
  <si>
    <t>RD0840</t>
  </si>
  <si>
    <t>RD0841</t>
  </si>
  <si>
    <t>RD0842</t>
  </si>
  <si>
    <t>RD0843</t>
  </si>
  <si>
    <t>RD0844</t>
  </si>
  <si>
    <t>RD0845</t>
  </si>
  <si>
    <t>RD0846</t>
  </si>
  <si>
    <t>RD0847</t>
  </si>
  <si>
    <t>RD0848</t>
  </si>
  <si>
    <t>RD0849</t>
  </si>
  <si>
    <t>RD0850</t>
  </si>
  <si>
    <t>RD0851</t>
  </si>
  <si>
    <t>RD0852</t>
  </si>
  <si>
    <t>RD0853</t>
  </si>
  <si>
    <t>RD0854</t>
  </si>
  <si>
    <t>RD0855</t>
  </si>
  <si>
    <t>RD0856</t>
  </si>
  <si>
    <t>RD0857</t>
  </si>
  <si>
    <t>RD0858</t>
  </si>
  <si>
    <t>RD0859</t>
  </si>
  <si>
    <t>RD0860</t>
  </si>
  <si>
    <t>RD0861</t>
  </si>
  <si>
    <t>RD0862</t>
  </si>
  <si>
    <t>RD0863</t>
  </si>
  <si>
    <t>RD0864</t>
  </si>
  <si>
    <t>RD0865</t>
  </si>
  <si>
    <t>RD0866</t>
  </si>
  <si>
    <t>RD0867</t>
  </si>
  <si>
    <t>RD0868</t>
  </si>
  <si>
    <t>RD0869</t>
  </si>
  <si>
    <t>RD0870</t>
  </si>
  <si>
    <t>RD0871</t>
  </si>
  <si>
    <t>RD0872</t>
  </si>
  <si>
    <t>RD0873</t>
  </si>
  <si>
    <t>RD0874</t>
  </si>
  <si>
    <t>RD0875</t>
  </si>
  <si>
    <t>RD0876</t>
  </si>
  <si>
    <t>RD0877</t>
  </si>
  <si>
    <t>RD0878</t>
  </si>
  <si>
    <t>RD0879</t>
  </si>
  <si>
    <t>RD0880</t>
  </si>
  <si>
    <t>RD0881</t>
  </si>
  <si>
    <t>RD0882</t>
  </si>
  <si>
    <t>RD0883</t>
  </si>
  <si>
    <t>RD0884</t>
  </si>
  <si>
    <t>RD0885</t>
  </si>
  <si>
    <t>RD0886</t>
  </si>
  <si>
    <t>RD0887</t>
  </si>
  <si>
    <t>RD0888</t>
  </si>
  <si>
    <t>RD0889</t>
  </si>
  <si>
    <t>RD0890</t>
  </si>
  <si>
    <t>RD0891</t>
  </si>
  <si>
    <t>RD0892</t>
  </si>
  <si>
    <t>RD0893</t>
  </si>
  <si>
    <t>RD0894</t>
  </si>
  <si>
    <t>RD0895</t>
  </si>
  <si>
    <t>RD0896</t>
  </si>
  <si>
    <t>RD0897</t>
  </si>
  <si>
    <t>RD0898</t>
  </si>
  <si>
    <t>RD0899</t>
  </si>
  <si>
    <t>RD0900</t>
  </si>
  <si>
    <t>RD0901</t>
  </si>
  <si>
    <t>RD0902</t>
  </si>
  <si>
    <t>RD0903</t>
  </si>
  <si>
    <t>RD0904</t>
  </si>
  <si>
    <t>RD0905</t>
  </si>
  <si>
    <t>RD0906</t>
  </si>
  <si>
    <t>RD0907</t>
  </si>
  <si>
    <t>RD0908</t>
  </si>
  <si>
    <t>RD0909</t>
  </si>
  <si>
    <t>RD0910</t>
  </si>
  <si>
    <t>RD0911</t>
  </si>
  <si>
    <t>RD0912</t>
  </si>
  <si>
    <t>RD0913</t>
  </si>
  <si>
    <t>RD0914</t>
  </si>
  <si>
    <t>RD0915</t>
  </si>
  <si>
    <t>RD0916</t>
  </si>
  <si>
    <t>RD0917</t>
  </si>
  <si>
    <t>RD0918</t>
  </si>
  <si>
    <t>RD0919</t>
  </si>
  <si>
    <t>RD0920</t>
  </si>
  <si>
    <t>RD0921</t>
  </si>
  <si>
    <t>RD0922</t>
  </si>
  <si>
    <t>RD0923</t>
  </si>
  <si>
    <t>RD0924</t>
  </si>
  <si>
    <t>RD0925</t>
  </si>
  <si>
    <t>RD0926</t>
  </si>
  <si>
    <t>RD0927</t>
  </si>
  <si>
    <t>RD0928</t>
  </si>
  <si>
    <t>RD0929</t>
  </si>
  <si>
    <t>RD0930</t>
  </si>
  <si>
    <t>RD0931</t>
  </si>
  <si>
    <t>RD0932</t>
  </si>
  <si>
    <t>RD0933</t>
  </si>
  <si>
    <t>RD0934</t>
  </si>
  <si>
    <t>RD0935</t>
  </si>
  <si>
    <t>RD0936</t>
  </si>
  <si>
    <t>RD0937</t>
  </si>
  <si>
    <t>RD0938</t>
  </si>
  <si>
    <t>RD0939</t>
  </si>
  <si>
    <t>RD0940</t>
  </si>
  <si>
    <t>RD0941</t>
  </si>
  <si>
    <t>RD0942</t>
  </si>
  <si>
    <t>RD0943</t>
  </si>
  <si>
    <t>RD0944</t>
  </si>
  <si>
    <t>RD0945</t>
  </si>
  <si>
    <t>RD0946</t>
  </si>
  <si>
    <t>RD0947</t>
  </si>
  <si>
    <t>RD0948</t>
  </si>
  <si>
    <t>RD0949</t>
  </si>
  <si>
    <t>RD0950</t>
  </si>
  <si>
    <t>RD0951</t>
  </si>
  <si>
    <t>RD0952</t>
  </si>
  <si>
    <t>RD0953</t>
  </si>
  <si>
    <t>RD0954</t>
  </si>
  <si>
    <t>RD0955</t>
  </si>
  <si>
    <t>RD0956</t>
  </si>
  <si>
    <t>RD0957</t>
  </si>
  <si>
    <t>RD0958</t>
  </si>
  <si>
    <t>RD0959</t>
  </si>
  <si>
    <t>RD0960</t>
  </si>
  <si>
    <t>RD0961</t>
  </si>
  <si>
    <t>RD0962</t>
  </si>
  <si>
    <t>RD0963</t>
  </si>
  <si>
    <t>RD0964</t>
  </si>
  <si>
    <t>RD0965</t>
  </si>
  <si>
    <t>RD0966</t>
  </si>
  <si>
    <t>RD0967</t>
  </si>
  <si>
    <t>RD0968</t>
  </si>
  <si>
    <t>RD0969</t>
  </si>
  <si>
    <t>RD0970</t>
  </si>
  <si>
    <t>RD0971</t>
  </si>
  <si>
    <t>RD0972</t>
  </si>
  <si>
    <t>RD0973</t>
  </si>
  <si>
    <t>RD0974</t>
  </si>
  <si>
    <t>RD0975</t>
  </si>
  <si>
    <t>RD0976</t>
  </si>
  <si>
    <t>RD0977</t>
  </si>
  <si>
    <t>RD0978</t>
  </si>
  <si>
    <t>RD0979</t>
  </si>
  <si>
    <t>RD0980</t>
  </si>
  <si>
    <t>RD0981</t>
  </si>
  <si>
    <t>RD0982</t>
  </si>
  <si>
    <t>RD0983</t>
  </si>
  <si>
    <t>RD0984</t>
  </si>
  <si>
    <t>RD0985</t>
  </si>
  <si>
    <t>RD0986</t>
  </si>
  <si>
    <t>RD0987</t>
  </si>
  <si>
    <t>RD0988</t>
  </si>
  <si>
    <t>RD0989</t>
  </si>
  <si>
    <t>RD0990</t>
  </si>
  <si>
    <t>RD0991</t>
  </si>
  <si>
    <t>RD0992</t>
  </si>
  <si>
    <t>RD0993</t>
  </si>
  <si>
    <t>RD0994</t>
  </si>
  <si>
    <t>RD0995</t>
  </si>
  <si>
    <t>RD0996</t>
  </si>
  <si>
    <t>RD0997</t>
  </si>
  <si>
    <t>RD0998</t>
  </si>
  <si>
    <t>RD0999</t>
  </si>
  <si>
    <t>RD1000</t>
  </si>
  <si>
    <t>Admission_month</t>
  </si>
  <si>
    <t>Admission_year</t>
  </si>
  <si>
    <t>Age_Group</t>
  </si>
  <si>
    <t>Total Patients</t>
  </si>
  <si>
    <t>Total Readmitted patient</t>
  </si>
  <si>
    <t>Readmission Rate</t>
  </si>
  <si>
    <t>Average Length of stay</t>
  </si>
  <si>
    <t>Total Treatment Cost</t>
  </si>
  <si>
    <t>Row Labels</t>
  </si>
  <si>
    <t>Grand Total</t>
  </si>
  <si>
    <t>Count of Patient_ID</t>
  </si>
  <si>
    <t>Jan</t>
  </si>
  <si>
    <t>Feb</t>
  </si>
  <si>
    <t>Mar</t>
  </si>
  <si>
    <t>Apr</t>
  </si>
  <si>
    <t>May</t>
  </si>
  <si>
    <t>Jun</t>
  </si>
  <si>
    <t>Jul</t>
  </si>
  <si>
    <t>Aug</t>
  </si>
  <si>
    <t>Sep</t>
  </si>
  <si>
    <t>Oct</t>
  </si>
  <si>
    <t>Nov</t>
  </si>
  <si>
    <t>Dec</t>
  </si>
  <si>
    <t>Sum of Treatment_Cost_USD</t>
  </si>
  <si>
    <t>Adult</t>
  </si>
  <si>
    <t>Senior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</si>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</sst>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E8F5E9"/>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0" fillId="0" borderId="0" xfId="0" applyNumberFormat="1"/>
    <xf numFmtId="14" fontId="1" fillId="0" borderId="0" xfId="0" applyNumberFormat="1" applyFont="1"/>
    <xf numFmtId="14" fontId="0" fillId="0" borderId="0" xfId="0" applyNumberFormat="1"/>
    <xf numFmtId="165" fontId="1" fillId="0" borderId="0" xfId="0" applyNumberFormat="1" applyFont="1"/>
    <xf numFmtId="165" fontId="0" fillId="0" borderId="0" xfId="0" applyNumberFormat="1"/>
    <xf numFmtId="1" fontId="1" fillId="0" borderId="0" xfId="0" applyNumberFormat="1" applyFont="1"/>
    <xf numFmtId="1"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1" formatCode="0"/>
    </dxf>
    <dxf>
      <numFmt numFmtId="19" formatCode="m/d/yyyy"/>
    </dxf>
    <dxf>
      <numFmt numFmtId="19" formatCode="m/d/yyyy"/>
    </dxf>
    <dxf>
      <font>
        <b/>
        <i val="0"/>
        <strike val="0"/>
        <condense val="0"/>
        <extend val="0"/>
        <outline val="0"/>
        <shadow val="0"/>
        <u val="none"/>
        <vertAlign val="baseline"/>
        <sz val="11"/>
        <color auto="1"/>
        <name val="Calibri"/>
        <scheme val="none"/>
      </font>
    </dxf>
  </dxfs>
  <tableStyles count="0" defaultTableStyle="TableStyleMedium9" defaultPivotStyle="PivotStyleLight16"/>
  <colors>
    <mruColors>
      <color rgb="FFE8F5E9"/>
      <color rgb="FFF09A78"/>
      <color rgb="FF336600"/>
      <color rgb="FFB94441"/>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TABLES'!$A$4:$A$10</c:f>
              <c:strCache>
                <c:ptCount val="6"/>
                <c:pt idx="0">
                  <c:v>Asthma</c:v>
                </c:pt>
                <c:pt idx="1">
                  <c:v>COVID-19</c:v>
                </c:pt>
                <c:pt idx="2">
                  <c:v>Diabetes</c:v>
                </c:pt>
                <c:pt idx="3">
                  <c:v>Heart Disease</c:v>
                </c:pt>
                <c:pt idx="4">
                  <c:v>Hypertension</c:v>
                </c:pt>
                <c:pt idx="5">
                  <c:v>Pneumonia</c:v>
                </c:pt>
              </c:strCache>
            </c:strRef>
          </c:cat>
          <c:val>
            <c:numRef>
              <c:f>'PIVOT TABLES'!$B$4:$B$10</c:f>
              <c:numCache>
                <c:formatCode>General</c:formatCode>
                <c:ptCount val="6"/>
                <c:pt idx="0">
                  <c:v>43</c:v>
                </c:pt>
                <c:pt idx="1">
                  <c:v>66</c:v>
                </c:pt>
                <c:pt idx="2">
                  <c:v>54</c:v>
                </c:pt>
                <c:pt idx="3">
                  <c:v>45</c:v>
                </c:pt>
                <c:pt idx="4">
                  <c:v>38</c:v>
                </c:pt>
                <c:pt idx="5">
                  <c:v>60</c:v>
                </c:pt>
              </c:numCache>
            </c:numRef>
          </c:val>
          <c:extLst>
            <c:ext xmlns:c16="http://schemas.microsoft.com/office/drawing/2014/chart" uri="{C3380CC4-5D6E-409C-BE32-E72D297353CC}">
              <c16:uniqueId val="{00000000-39B2-4A2D-B7F2-9DC626B1956F}"/>
            </c:ext>
          </c:extLst>
        </c:ser>
        <c:dLbls>
          <c:showLegendKey val="0"/>
          <c:showVal val="0"/>
          <c:showCatName val="0"/>
          <c:showSerName val="0"/>
          <c:showPercent val="0"/>
          <c:showBubbleSize val="0"/>
        </c:dLbls>
        <c:gapWidth val="182"/>
        <c:axId val="784863440"/>
        <c:axId val="784839440"/>
      </c:barChart>
      <c:catAx>
        <c:axId val="78486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39440"/>
        <c:crosses val="autoZero"/>
        <c:auto val="1"/>
        <c:lblAlgn val="ctr"/>
        <c:lblOffset val="100"/>
        <c:noMultiLvlLbl val="0"/>
      </c:catAx>
      <c:valAx>
        <c:axId val="78483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6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TABLES'!$D$4:$D$8</c:f>
              <c:strCache>
                <c:ptCount val="4"/>
                <c:pt idx="0">
                  <c:v>City General</c:v>
                </c:pt>
                <c:pt idx="1">
                  <c:v>Hope Medical Center</c:v>
                </c:pt>
                <c:pt idx="2">
                  <c:v>Royal Care Hospital</c:v>
                </c:pt>
                <c:pt idx="3">
                  <c:v>Sunrise Hospital</c:v>
                </c:pt>
              </c:strCache>
            </c:strRef>
          </c:cat>
          <c:val>
            <c:numRef>
              <c:f>'PIVOT TABLES'!$E$4:$E$8</c:f>
              <c:numCache>
                <c:formatCode>General</c:formatCode>
                <c:ptCount val="4"/>
                <c:pt idx="0">
                  <c:v>74</c:v>
                </c:pt>
                <c:pt idx="1">
                  <c:v>82</c:v>
                </c:pt>
                <c:pt idx="2">
                  <c:v>77</c:v>
                </c:pt>
                <c:pt idx="3">
                  <c:v>73</c:v>
                </c:pt>
              </c:numCache>
            </c:numRef>
          </c:val>
          <c:extLst>
            <c:ext xmlns:c16="http://schemas.microsoft.com/office/drawing/2014/chart" uri="{C3380CC4-5D6E-409C-BE32-E72D297353CC}">
              <c16:uniqueId val="{00000000-DDE5-4F07-B41B-2098DA753097}"/>
            </c:ext>
          </c:extLst>
        </c:ser>
        <c:dLbls>
          <c:showLegendKey val="0"/>
          <c:showVal val="0"/>
          <c:showCatName val="0"/>
          <c:showSerName val="0"/>
          <c:showPercent val="0"/>
          <c:showBubbleSize val="0"/>
        </c:dLbls>
        <c:gapWidth val="219"/>
        <c:overlap val="-27"/>
        <c:axId val="784846160"/>
        <c:axId val="784858160"/>
      </c:barChart>
      <c:catAx>
        <c:axId val="7848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58160"/>
        <c:crosses val="autoZero"/>
        <c:auto val="1"/>
        <c:lblAlgn val="ctr"/>
        <c:lblOffset val="100"/>
        <c:noMultiLvlLbl val="0"/>
      </c:catAx>
      <c:valAx>
        <c:axId val="78485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General</c:formatCode>
                <c:ptCount val="12"/>
                <c:pt idx="0">
                  <c:v>24</c:v>
                </c:pt>
                <c:pt idx="1">
                  <c:v>26</c:v>
                </c:pt>
                <c:pt idx="2">
                  <c:v>21</c:v>
                </c:pt>
                <c:pt idx="3">
                  <c:v>32</c:v>
                </c:pt>
                <c:pt idx="4">
                  <c:v>33</c:v>
                </c:pt>
                <c:pt idx="5">
                  <c:v>25</c:v>
                </c:pt>
                <c:pt idx="6">
                  <c:v>25</c:v>
                </c:pt>
                <c:pt idx="7">
                  <c:v>25</c:v>
                </c:pt>
                <c:pt idx="8">
                  <c:v>22</c:v>
                </c:pt>
                <c:pt idx="9">
                  <c:v>17</c:v>
                </c:pt>
                <c:pt idx="10">
                  <c:v>27</c:v>
                </c:pt>
                <c:pt idx="11">
                  <c:v>29</c:v>
                </c:pt>
              </c:numCache>
            </c:numRef>
          </c:val>
          <c:smooth val="0"/>
          <c:extLst>
            <c:ext xmlns:c16="http://schemas.microsoft.com/office/drawing/2014/chart" uri="{C3380CC4-5D6E-409C-BE32-E72D297353CC}">
              <c16:uniqueId val="{00000000-A9CE-45D9-BB50-3B41C1816CC6}"/>
            </c:ext>
          </c:extLst>
        </c:ser>
        <c:dLbls>
          <c:showLegendKey val="0"/>
          <c:showVal val="0"/>
          <c:showCatName val="0"/>
          <c:showSerName val="0"/>
          <c:showPercent val="0"/>
          <c:showBubbleSize val="0"/>
        </c:dLbls>
        <c:marker val="1"/>
        <c:smooth val="0"/>
        <c:axId val="792260144"/>
        <c:axId val="792240944"/>
      </c:lineChart>
      <c:catAx>
        <c:axId val="7922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40944"/>
        <c:crosses val="autoZero"/>
        <c:auto val="1"/>
        <c:lblAlgn val="ctr"/>
        <c:lblOffset val="100"/>
        <c:noMultiLvlLbl val="0"/>
      </c:catAx>
      <c:valAx>
        <c:axId val="79224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6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TABLES'!$H$17</c:f>
              <c:strCache>
                <c:ptCount val="1"/>
                <c:pt idx="0">
                  <c:v>Total</c:v>
                </c:pt>
              </c:strCache>
            </c:strRef>
          </c:tx>
          <c:spPr>
            <a:solidFill>
              <a:schemeClr val="accent1"/>
            </a:solidFill>
            <a:ln>
              <a:noFill/>
            </a:ln>
            <a:effectLst/>
          </c:spPr>
          <c:invertIfNegative val="0"/>
          <c:cat>
            <c:strRef>
              <c:f>'PIVOT TABLES'!$G$18:$G$24</c:f>
              <c:strCache>
                <c:ptCount val="6"/>
                <c:pt idx="0">
                  <c:v>Asthma</c:v>
                </c:pt>
                <c:pt idx="1">
                  <c:v>COVID-19</c:v>
                </c:pt>
                <c:pt idx="2">
                  <c:v>Diabetes</c:v>
                </c:pt>
                <c:pt idx="3">
                  <c:v>Heart Disease</c:v>
                </c:pt>
                <c:pt idx="4">
                  <c:v>Hypertension</c:v>
                </c:pt>
                <c:pt idx="5">
                  <c:v>Pneumonia</c:v>
                </c:pt>
              </c:strCache>
            </c:strRef>
          </c:cat>
          <c:val>
            <c:numRef>
              <c:f>'PIVOT TABLES'!$H$18:$H$24</c:f>
              <c:numCache>
                <c:formatCode>"$"#,##0</c:formatCode>
                <c:ptCount val="6"/>
                <c:pt idx="0">
                  <c:v>1197731.9099999992</c:v>
                </c:pt>
                <c:pt idx="1">
                  <c:v>1315128.5699999998</c:v>
                </c:pt>
                <c:pt idx="2">
                  <c:v>1384782.8499999992</c:v>
                </c:pt>
                <c:pt idx="3">
                  <c:v>1207155.6399999994</c:v>
                </c:pt>
                <c:pt idx="4">
                  <c:v>1132325.18</c:v>
                </c:pt>
                <c:pt idx="5">
                  <c:v>1400438.5400000005</c:v>
                </c:pt>
              </c:numCache>
            </c:numRef>
          </c:val>
          <c:extLst>
            <c:ext xmlns:c16="http://schemas.microsoft.com/office/drawing/2014/chart" uri="{C3380CC4-5D6E-409C-BE32-E72D297353CC}">
              <c16:uniqueId val="{00000000-726A-4269-AE2E-1EEDDE703355}"/>
            </c:ext>
          </c:extLst>
        </c:ser>
        <c:dLbls>
          <c:showLegendKey val="0"/>
          <c:showVal val="0"/>
          <c:showCatName val="0"/>
          <c:showSerName val="0"/>
          <c:showPercent val="0"/>
          <c:showBubbleSize val="0"/>
        </c:dLbls>
        <c:gapWidth val="182"/>
        <c:axId val="698407728"/>
        <c:axId val="698409168"/>
      </c:barChart>
      <c:catAx>
        <c:axId val="69840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09168"/>
        <c:crosses val="autoZero"/>
        <c:auto val="1"/>
        <c:lblAlgn val="ctr"/>
        <c:lblOffset val="100"/>
        <c:noMultiLvlLbl val="0"/>
      </c:catAx>
      <c:valAx>
        <c:axId val="6984091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0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AA-4211-9FA3-66CDE151C6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AA-4211-9FA3-66CDE151C6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AA-4211-9FA3-66CDE151C6A0}"/>
              </c:ext>
            </c:extLst>
          </c:dPt>
          <c:cat>
            <c:strRef>
              <c:f>'PIVOT TABLES'!$D$18:$D$21</c:f>
              <c:strCache>
                <c:ptCount val="3"/>
                <c:pt idx="0">
                  <c:v>Adult</c:v>
                </c:pt>
                <c:pt idx="1">
                  <c:v>Senior</c:v>
                </c:pt>
                <c:pt idx="2">
                  <c:v>Young Adult</c:v>
                </c:pt>
              </c:strCache>
            </c:strRef>
          </c:cat>
          <c:val>
            <c:numRef>
              <c:f>'PIVOT TABLES'!$E$18:$E$21</c:f>
              <c:numCache>
                <c:formatCode>General</c:formatCode>
                <c:ptCount val="3"/>
                <c:pt idx="0">
                  <c:v>416</c:v>
                </c:pt>
                <c:pt idx="1">
                  <c:v>424</c:v>
                </c:pt>
                <c:pt idx="2">
                  <c:v>160</c:v>
                </c:pt>
              </c:numCache>
            </c:numRef>
          </c:val>
          <c:extLst>
            <c:ext xmlns:c16="http://schemas.microsoft.com/office/drawing/2014/chart" uri="{C3380CC4-5D6E-409C-BE32-E72D297353CC}">
              <c16:uniqueId val="{00000000-0673-4CB4-9628-DDB3371757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6E-4840-9016-CEC3CBB7CF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6E-4840-9016-CEC3CBB7CF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6E-4840-9016-CEC3CBB7CF12}"/>
              </c:ext>
            </c:extLst>
          </c:dPt>
          <c:cat>
            <c:strRef>
              <c:f>'PIVOT TABLES'!$A$18:$A$21</c:f>
              <c:strCache>
                <c:ptCount val="3"/>
                <c:pt idx="0">
                  <c:v>Private</c:v>
                </c:pt>
                <c:pt idx="1">
                  <c:v>Public</c:v>
                </c:pt>
                <c:pt idx="2">
                  <c:v>Self-Pay</c:v>
                </c:pt>
              </c:strCache>
            </c:strRef>
          </c:cat>
          <c:val>
            <c:numRef>
              <c:f>'PIVOT TABLES'!$B$18:$B$21</c:f>
              <c:numCache>
                <c:formatCode>General</c:formatCode>
                <c:ptCount val="3"/>
                <c:pt idx="0">
                  <c:v>321</c:v>
                </c:pt>
                <c:pt idx="1">
                  <c:v>361</c:v>
                </c:pt>
                <c:pt idx="2">
                  <c:v>318</c:v>
                </c:pt>
              </c:numCache>
            </c:numRef>
          </c:val>
          <c:extLst>
            <c:ext xmlns:c16="http://schemas.microsoft.com/office/drawing/2014/chart" uri="{C3380CC4-5D6E-409C-BE32-E72D297353CC}">
              <c16:uniqueId val="{00000000-2D8B-4E5B-9469-3BE12C3034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TABLES!PivotTable1</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Asthma</c:v>
                </c:pt>
                <c:pt idx="1">
                  <c:v>COVID-19</c:v>
                </c:pt>
                <c:pt idx="2">
                  <c:v>Diabetes</c:v>
                </c:pt>
                <c:pt idx="3">
                  <c:v>Heart Disease</c:v>
                </c:pt>
                <c:pt idx="4">
                  <c:v>Hypertension</c:v>
                </c:pt>
                <c:pt idx="5">
                  <c:v>Pneumonia</c:v>
                </c:pt>
              </c:strCache>
            </c:strRef>
          </c:cat>
          <c:val>
            <c:numRef>
              <c:f>'PIVOT TABLES'!$B$4:$B$10</c:f>
              <c:numCache>
                <c:formatCode>General</c:formatCode>
                <c:ptCount val="6"/>
                <c:pt idx="0">
                  <c:v>43</c:v>
                </c:pt>
                <c:pt idx="1">
                  <c:v>66</c:v>
                </c:pt>
                <c:pt idx="2">
                  <c:v>54</c:v>
                </c:pt>
                <c:pt idx="3">
                  <c:v>45</c:v>
                </c:pt>
                <c:pt idx="4">
                  <c:v>38</c:v>
                </c:pt>
                <c:pt idx="5">
                  <c:v>60</c:v>
                </c:pt>
              </c:numCache>
            </c:numRef>
          </c:val>
          <c:extLst>
            <c:ext xmlns:c16="http://schemas.microsoft.com/office/drawing/2014/chart" uri="{C3380CC4-5D6E-409C-BE32-E72D297353CC}">
              <c16:uniqueId val="{00000000-C6F7-44D7-9D70-25F598F098F1}"/>
            </c:ext>
          </c:extLst>
        </c:ser>
        <c:dLbls>
          <c:dLblPos val="outEnd"/>
          <c:showLegendKey val="0"/>
          <c:showVal val="1"/>
          <c:showCatName val="0"/>
          <c:showSerName val="0"/>
          <c:showPercent val="0"/>
          <c:showBubbleSize val="0"/>
        </c:dLbls>
        <c:gapWidth val="182"/>
        <c:axId val="784863440"/>
        <c:axId val="784839440"/>
      </c:barChart>
      <c:catAx>
        <c:axId val="78486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39440"/>
        <c:crosses val="autoZero"/>
        <c:auto val="1"/>
        <c:lblAlgn val="ctr"/>
        <c:lblOffset val="100"/>
        <c:noMultiLvlLbl val="0"/>
      </c:catAx>
      <c:valAx>
        <c:axId val="78483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6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[Hospital_Readmission_Analytics_Dataset.xlsx]PIVOT TABLES!PivotTable3</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City General</c:v>
                </c:pt>
                <c:pt idx="1">
                  <c:v>Hope Medical Center</c:v>
                </c:pt>
                <c:pt idx="2">
                  <c:v>Royal Care Hospital</c:v>
                </c:pt>
                <c:pt idx="3">
                  <c:v>Sunrise Hospital</c:v>
                </c:pt>
              </c:strCache>
            </c:strRef>
          </c:cat>
          <c:val>
            <c:numRef>
              <c:f>'PIVOT TABLES'!$E$4:$E$8</c:f>
              <c:numCache>
                <c:formatCode>General</c:formatCode>
                <c:ptCount val="4"/>
                <c:pt idx="0">
                  <c:v>74</c:v>
                </c:pt>
                <c:pt idx="1">
                  <c:v>82</c:v>
                </c:pt>
                <c:pt idx="2">
                  <c:v>77</c:v>
                </c:pt>
                <c:pt idx="3">
                  <c:v>73</c:v>
                </c:pt>
              </c:numCache>
            </c:numRef>
          </c:val>
          <c:extLst>
            <c:ext xmlns:c16="http://schemas.microsoft.com/office/drawing/2014/chart" uri="{C3380CC4-5D6E-409C-BE32-E72D297353CC}">
              <c16:uniqueId val="{00000000-81A5-4985-8B34-B8EC60D9650B}"/>
            </c:ext>
          </c:extLst>
        </c:ser>
        <c:dLbls>
          <c:showLegendKey val="0"/>
          <c:showVal val="1"/>
          <c:showCatName val="0"/>
          <c:showSerName val="0"/>
          <c:showPercent val="0"/>
          <c:showBubbleSize val="0"/>
        </c:dLbls>
        <c:gapWidth val="219"/>
        <c:shape val="box"/>
        <c:axId val="784846160"/>
        <c:axId val="784858160"/>
        <c:axId val="0"/>
      </c:bar3DChart>
      <c:catAx>
        <c:axId val="7848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58160"/>
        <c:crosses val="autoZero"/>
        <c:auto val="1"/>
        <c:lblAlgn val="ctr"/>
        <c:lblOffset val="100"/>
        <c:noMultiLvlLbl val="0"/>
      </c:catAx>
      <c:valAx>
        <c:axId val="78485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4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[Hospital_Readmission_Analytics_Dataset.xlsx]PIVOT TABLES!PivotTable4</c:name>
    <c:fmtId val="3"/>
  </c:pivotSource>
  <c:chart>
    <c:autoTitleDeleted val="1"/>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86548413474469E-2"/>
          <c:y val="0.1277445109780439"/>
          <c:w val="0.90245708826145687"/>
          <c:h val="0.72695993839093465"/>
        </c:manualLayout>
      </c:layout>
      <c:lineChart>
        <c:grouping val="standard"/>
        <c:varyColors val="0"/>
        <c:ser>
          <c:idx val="0"/>
          <c:order val="0"/>
          <c:tx>
            <c:strRef>
              <c:f>'PIVOT TABLES'!$H$3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General</c:formatCode>
                <c:ptCount val="12"/>
                <c:pt idx="0">
                  <c:v>24</c:v>
                </c:pt>
                <c:pt idx="1">
                  <c:v>26</c:v>
                </c:pt>
                <c:pt idx="2">
                  <c:v>21</c:v>
                </c:pt>
                <c:pt idx="3">
                  <c:v>32</c:v>
                </c:pt>
                <c:pt idx="4">
                  <c:v>33</c:v>
                </c:pt>
                <c:pt idx="5">
                  <c:v>25</c:v>
                </c:pt>
                <c:pt idx="6">
                  <c:v>25</c:v>
                </c:pt>
                <c:pt idx="7">
                  <c:v>25</c:v>
                </c:pt>
                <c:pt idx="8">
                  <c:v>22</c:v>
                </c:pt>
                <c:pt idx="9">
                  <c:v>17</c:v>
                </c:pt>
                <c:pt idx="10">
                  <c:v>27</c:v>
                </c:pt>
                <c:pt idx="11">
                  <c:v>29</c:v>
                </c:pt>
              </c:numCache>
            </c:numRef>
          </c:val>
          <c:smooth val="0"/>
          <c:extLst>
            <c:ext xmlns:c16="http://schemas.microsoft.com/office/drawing/2014/chart" uri="{C3380CC4-5D6E-409C-BE32-E72D297353CC}">
              <c16:uniqueId val="{00000000-1A4E-450B-8E1D-F38994642EA9}"/>
            </c:ext>
          </c:extLst>
        </c:ser>
        <c:dLbls>
          <c:showLegendKey val="0"/>
          <c:showVal val="0"/>
          <c:showCatName val="0"/>
          <c:showSerName val="0"/>
          <c:showPercent val="0"/>
          <c:showBubbleSize val="0"/>
        </c:dLbls>
        <c:marker val="1"/>
        <c:smooth val="0"/>
        <c:axId val="792260144"/>
        <c:axId val="792240944"/>
      </c:lineChart>
      <c:catAx>
        <c:axId val="7922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40944"/>
        <c:crosses val="autoZero"/>
        <c:auto val="1"/>
        <c:lblAlgn val="ctr"/>
        <c:lblOffset val="100"/>
        <c:noMultiLvlLbl val="0"/>
      </c:catAx>
      <c:valAx>
        <c:axId val="79224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6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[Hospital_Readmission_Analytics_Dataset.xlsx]PIVOT TABLES!PivotTable6</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TABLES'!$H$17</c:f>
              <c:strCache>
                <c:ptCount val="1"/>
                <c:pt idx="0">
                  <c:v>Total</c:v>
                </c:pt>
              </c:strCache>
            </c:strRef>
          </c:tx>
          <c:spPr>
            <a:solidFill>
              <a:schemeClr val="accent2"/>
            </a:solidFill>
            <a:ln>
              <a:noFill/>
            </a:ln>
            <a:effectLst/>
          </c:spPr>
          <c:invertIfNegative val="0"/>
          <c:cat>
            <c:strRef>
              <c:f>'PIVOT TABLES'!$G$18:$G$24</c:f>
              <c:strCache>
                <c:ptCount val="6"/>
                <c:pt idx="0">
                  <c:v>Asthma</c:v>
                </c:pt>
                <c:pt idx="1">
                  <c:v>COVID-19</c:v>
                </c:pt>
                <c:pt idx="2">
                  <c:v>Diabetes</c:v>
                </c:pt>
                <c:pt idx="3">
                  <c:v>Heart Disease</c:v>
                </c:pt>
                <c:pt idx="4">
                  <c:v>Hypertension</c:v>
                </c:pt>
                <c:pt idx="5">
                  <c:v>Pneumonia</c:v>
                </c:pt>
              </c:strCache>
            </c:strRef>
          </c:cat>
          <c:val>
            <c:numRef>
              <c:f>'PIVOT TABLES'!$H$18:$H$24</c:f>
              <c:numCache>
                <c:formatCode>"$"#,##0</c:formatCode>
                <c:ptCount val="6"/>
                <c:pt idx="0">
                  <c:v>1197731.9099999992</c:v>
                </c:pt>
                <c:pt idx="1">
                  <c:v>1315128.5699999998</c:v>
                </c:pt>
                <c:pt idx="2">
                  <c:v>1384782.8499999992</c:v>
                </c:pt>
                <c:pt idx="3">
                  <c:v>1207155.6399999994</c:v>
                </c:pt>
                <c:pt idx="4">
                  <c:v>1132325.18</c:v>
                </c:pt>
                <c:pt idx="5">
                  <c:v>1400438.5400000005</c:v>
                </c:pt>
              </c:numCache>
            </c:numRef>
          </c:val>
          <c:extLst>
            <c:ext xmlns:c16="http://schemas.microsoft.com/office/drawing/2014/chart" uri="{C3380CC4-5D6E-409C-BE32-E72D297353CC}">
              <c16:uniqueId val="{00000000-505C-441F-AA39-B0C2EFF6274E}"/>
            </c:ext>
          </c:extLst>
        </c:ser>
        <c:dLbls>
          <c:showLegendKey val="0"/>
          <c:showVal val="0"/>
          <c:showCatName val="0"/>
          <c:showSerName val="0"/>
          <c:showPercent val="0"/>
          <c:showBubbleSize val="0"/>
        </c:dLbls>
        <c:gapWidth val="182"/>
        <c:axId val="698407728"/>
        <c:axId val="698409168"/>
      </c:barChart>
      <c:catAx>
        <c:axId val="69840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09168"/>
        <c:crosses val="autoZero"/>
        <c:auto val="1"/>
        <c:lblAlgn val="ctr"/>
        <c:lblOffset val="100"/>
        <c:noMultiLvlLbl val="0"/>
      </c:catAx>
      <c:valAx>
        <c:axId val="6984091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0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E8F5E9"/>
          </a:solidFill>
          <a:ln w="19050">
            <a:solidFill>
              <a:schemeClr val="lt1"/>
            </a:solidFill>
          </a:ln>
          <a:effectLst/>
        </c:spPr>
      </c:pivotFmt>
    </c:pivotFmts>
    <c:plotArea>
      <c:layout/>
      <c:doughnutChart>
        <c:varyColors val="1"/>
        <c:ser>
          <c:idx val="0"/>
          <c:order val="0"/>
          <c:tx>
            <c:strRef>
              <c:f>'PIVOT TABLES'!$E$17</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0B12-42DE-8AE9-DB2F6E19BA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12-42DE-8AE9-DB2F6E19BAE4}"/>
              </c:ext>
            </c:extLst>
          </c:dPt>
          <c:dPt>
            <c:idx val="2"/>
            <c:bubble3D val="0"/>
            <c:spPr>
              <a:solidFill>
                <a:srgbClr val="E8F5E9"/>
              </a:solidFill>
              <a:ln w="19050">
                <a:solidFill>
                  <a:schemeClr val="lt1"/>
                </a:solidFill>
              </a:ln>
              <a:effectLst/>
            </c:spPr>
            <c:extLst>
              <c:ext xmlns:c16="http://schemas.microsoft.com/office/drawing/2014/chart" uri="{C3380CC4-5D6E-409C-BE32-E72D297353CC}">
                <c16:uniqueId val="{00000005-0B12-42DE-8AE9-DB2F6E19BAE4}"/>
              </c:ext>
            </c:extLst>
          </c:dPt>
          <c:cat>
            <c:strRef>
              <c:f>'PIVOT TABLES'!$D$18:$D$21</c:f>
              <c:strCache>
                <c:ptCount val="3"/>
                <c:pt idx="0">
                  <c:v>Adult</c:v>
                </c:pt>
                <c:pt idx="1">
                  <c:v>Senior</c:v>
                </c:pt>
                <c:pt idx="2">
                  <c:v>Young Adult</c:v>
                </c:pt>
              </c:strCache>
            </c:strRef>
          </c:cat>
          <c:val>
            <c:numRef>
              <c:f>'PIVOT TABLES'!$E$18:$E$21</c:f>
              <c:numCache>
                <c:formatCode>General</c:formatCode>
                <c:ptCount val="3"/>
                <c:pt idx="0">
                  <c:v>416</c:v>
                </c:pt>
                <c:pt idx="1">
                  <c:v>424</c:v>
                </c:pt>
                <c:pt idx="2">
                  <c:v>160</c:v>
                </c:pt>
              </c:numCache>
            </c:numRef>
          </c:val>
          <c:extLst>
            <c:ext xmlns:c16="http://schemas.microsoft.com/office/drawing/2014/chart" uri="{C3380CC4-5D6E-409C-BE32-E72D297353CC}">
              <c16:uniqueId val="{00000006-0B12-42DE-8AE9-DB2F6E19BA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[Hospital_Readmission_Analytics_Dataset.xlsx]PIVOT TABLES!PivotTable2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40000" dist="23000" dir="5400000" rotWithShape="0">
              <a:srgbClr val="000000">
                <a:alpha val="35000"/>
              </a:srgbClr>
            </a:outerShdw>
          </a:effectLst>
        </c:spPr>
      </c:pivotFmt>
      <c:pivotFmt>
        <c:idx val="7"/>
        <c:spPr>
          <a:solidFill>
            <a:schemeClr val="accent2">
              <a:lumMod val="75000"/>
            </a:schemeClr>
          </a:solidFill>
          <a:ln>
            <a:noFill/>
          </a:ln>
          <a:effectLst>
            <a:outerShdw blurRad="40000" dist="23000" dir="5400000" rotWithShape="0">
              <a:srgbClr val="000000">
                <a:alpha val="35000"/>
              </a:srgbClr>
            </a:outerShdw>
          </a:effectLst>
        </c:spPr>
      </c:pivotFmt>
      <c:pivotFmt>
        <c:idx val="8"/>
        <c:spPr>
          <a:solidFill>
            <a:srgbClr val="E8F5E9"/>
          </a:solidFill>
          <a:ln>
            <a:noFill/>
          </a:ln>
          <a:effectLst>
            <a:outerShdw blurRad="40000" dist="23000" dir="5400000" rotWithShape="0">
              <a:srgbClr val="000000">
                <a:alpha val="35000"/>
              </a:srgbClr>
            </a:outerShdw>
          </a:effectLst>
        </c:spPr>
      </c:pivotFmt>
    </c:pivotFmts>
    <c:plotArea>
      <c:layout/>
      <c:pieChart>
        <c:varyColors val="1"/>
        <c:ser>
          <c:idx val="0"/>
          <c:order val="0"/>
          <c:tx>
            <c:strRef>
              <c:f>'PIVOT TABLES'!$B$17</c:f>
              <c:strCache>
                <c:ptCount val="1"/>
                <c:pt idx="0">
                  <c:v>Total</c:v>
                </c:pt>
              </c:strCache>
            </c:strRef>
          </c:tx>
          <c:dPt>
            <c:idx val="0"/>
            <c:bubble3D val="0"/>
            <c:spPr>
              <a:solidFill>
                <a:schemeClr val="accent2">
                  <a:lumMod val="60000"/>
                  <a:lumOff val="4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6A5-46FA-A06B-1476CA58022A}"/>
              </c:ext>
            </c:extLst>
          </c:dPt>
          <c:dPt>
            <c:idx val="1"/>
            <c:bubble3D val="0"/>
            <c:spPr>
              <a:solidFill>
                <a:schemeClr val="accent2">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6A5-46FA-A06B-1476CA58022A}"/>
              </c:ext>
            </c:extLst>
          </c:dPt>
          <c:dPt>
            <c:idx val="2"/>
            <c:bubble3D val="0"/>
            <c:spPr>
              <a:solidFill>
                <a:srgbClr val="E8F5E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6A5-46FA-A06B-1476CA5802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TABLES'!$A$18:$A$21</c:f>
              <c:strCache>
                <c:ptCount val="3"/>
                <c:pt idx="0">
                  <c:v>Private</c:v>
                </c:pt>
                <c:pt idx="1">
                  <c:v>Public</c:v>
                </c:pt>
                <c:pt idx="2">
                  <c:v>Self-Pay</c:v>
                </c:pt>
              </c:strCache>
            </c:strRef>
          </c:cat>
          <c:val>
            <c:numRef>
              <c:f>'PIVOT TABLES'!$B$18:$B$21</c:f>
              <c:numCache>
                <c:formatCode>General</c:formatCode>
                <c:ptCount val="3"/>
                <c:pt idx="0">
                  <c:v>321</c:v>
                </c:pt>
                <c:pt idx="1">
                  <c:v>361</c:v>
                </c:pt>
                <c:pt idx="2">
                  <c:v>318</c:v>
                </c:pt>
              </c:numCache>
            </c:numRef>
          </c:val>
          <c:extLst>
            <c:ext xmlns:c16="http://schemas.microsoft.com/office/drawing/2014/chart" uri="{C3380CC4-5D6E-409C-BE32-E72D297353CC}">
              <c16:uniqueId val="{00000006-B6A5-46FA-A06B-1476CA5802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9</xdr:col>
      <xdr:colOff>114300</xdr:colOff>
      <xdr:row>0</xdr:row>
      <xdr:rowOff>109537</xdr:rowOff>
    </xdr:from>
    <xdr:to>
      <xdr:col>15</xdr:col>
      <xdr:colOff>285750</xdr:colOff>
      <xdr:row>15</xdr:row>
      <xdr:rowOff>142875</xdr:rowOff>
    </xdr:to>
    <xdr:graphicFrame macro="">
      <xdr:nvGraphicFramePr>
        <xdr:cNvPr id="3" name="Chart 2">
          <a:extLst>
            <a:ext uri="{FF2B5EF4-FFF2-40B4-BE49-F238E27FC236}">
              <a16:creationId xmlns:a16="http://schemas.microsoft.com/office/drawing/2014/main" id="{B694ED87-ED6B-51A9-7FA3-59459A2E2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16</xdr:row>
      <xdr:rowOff>133349</xdr:rowOff>
    </xdr:from>
    <xdr:to>
      <xdr:col>15</xdr:col>
      <xdr:colOff>219075</xdr:colOff>
      <xdr:row>28</xdr:row>
      <xdr:rowOff>128586</xdr:rowOff>
    </xdr:to>
    <xdr:graphicFrame macro="">
      <xdr:nvGraphicFramePr>
        <xdr:cNvPr id="4" name="Chart 3">
          <a:extLst>
            <a:ext uri="{FF2B5EF4-FFF2-40B4-BE49-F238E27FC236}">
              <a16:creationId xmlns:a16="http://schemas.microsoft.com/office/drawing/2014/main" id="{4025D0C1-38C5-C4EA-E7B5-1E6AEDB77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533401</xdr:colOff>
      <xdr:row>0</xdr:row>
      <xdr:rowOff>71437</xdr:rowOff>
    </xdr:from>
    <xdr:to>
      <xdr:col>22</xdr:col>
      <xdr:colOff>295275</xdr:colOff>
      <xdr:row>13</xdr:row>
      <xdr:rowOff>9525</xdr:rowOff>
    </xdr:to>
    <xdr:graphicFrame macro="">
      <xdr:nvGraphicFramePr>
        <xdr:cNvPr id="5" name="Chart 4">
          <a:extLst>
            <a:ext uri="{FF2B5EF4-FFF2-40B4-BE49-F238E27FC236}">
              <a16:creationId xmlns:a16="http://schemas.microsoft.com/office/drawing/2014/main" id="{F15ED552-CC65-08E2-4116-99B73408F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581025</xdr:colOff>
      <xdr:row>15</xdr:row>
      <xdr:rowOff>28575</xdr:rowOff>
    </xdr:from>
    <xdr:to>
      <xdr:col>22</xdr:col>
      <xdr:colOff>485775</xdr:colOff>
      <xdr:row>27</xdr:row>
      <xdr:rowOff>147637</xdr:rowOff>
    </xdr:to>
    <xdr:graphicFrame macro="">
      <xdr:nvGraphicFramePr>
        <xdr:cNvPr id="6" name="Chart 5">
          <a:extLst>
            <a:ext uri="{FF2B5EF4-FFF2-40B4-BE49-F238E27FC236}">
              <a16:creationId xmlns:a16="http://schemas.microsoft.com/office/drawing/2014/main" id="{8418F6B2-E4E1-F779-9E12-6A72AE62E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438150</xdr:colOff>
      <xdr:row>0</xdr:row>
      <xdr:rowOff>152400</xdr:rowOff>
    </xdr:from>
    <xdr:to>
      <xdr:col>29</xdr:col>
      <xdr:colOff>28575</xdr:colOff>
      <xdr:row>13</xdr:row>
      <xdr:rowOff>176212</xdr:rowOff>
    </xdr:to>
    <xdr:graphicFrame macro="">
      <xdr:nvGraphicFramePr>
        <xdr:cNvPr id="7" name="Chart 6">
          <a:extLst>
            <a:ext uri="{FF2B5EF4-FFF2-40B4-BE49-F238E27FC236}">
              <a16:creationId xmlns:a16="http://schemas.microsoft.com/office/drawing/2014/main" id="{D34665C6-DE53-D430-4D1E-64F3B6C5F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114300</xdr:colOff>
      <xdr:row>14</xdr:row>
      <xdr:rowOff>95249</xdr:rowOff>
    </xdr:from>
    <xdr:to>
      <xdr:col>29</xdr:col>
      <xdr:colOff>266700</xdr:colOff>
      <xdr:row>27</xdr:row>
      <xdr:rowOff>90486</xdr:rowOff>
    </xdr:to>
    <xdr:graphicFrame macro="">
      <xdr:nvGraphicFramePr>
        <xdr:cNvPr id="8" name="Chart 7">
          <a:extLst>
            <a:ext uri="{FF2B5EF4-FFF2-40B4-BE49-F238E27FC236}">
              <a16:creationId xmlns:a16="http://schemas.microsoft.com/office/drawing/2014/main" id="{7AC4C2B3-1830-7CFB-B276-9B4801966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266700</xdr:colOff>
      <xdr:row>0</xdr:row>
      <xdr:rowOff>114300</xdr:rowOff>
    </xdr:from>
    <xdr:to>
      <xdr:col>18</xdr:col>
      <xdr:colOff>266700</xdr:colOff>
      <xdr:row>13</xdr:row>
      <xdr:rowOff>161925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C6A1C69-E2E4-44A5-B15B-A01A8CEC46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77775"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3</xdr:row>
      <xdr:rowOff>19050</xdr:rowOff>
    </xdr:from>
    <xdr:to>
      <xdr:col>19</xdr:col>
      <xdr:colOff>133350</xdr:colOff>
      <xdr:row>16</xdr:row>
      <xdr:rowOff>66675</xdr:rowOff>
    </xdr:to>
    <mc:AlternateContent xmlns:mc="http://schemas.openxmlformats.org/markup-compatibility/2006" xmlns:a14="http://schemas.microsoft.com/office/drawing/2010/main">
      <mc:Choice Requires="a14">
        <xdr:graphicFrame macro="">
          <xdr:nvGraphicFramePr>
            <xdr:cNvPr id="9" name="Disease">
              <a:extLst>
                <a:ext uri="{FF2B5EF4-FFF2-40B4-BE49-F238E27FC236}">
                  <a16:creationId xmlns:a16="http://schemas.microsoft.com/office/drawing/2014/main" id="{D56C447B-6098-D423-C1AB-00576C685C2E}"/>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13154025"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114300</xdr:rowOff>
    </xdr:from>
    <xdr:to>
      <xdr:col>20</xdr:col>
      <xdr:colOff>0</xdr:colOff>
      <xdr:row>18</xdr:row>
      <xdr:rowOff>161925</xdr:rowOff>
    </xdr:to>
    <mc:AlternateContent xmlns:mc="http://schemas.openxmlformats.org/markup-compatibility/2006" xmlns:a14="http://schemas.microsoft.com/office/drawing/2010/main">
      <mc:Choice Requires="a14">
        <xdr:graphicFrame macro="">
          <xdr:nvGraphicFramePr>
            <xdr:cNvPr id="10" name="Hospital">
              <a:extLst>
                <a:ext uri="{FF2B5EF4-FFF2-40B4-BE49-F238E27FC236}">
                  <a16:creationId xmlns:a16="http://schemas.microsoft.com/office/drawing/2014/main" id="{E29E57EA-FF3D-6433-E5BE-154554EA383D}"/>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13630275"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8</xdr:row>
      <xdr:rowOff>19050</xdr:rowOff>
    </xdr:from>
    <xdr:to>
      <xdr:col>20</xdr:col>
      <xdr:colOff>476250</xdr:colOff>
      <xdr:row>21</xdr:row>
      <xdr:rowOff>66675</xdr:rowOff>
    </xdr:to>
    <mc:AlternateContent xmlns:mc="http://schemas.openxmlformats.org/markup-compatibility/2006" xmlns:a14="http://schemas.microsoft.com/office/drawing/2010/main">
      <mc:Choice Requires="a14">
        <xdr:graphicFrame macro="">
          <xdr:nvGraphicFramePr>
            <xdr:cNvPr id="11" name="Insurance_Type">
              <a:extLst>
                <a:ext uri="{FF2B5EF4-FFF2-40B4-BE49-F238E27FC236}">
                  <a16:creationId xmlns:a16="http://schemas.microsoft.com/office/drawing/2014/main" id="{1D2F18F6-A248-E46E-B8BF-B26BA11D8E33}"/>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14106525" y="154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371475</xdr:colOff>
      <xdr:row>11</xdr:row>
      <xdr:rowOff>57150</xdr:rowOff>
    </xdr:from>
    <xdr:to>
      <xdr:col>21</xdr:col>
      <xdr:colOff>371475</xdr:colOff>
      <xdr:row>16</xdr:row>
      <xdr:rowOff>47625</xdr:rowOff>
    </xdr:to>
    <mc:AlternateContent xmlns:mc="http://schemas.openxmlformats.org/markup-compatibility/2006" xmlns:a14="http://schemas.microsoft.com/office/drawing/2010/main">
      <mc:Choice Requires="a14">
        <xdr:graphicFrame macro="">
          <xdr:nvGraphicFramePr>
            <xdr:cNvPr id="12" name="Admission_month">
              <a:extLst>
                <a:ext uri="{FF2B5EF4-FFF2-40B4-BE49-F238E27FC236}">
                  <a16:creationId xmlns:a16="http://schemas.microsoft.com/office/drawing/2014/main" id="{2F22D94A-8376-6902-FFF9-C6A34A259236}"/>
                </a:ext>
              </a:extLst>
            </xdr:cNvPr>
            <xdr:cNvGraphicFramePr/>
          </xdr:nvGraphicFramePr>
          <xdr:xfrm>
            <a:off x="0" y="0"/>
            <a:ext cx="0" cy="0"/>
          </xdr:xfrm>
          <a:graphic>
            <a:graphicData uri="http://schemas.microsoft.com/office/drawing/2010/slicer">
              <sle:slicer xmlns:sle="http://schemas.microsoft.com/office/drawing/2010/slicer" name="Admission_month"/>
            </a:graphicData>
          </a:graphic>
        </xdr:graphicFrame>
      </mc:Choice>
      <mc:Fallback xmlns="">
        <xdr:sp macro="" textlink="">
          <xdr:nvSpPr>
            <xdr:cNvPr id="0" name=""/>
            <xdr:cNvSpPr>
              <a:spLocks noTextEdit="1"/>
            </xdr:cNvSpPr>
          </xdr:nvSpPr>
          <xdr:spPr>
            <a:xfrm>
              <a:off x="14611350" y="21526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285750</xdr:colOff>
      <xdr:row>26</xdr:row>
      <xdr:rowOff>81644</xdr:rowOff>
    </xdr:from>
    <xdr:to>
      <xdr:col>19</xdr:col>
      <xdr:colOff>476250</xdr:colOff>
      <xdr:row>32</xdr:row>
      <xdr:rowOff>40821</xdr:rowOff>
    </xdr:to>
    <xdr:sp macro="" textlink="">
      <xdr:nvSpPr>
        <xdr:cNvPr id="54" name="Rectangle: Rounded Corners 53">
          <a:extLst>
            <a:ext uri="{FF2B5EF4-FFF2-40B4-BE49-F238E27FC236}">
              <a16:creationId xmlns:a16="http://schemas.microsoft.com/office/drawing/2014/main" id="{24B1CAD9-D138-04DA-3A73-B96B1E853FAA}"/>
            </a:ext>
          </a:extLst>
        </xdr:cNvPr>
        <xdr:cNvSpPr/>
      </xdr:nvSpPr>
      <xdr:spPr>
        <a:xfrm>
          <a:off x="680357" y="5034644"/>
          <a:ext cx="11212286" cy="1102177"/>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336600"/>
              </a:solidFill>
              <a:latin typeface="Times New Roman" panose="02020603050405020304" pitchFamily="18" charset="0"/>
              <a:cs typeface="Times New Roman" panose="02020603050405020304" pitchFamily="18" charset="0"/>
            </a:rPr>
            <a:t>KEY INSIGHTS</a:t>
          </a:r>
        </a:p>
        <a:p>
          <a:pPr algn="l"/>
          <a:endParaRPr lang="en-US" sz="1200" b="1">
            <a:solidFill>
              <a:srgbClr val="336600"/>
            </a:solidFill>
            <a:latin typeface="Times New Roman" panose="02020603050405020304" pitchFamily="18" charset="0"/>
            <a:cs typeface="Times New Roman" panose="02020603050405020304" pitchFamily="18" charset="0"/>
          </a:endParaRPr>
        </a:p>
        <a:p>
          <a:pPr algn="l"/>
          <a:r>
            <a:rPr lang="en-US" sz="1200" b="1">
              <a:solidFill>
                <a:srgbClr val="336600"/>
              </a:solidFill>
              <a:latin typeface="Times New Roman" panose="02020603050405020304" pitchFamily="18" charset="0"/>
              <a:cs typeface="Times New Roman" panose="02020603050405020304" pitchFamily="18" charset="0"/>
            </a:rPr>
            <a:t>• Hope Medical Center recorded the highest readmissions.</a:t>
          </a:r>
          <a:r>
            <a:rPr lang="en-US" sz="1200" b="1" baseline="0">
              <a:solidFill>
                <a:srgbClr val="336600"/>
              </a:solidFill>
              <a:latin typeface="Times New Roman" panose="02020603050405020304" pitchFamily="18" charset="0"/>
              <a:cs typeface="Times New Roman" panose="02020603050405020304" pitchFamily="18" charset="0"/>
            </a:rPr>
            <a:t> </a:t>
          </a:r>
          <a:r>
            <a:rPr lang="en-US" sz="1200" b="1">
              <a:solidFill>
                <a:srgbClr val="336600"/>
              </a:solidFill>
              <a:latin typeface="Times New Roman" panose="02020603050405020304" pitchFamily="18" charset="0"/>
              <a:cs typeface="Times New Roman" panose="02020603050405020304" pitchFamily="18" charset="0"/>
            </a:rPr>
            <a:t>• Pneumonia had the highest readmission count.</a:t>
          </a:r>
        </a:p>
        <a:p>
          <a:pPr algn="l"/>
          <a:r>
            <a:rPr lang="en-US" sz="1200" b="1">
              <a:solidFill>
                <a:srgbClr val="336600"/>
              </a:solidFill>
              <a:latin typeface="Times New Roman" panose="02020603050405020304" pitchFamily="18" charset="0"/>
              <a:cs typeface="Times New Roman" panose="02020603050405020304" pitchFamily="18" charset="0"/>
            </a:rPr>
            <a:t>• Adults represented the largest patient age group.• Private insurance accounted for the largest share of patients.</a:t>
          </a:r>
        </a:p>
        <a:p>
          <a:pPr algn="l"/>
          <a:r>
            <a:rPr lang="en-US" sz="1200" b="1">
              <a:solidFill>
                <a:srgbClr val="336600"/>
              </a:solidFill>
              <a:latin typeface="Times New Roman" panose="02020603050405020304" pitchFamily="18" charset="0"/>
              <a:cs typeface="Times New Roman" panose="02020603050405020304" pitchFamily="18" charset="0"/>
            </a:rPr>
            <a:t>• Readmissions peaked in May.</a:t>
          </a:r>
        </a:p>
      </xdr:txBody>
    </xdr:sp>
    <xdr:clientData/>
  </xdr:twoCellAnchor>
  <xdr:twoCellAnchor>
    <xdr:from>
      <xdr:col>1</xdr:col>
      <xdr:colOff>409575</xdr:colOff>
      <xdr:row>6</xdr:row>
      <xdr:rowOff>152400</xdr:rowOff>
    </xdr:from>
    <xdr:to>
      <xdr:col>9</xdr:col>
      <xdr:colOff>19050</xdr:colOff>
      <xdr:row>15</xdr:row>
      <xdr:rowOff>142875</xdr:rowOff>
    </xdr:to>
    <xdr:sp macro="" textlink="">
      <xdr:nvSpPr>
        <xdr:cNvPr id="10" name="Rectangle: Rounded Corners 9">
          <a:extLst>
            <a:ext uri="{FF2B5EF4-FFF2-40B4-BE49-F238E27FC236}">
              <a16:creationId xmlns:a16="http://schemas.microsoft.com/office/drawing/2014/main" id="{F4F43C12-D878-ECAD-1C88-31A9EEF96F28}"/>
            </a:ext>
          </a:extLst>
        </xdr:cNvPr>
        <xdr:cNvSpPr/>
      </xdr:nvSpPr>
      <xdr:spPr>
        <a:xfrm>
          <a:off x="809625" y="1295400"/>
          <a:ext cx="4486275" cy="170497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514350</xdr:colOff>
      <xdr:row>0</xdr:row>
      <xdr:rowOff>28575</xdr:rowOff>
    </xdr:from>
    <xdr:to>
      <xdr:col>19</xdr:col>
      <xdr:colOff>272143</xdr:colOff>
      <xdr:row>2</xdr:row>
      <xdr:rowOff>161925</xdr:rowOff>
    </xdr:to>
    <xdr:sp macro="" textlink="">
      <xdr:nvSpPr>
        <xdr:cNvPr id="2" name="Rectangle 1">
          <a:extLst>
            <a:ext uri="{FF2B5EF4-FFF2-40B4-BE49-F238E27FC236}">
              <a16:creationId xmlns:a16="http://schemas.microsoft.com/office/drawing/2014/main" id="{B8E77587-2951-B409-EEFB-B6B4E3D1D2E6}"/>
            </a:ext>
          </a:extLst>
        </xdr:cNvPr>
        <xdr:cNvSpPr/>
      </xdr:nvSpPr>
      <xdr:spPr>
        <a:xfrm>
          <a:off x="908957" y="28575"/>
          <a:ext cx="10779579" cy="514350"/>
        </a:xfrm>
        <a:prstGeom prst="rect">
          <a:avLst/>
        </a:prstGeom>
        <a:solidFill>
          <a:schemeClr val="bg1"/>
        </a:solidFill>
        <a:ln>
          <a:noFill/>
        </a:ln>
        <a:effectLst>
          <a:outerShdw blurRad="50800" dist="38100" dir="5400000" algn="t" rotWithShape="0">
            <a:prstClr val="black">
              <a:alpha val="40000"/>
            </a:prstClr>
          </a:outerShdw>
          <a:reflection blurRad="6350" stA="50000" endA="300" endPos="38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114300</xdr:colOff>
      <xdr:row>0</xdr:row>
      <xdr:rowOff>66674</xdr:rowOff>
    </xdr:from>
    <xdr:to>
      <xdr:col>18</xdr:col>
      <xdr:colOff>340179</xdr:colOff>
      <xdr:row>2</xdr:row>
      <xdr:rowOff>142875</xdr:rowOff>
    </xdr:to>
    <xdr:sp macro="" textlink="">
      <xdr:nvSpPr>
        <xdr:cNvPr id="3" name="TextBox 2">
          <a:extLst>
            <a:ext uri="{FF2B5EF4-FFF2-40B4-BE49-F238E27FC236}">
              <a16:creationId xmlns:a16="http://schemas.microsoft.com/office/drawing/2014/main" id="{B1A3641F-97F5-BF6C-A0DD-DD5BAEB61764}"/>
            </a:ext>
          </a:extLst>
        </xdr:cNvPr>
        <xdr:cNvSpPr txBox="1"/>
      </xdr:nvSpPr>
      <xdr:spPr>
        <a:xfrm>
          <a:off x="1121229" y="66674"/>
          <a:ext cx="10023021"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8000"/>
              </a:solidFill>
              <a:latin typeface="Times New Roman" panose="02020603050405020304" pitchFamily="18" charset="0"/>
              <a:cs typeface="Times New Roman" panose="02020603050405020304" pitchFamily="18" charset="0"/>
            </a:rPr>
            <a:t>                       HOSPITAL READMISSION ANALYTICS DASHBOARD</a:t>
          </a:r>
        </a:p>
        <a:p>
          <a:endParaRPr lang="en-US" sz="2000" b="1">
            <a:solidFill>
              <a:srgbClr val="008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514349</xdr:colOff>
      <xdr:row>0</xdr:row>
      <xdr:rowOff>28574</xdr:rowOff>
    </xdr:from>
    <xdr:to>
      <xdr:col>3</xdr:col>
      <xdr:colOff>352424</xdr:colOff>
      <xdr:row>2</xdr:row>
      <xdr:rowOff>85725</xdr:rowOff>
    </xdr:to>
    <xdr:pic>
      <xdr:nvPicPr>
        <xdr:cNvPr id="5" name="Picture 4">
          <a:extLst>
            <a:ext uri="{FF2B5EF4-FFF2-40B4-BE49-F238E27FC236}">
              <a16:creationId xmlns:a16="http://schemas.microsoft.com/office/drawing/2014/main" id="{D435EE55-61A3-B4BF-18EE-392342DD8F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3999" y="28574"/>
          <a:ext cx="447675" cy="438151"/>
        </a:xfrm>
        <a:prstGeom prst="rect">
          <a:avLst/>
        </a:prstGeom>
      </xdr:spPr>
    </xdr:pic>
    <xdr:clientData/>
  </xdr:twoCellAnchor>
  <xdr:twoCellAnchor editAs="oneCell">
    <xdr:from>
      <xdr:col>3</xdr:col>
      <xdr:colOff>504825</xdr:colOff>
      <xdr:row>0</xdr:row>
      <xdr:rowOff>90152</xdr:rowOff>
    </xdr:from>
    <xdr:to>
      <xdr:col>4</xdr:col>
      <xdr:colOff>419100</xdr:colOff>
      <xdr:row>2</xdr:row>
      <xdr:rowOff>57488</xdr:rowOff>
    </xdr:to>
    <xdr:pic>
      <xdr:nvPicPr>
        <xdr:cNvPr id="9" name="Picture 8">
          <a:extLst>
            <a:ext uri="{FF2B5EF4-FFF2-40B4-BE49-F238E27FC236}">
              <a16:creationId xmlns:a16="http://schemas.microsoft.com/office/drawing/2014/main" id="{9F1EB871-3D1A-E666-15B4-2EFB859776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4075" y="90152"/>
          <a:ext cx="523875" cy="348336"/>
        </a:xfrm>
        <a:prstGeom prst="rect">
          <a:avLst/>
        </a:prstGeom>
      </xdr:spPr>
    </xdr:pic>
    <xdr:clientData/>
  </xdr:twoCellAnchor>
  <xdr:twoCellAnchor>
    <xdr:from>
      <xdr:col>9</xdr:col>
      <xdr:colOff>38101</xdr:colOff>
      <xdr:row>6</xdr:row>
      <xdr:rowOff>161925</xdr:rowOff>
    </xdr:from>
    <xdr:to>
      <xdr:col>12</xdr:col>
      <xdr:colOff>438151</xdr:colOff>
      <xdr:row>16</xdr:row>
      <xdr:rowOff>76200</xdr:rowOff>
    </xdr:to>
    <xdr:sp macro="" textlink="">
      <xdr:nvSpPr>
        <xdr:cNvPr id="11" name="Rectangle: Rounded Corners 10">
          <a:extLst>
            <a:ext uri="{FF2B5EF4-FFF2-40B4-BE49-F238E27FC236}">
              <a16:creationId xmlns:a16="http://schemas.microsoft.com/office/drawing/2014/main" id="{54DCBA1A-E88A-4BB6-9B2E-CC777568C767}"/>
            </a:ext>
          </a:extLst>
        </xdr:cNvPr>
        <xdr:cNvSpPr/>
      </xdr:nvSpPr>
      <xdr:spPr>
        <a:xfrm>
          <a:off x="5314951" y="1304925"/>
          <a:ext cx="2228850" cy="181927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495300</xdr:colOff>
      <xdr:row>6</xdr:row>
      <xdr:rowOff>171450</xdr:rowOff>
    </xdr:from>
    <xdr:to>
      <xdr:col>17</xdr:col>
      <xdr:colOff>19050</xdr:colOff>
      <xdr:row>16</xdr:row>
      <xdr:rowOff>95249</xdr:rowOff>
    </xdr:to>
    <xdr:sp macro="" textlink="">
      <xdr:nvSpPr>
        <xdr:cNvPr id="12" name="Rectangle: Rounded Corners 11">
          <a:extLst>
            <a:ext uri="{FF2B5EF4-FFF2-40B4-BE49-F238E27FC236}">
              <a16:creationId xmlns:a16="http://schemas.microsoft.com/office/drawing/2014/main" id="{ADD73858-E0B4-41E6-8505-D82190F08271}"/>
            </a:ext>
          </a:extLst>
        </xdr:cNvPr>
        <xdr:cNvSpPr/>
      </xdr:nvSpPr>
      <xdr:spPr>
        <a:xfrm>
          <a:off x="7600950" y="1314450"/>
          <a:ext cx="2571750" cy="1828799"/>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361950</xdr:colOff>
      <xdr:row>16</xdr:row>
      <xdr:rowOff>76200</xdr:rowOff>
    </xdr:from>
    <xdr:to>
      <xdr:col>7</xdr:col>
      <xdr:colOff>247650</xdr:colOff>
      <xdr:row>26</xdr:row>
      <xdr:rowOff>9525</xdr:rowOff>
    </xdr:to>
    <xdr:sp macro="" textlink="">
      <xdr:nvSpPr>
        <xdr:cNvPr id="13" name="Rectangle: Rounded Corners 12">
          <a:extLst>
            <a:ext uri="{FF2B5EF4-FFF2-40B4-BE49-F238E27FC236}">
              <a16:creationId xmlns:a16="http://schemas.microsoft.com/office/drawing/2014/main" id="{E93690DC-3240-4AAD-A6C4-84E9027DB55E}"/>
            </a:ext>
          </a:extLst>
        </xdr:cNvPr>
        <xdr:cNvSpPr/>
      </xdr:nvSpPr>
      <xdr:spPr>
        <a:xfrm>
          <a:off x="762000" y="3124200"/>
          <a:ext cx="3543300" cy="18383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342900</xdr:colOff>
      <xdr:row>16</xdr:row>
      <xdr:rowOff>133350</xdr:rowOff>
    </xdr:from>
    <xdr:to>
      <xdr:col>11</xdr:col>
      <xdr:colOff>495300</xdr:colOff>
      <xdr:row>26</xdr:row>
      <xdr:rowOff>95250</xdr:rowOff>
    </xdr:to>
    <xdr:sp macro="" textlink="">
      <xdr:nvSpPr>
        <xdr:cNvPr id="14" name="Rectangle: Rounded Corners 13">
          <a:extLst>
            <a:ext uri="{FF2B5EF4-FFF2-40B4-BE49-F238E27FC236}">
              <a16:creationId xmlns:a16="http://schemas.microsoft.com/office/drawing/2014/main" id="{9F0A8973-870B-4C49-8AFE-F096CD2D8D83}"/>
            </a:ext>
          </a:extLst>
        </xdr:cNvPr>
        <xdr:cNvSpPr/>
      </xdr:nvSpPr>
      <xdr:spPr>
        <a:xfrm>
          <a:off x="4400550" y="3181350"/>
          <a:ext cx="2590800" cy="18669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xdr:colOff>
      <xdr:row>16</xdr:row>
      <xdr:rowOff>161925</xdr:rowOff>
    </xdr:from>
    <xdr:to>
      <xdr:col>17</xdr:col>
      <xdr:colOff>57149</xdr:colOff>
      <xdr:row>26</xdr:row>
      <xdr:rowOff>114301</xdr:rowOff>
    </xdr:to>
    <xdr:sp macro="" textlink="">
      <xdr:nvSpPr>
        <xdr:cNvPr id="15" name="Rectangle: Rounded Corners 14">
          <a:extLst>
            <a:ext uri="{FF2B5EF4-FFF2-40B4-BE49-F238E27FC236}">
              <a16:creationId xmlns:a16="http://schemas.microsoft.com/office/drawing/2014/main" id="{905D5A55-F92E-4B2A-9D44-E902D8B9C723}"/>
            </a:ext>
          </a:extLst>
        </xdr:cNvPr>
        <xdr:cNvSpPr/>
      </xdr:nvSpPr>
      <xdr:spPr>
        <a:xfrm>
          <a:off x="7124700" y="3209925"/>
          <a:ext cx="3086099" cy="185737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495301</xdr:colOff>
      <xdr:row>3</xdr:row>
      <xdr:rowOff>76200</xdr:rowOff>
    </xdr:from>
    <xdr:to>
      <xdr:col>4</xdr:col>
      <xdr:colOff>400051</xdr:colOff>
      <xdr:row>6</xdr:row>
      <xdr:rowOff>133350</xdr:rowOff>
    </xdr:to>
    <xdr:sp macro="" textlink="">
      <xdr:nvSpPr>
        <xdr:cNvPr id="16" name="Rectangle: Rounded Corners 15">
          <a:extLst>
            <a:ext uri="{FF2B5EF4-FFF2-40B4-BE49-F238E27FC236}">
              <a16:creationId xmlns:a16="http://schemas.microsoft.com/office/drawing/2014/main" id="{3E77DD34-3171-4728-A454-E8A7A03E63DB}"/>
            </a:ext>
          </a:extLst>
        </xdr:cNvPr>
        <xdr:cNvSpPr/>
      </xdr:nvSpPr>
      <xdr:spPr>
        <a:xfrm>
          <a:off x="895351" y="647700"/>
          <a:ext cx="1733550" cy="62865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371475</xdr:colOff>
      <xdr:row>3</xdr:row>
      <xdr:rowOff>66675</xdr:rowOff>
    </xdr:from>
    <xdr:to>
      <xdr:col>13</xdr:col>
      <xdr:colOff>200025</xdr:colOff>
      <xdr:row>6</xdr:row>
      <xdr:rowOff>114299</xdr:rowOff>
    </xdr:to>
    <xdr:sp macro="" textlink="">
      <xdr:nvSpPr>
        <xdr:cNvPr id="18" name="Rectangle: Rounded Corners 17">
          <a:extLst>
            <a:ext uri="{FF2B5EF4-FFF2-40B4-BE49-F238E27FC236}">
              <a16:creationId xmlns:a16="http://schemas.microsoft.com/office/drawing/2014/main" id="{0B5FC396-D316-4ACE-9374-86F505E4D9D1}"/>
            </a:ext>
          </a:extLst>
        </xdr:cNvPr>
        <xdr:cNvSpPr/>
      </xdr:nvSpPr>
      <xdr:spPr>
        <a:xfrm>
          <a:off x="6257925" y="638175"/>
          <a:ext cx="1657350" cy="61912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257174</xdr:colOff>
      <xdr:row>3</xdr:row>
      <xdr:rowOff>85725</xdr:rowOff>
    </xdr:from>
    <xdr:to>
      <xdr:col>16</xdr:col>
      <xdr:colOff>495299</xdr:colOff>
      <xdr:row>6</xdr:row>
      <xdr:rowOff>95250</xdr:rowOff>
    </xdr:to>
    <xdr:sp macro="" textlink="">
      <xdr:nvSpPr>
        <xdr:cNvPr id="19" name="Rectangle: Rounded Corners 18">
          <a:extLst>
            <a:ext uri="{FF2B5EF4-FFF2-40B4-BE49-F238E27FC236}">
              <a16:creationId xmlns:a16="http://schemas.microsoft.com/office/drawing/2014/main" id="{37A1FBE5-6954-4A91-B5B6-E8CAB9FE5E43}"/>
            </a:ext>
          </a:extLst>
        </xdr:cNvPr>
        <xdr:cNvSpPr/>
      </xdr:nvSpPr>
      <xdr:spPr>
        <a:xfrm>
          <a:off x="7972424" y="657225"/>
          <a:ext cx="2066925" cy="5810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466725</xdr:colOff>
      <xdr:row>3</xdr:row>
      <xdr:rowOff>76200</xdr:rowOff>
    </xdr:from>
    <xdr:to>
      <xdr:col>7</xdr:col>
      <xdr:colOff>266700</xdr:colOff>
      <xdr:row>6</xdr:row>
      <xdr:rowOff>114300</xdr:rowOff>
    </xdr:to>
    <xdr:sp macro="" textlink="">
      <xdr:nvSpPr>
        <xdr:cNvPr id="20" name="Rectangle: Rounded Corners 19">
          <a:extLst>
            <a:ext uri="{FF2B5EF4-FFF2-40B4-BE49-F238E27FC236}">
              <a16:creationId xmlns:a16="http://schemas.microsoft.com/office/drawing/2014/main" id="{D7F5610B-7B3D-4CEF-A547-35E8AEC729DC}"/>
            </a:ext>
          </a:extLst>
        </xdr:cNvPr>
        <xdr:cNvSpPr/>
      </xdr:nvSpPr>
      <xdr:spPr>
        <a:xfrm>
          <a:off x="2695575" y="647700"/>
          <a:ext cx="1628775" cy="6096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409576</xdr:colOff>
      <xdr:row>17</xdr:row>
      <xdr:rowOff>47625</xdr:rowOff>
    </xdr:from>
    <xdr:to>
      <xdr:col>7</xdr:col>
      <xdr:colOff>57150</xdr:colOff>
      <xdr:row>26</xdr:row>
      <xdr:rowOff>71438</xdr:rowOff>
    </xdr:to>
    <xdr:graphicFrame macro="">
      <xdr:nvGraphicFramePr>
        <xdr:cNvPr id="23" name="Chart 22">
          <a:extLst>
            <a:ext uri="{FF2B5EF4-FFF2-40B4-BE49-F238E27FC236}">
              <a16:creationId xmlns:a16="http://schemas.microsoft.com/office/drawing/2014/main" id="{09553D0E-D362-46A0-999C-8C5961CD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514350</xdr:colOff>
      <xdr:row>7</xdr:row>
      <xdr:rowOff>133351</xdr:rowOff>
    </xdr:from>
    <xdr:to>
      <xdr:col>17</xdr:col>
      <xdr:colOff>123825</xdr:colOff>
      <xdr:row>16</xdr:row>
      <xdr:rowOff>152399</xdr:rowOff>
    </xdr:to>
    <xdr:graphicFrame macro="">
      <xdr:nvGraphicFramePr>
        <xdr:cNvPr id="24" name="Chart 23">
          <a:extLst>
            <a:ext uri="{FF2B5EF4-FFF2-40B4-BE49-F238E27FC236}">
              <a16:creationId xmlns:a16="http://schemas.microsoft.com/office/drawing/2014/main" id="{1CAEE88E-17A0-45A4-A96D-A23A3F2FB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419100</xdr:colOff>
      <xdr:row>7</xdr:row>
      <xdr:rowOff>123825</xdr:rowOff>
    </xdr:from>
    <xdr:to>
      <xdr:col>8</xdr:col>
      <xdr:colOff>466725</xdr:colOff>
      <xdr:row>15</xdr:row>
      <xdr:rowOff>152400</xdr:rowOff>
    </xdr:to>
    <xdr:graphicFrame macro="">
      <xdr:nvGraphicFramePr>
        <xdr:cNvPr id="25" name="Chart 24">
          <a:extLst>
            <a:ext uri="{FF2B5EF4-FFF2-40B4-BE49-F238E27FC236}">
              <a16:creationId xmlns:a16="http://schemas.microsoft.com/office/drawing/2014/main" id="{86C3AFC8-D771-4D6E-BABF-98B275CF5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47625</xdr:colOff>
      <xdr:row>17</xdr:row>
      <xdr:rowOff>104775</xdr:rowOff>
    </xdr:from>
    <xdr:to>
      <xdr:col>17</xdr:col>
      <xdr:colOff>9525</xdr:colOff>
      <xdr:row>27</xdr:row>
      <xdr:rowOff>19051</xdr:rowOff>
    </xdr:to>
    <xdr:graphicFrame macro="">
      <xdr:nvGraphicFramePr>
        <xdr:cNvPr id="26" name="Chart 25">
          <a:extLst>
            <a:ext uri="{FF2B5EF4-FFF2-40B4-BE49-F238E27FC236}">
              <a16:creationId xmlns:a16="http://schemas.microsoft.com/office/drawing/2014/main" id="{0021BBCF-AE5D-40A6-BAB7-219FA0143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361950</xdr:colOff>
      <xdr:row>17</xdr:row>
      <xdr:rowOff>161925</xdr:rowOff>
    </xdr:from>
    <xdr:to>
      <xdr:col>11</xdr:col>
      <xdr:colOff>323850</xdr:colOff>
      <xdr:row>26</xdr:row>
      <xdr:rowOff>76200</xdr:rowOff>
    </xdr:to>
    <xdr:graphicFrame macro="">
      <xdr:nvGraphicFramePr>
        <xdr:cNvPr id="27" name="Chart 26">
          <a:extLst>
            <a:ext uri="{FF2B5EF4-FFF2-40B4-BE49-F238E27FC236}">
              <a16:creationId xmlns:a16="http://schemas.microsoft.com/office/drawing/2014/main" id="{6C36DBDD-C283-4170-AA4F-C0DA74EE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85725</xdr:colOff>
      <xdr:row>8</xdr:row>
      <xdr:rowOff>47625</xdr:rowOff>
    </xdr:from>
    <xdr:to>
      <xdr:col>12</xdr:col>
      <xdr:colOff>371475</xdr:colOff>
      <xdr:row>15</xdr:row>
      <xdr:rowOff>161925</xdr:rowOff>
    </xdr:to>
    <xdr:graphicFrame macro="">
      <xdr:nvGraphicFramePr>
        <xdr:cNvPr id="28" name="Chart 27">
          <a:extLst>
            <a:ext uri="{FF2B5EF4-FFF2-40B4-BE49-F238E27FC236}">
              <a16:creationId xmlns:a16="http://schemas.microsoft.com/office/drawing/2014/main" id="{764F1A19-CE88-429A-8D8A-7B344C8E2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28575</xdr:colOff>
      <xdr:row>3</xdr:row>
      <xdr:rowOff>76199</xdr:rowOff>
    </xdr:from>
    <xdr:to>
      <xdr:col>19</xdr:col>
      <xdr:colOff>504825</xdr:colOff>
      <xdr:row>7</xdr:row>
      <xdr:rowOff>66675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35317487-D948-44DD-B47E-0DC492D804D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220325" y="647699"/>
              <a:ext cx="1700893" cy="752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17</xdr:row>
      <xdr:rowOff>85725</xdr:rowOff>
    </xdr:from>
    <xdr:to>
      <xdr:col>19</xdr:col>
      <xdr:colOff>517072</xdr:colOff>
      <xdr:row>21</xdr:row>
      <xdr:rowOff>133350</xdr:rowOff>
    </xdr:to>
    <mc:AlternateContent xmlns:mc="http://schemas.openxmlformats.org/markup-compatibility/2006" xmlns:a14="http://schemas.microsoft.com/office/drawing/2010/main">
      <mc:Choice Requires="a14">
        <xdr:graphicFrame macro="">
          <xdr:nvGraphicFramePr>
            <xdr:cNvPr id="6" name="Disease 1">
              <a:extLst>
                <a:ext uri="{FF2B5EF4-FFF2-40B4-BE49-F238E27FC236}">
                  <a16:creationId xmlns:a16="http://schemas.microsoft.com/office/drawing/2014/main" id="{4EDABE16-027C-4656-95AE-30F17698064A}"/>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10296525" y="3324225"/>
              <a:ext cx="163694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21</xdr:row>
      <xdr:rowOff>171451</xdr:rowOff>
    </xdr:from>
    <xdr:to>
      <xdr:col>19</xdr:col>
      <xdr:colOff>552450</xdr:colOff>
      <xdr:row>25</xdr:row>
      <xdr:rowOff>171451</xdr:rowOff>
    </xdr:to>
    <mc:AlternateContent xmlns:mc="http://schemas.openxmlformats.org/markup-compatibility/2006" xmlns:a14="http://schemas.microsoft.com/office/drawing/2010/main">
      <mc:Choice Requires="a14">
        <xdr:graphicFrame macro="">
          <xdr:nvGraphicFramePr>
            <xdr:cNvPr id="7" name="Hospital 1">
              <a:extLst>
                <a:ext uri="{FF2B5EF4-FFF2-40B4-BE49-F238E27FC236}">
                  <a16:creationId xmlns:a16="http://schemas.microsoft.com/office/drawing/2014/main" id="{253CF290-C5C5-4681-B8EA-229E2762289E}"/>
                </a:ext>
              </a:extLst>
            </xdr:cNvPr>
            <xdr:cNvGraphicFramePr/>
          </xdr:nvGraphicFramePr>
          <xdr:xfrm>
            <a:off x="0" y="0"/>
            <a:ext cx="0" cy="0"/>
          </xdr:xfrm>
          <a:graphic>
            <a:graphicData uri="http://schemas.microsoft.com/office/drawing/2010/slicer">
              <sle:slicer xmlns:sle="http://schemas.microsoft.com/office/drawing/2010/slicer" name="Hospital 1"/>
            </a:graphicData>
          </a:graphic>
        </xdr:graphicFrame>
      </mc:Choice>
      <mc:Fallback xmlns="">
        <xdr:sp macro="" textlink="">
          <xdr:nvSpPr>
            <xdr:cNvPr id="0" name=""/>
            <xdr:cNvSpPr>
              <a:spLocks noTextEdit="1"/>
            </xdr:cNvSpPr>
          </xdr:nvSpPr>
          <xdr:spPr>
            <a:xfrm>
              <a:off x="10296525" y="4171951"/>
              <a:ext cx="1672318"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76201</xdr:colOff>
      <xdr:row>12</xdr:row>
      <xdr:rowOff>47626</xdr:rowOff>
    </xdr:from>
    <xdr:to>
      <xdr:col>19</xdr:col>
      <xdr:colOff>514351</xdr:colOff>
      <xdr:row>16</xdr:row>
      <xdr:rowOff>180975</xdr:rowOff>
    </xdr:to>
    <mc:AlternateContent xmlns:mc="http://schemas.openxmlformats.org/markup-compatibility/2006" xmlns:a14="http://schemas.microsoft.com/office/drawing/2010/main">
      <mc:Choice Requires="a14">
        <xdr:graphicFrame macro="">
          <xdr:nvGraphicFramePr>
            <xdr:cNvPr id="8" name="Insurance_Type 1">
              <a:extLst>
                <a:ext uri="{FF2B5EF4-FFF2-40B4-BE49-F238E27FC236}">
                  <a16:creationId xmlns:a16="http://schemas.microsoft.com/office/drawing/2014/main" id="{2B0C8365-279F-488E-80D4-452DDA9931A7}"/>
                </a:ext>
              </a:extLst>
            </xdr:cNvPr>
            <xdr:cNvGraphicFramePr/>
          </xdr:nvGraphicFramePr>
          <xdr:xfrm>
            <a:off x="0" y="0"/>
            <a:ext cx="0" cy="0"/>
          </xdr:xfrm>
          <a:graphic>
            <a:graphicData uri="http://schemas.microsoft.com/office/drawing/2010/slicer">
              <sle:slicer xmlns:sle="http://schemas.microsoft.com/office/drawing/2010/slicer" name="Insurance_Type 1"/>
            </a:graphicData>
          </a:graphic>
        </xdr:graphicFrame>
      </mc:Choice>
      <mc:Fallback xmlns="">
        <xdr:sp macro="" textlink="">
          <xdr:nvSpPr>
            <xdr:cNvPr id="0" name=""/>
            <xdr:cNvSpPr>
              <a:spLocks noTextEdit="1"/>
            </xdr:cNvSpPr>
          </xdr:nvSpPr>
          <xdr:spPr>
            <a:xfrm>
              <a:off x="10267951" y="2333626"/>
              <a:ext cx="1662793"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85724</xdr:colOff>
      <xdr:row>7</xdr:row>
      <xdr:rowOff>133350</xdr:rowOff>
    </xdr:from>
    <xdr:to>
      <xdr:col>19</xdr:col>
      <xdr:colOff>523875</xdr:colOff>
      <xdr:row>11</xdr:row>
      <xdr:rowOff>152400</xdr:rowOff>
    </xdr:to>
    <mc:AlternateContent xmlns:mc="http://schemas.openxmlformats.org/markup-compatibility/2006" xmlns:a14="http://schemas.microsoft.com/office/drawing/2010/main">
      <mc:Choice Requires="a14">
        <xdr:graphicFrame macro="">
          <xdr:nvGraphicFramePr>
            <xdr:cNvPr id="17" name="Admission_month 1">
              <a:extLst>
                <a:ext uri="{FF2B5EF4-FFF2-40B4-BE49-F238E27FC236}">
                  <a16:creationId xmlns:a16="http://schemas.microsoft.com/office/drawing/2014/main" id="{A0B7BB92-B25C-4D50-99D2-6BD31967B396}"/>
                </a:ext>
              </a:extLst>
            </xdr:cNvPr>
            <xdr:cNvGraphicFramePr/>
          </xdr:nvGraphicFramePr>
          <xdr:xfrm>
            <a:off x="0" y="0"/>
            <a:ext cx="0" cy="0"/>
          </xdr:xfrm>
          <a:graphic>
            <a:graphicData uri="http://schemas.microsoft.com/office/drawing/2010/slicer">
              <sle:slicer xmlns:sle="http://schemas.microsoft.com/office/drawing/2010/slicer" name="Admission_month 1"/>
            </a:graphicData>
          </a:graphic>
        </xdr:graphicFrame>
      </mc:Choice>
      <mc:Fallback xmlns="">
        <xdr:sp macro="" textlink="">
          <xdr:nvSpPr>
            <xdr:cNvPr id="0" name=""/>
            <xdr:cNvSpPr>
              <a:spLocks noTextEdit="1"/>
            </xdr:cNvSpPr>
          </xdr:nvSpPr>
          <xdr:spPr>
            <a:xfrm>
              <a:off x="10277474" y="1466850"/>
              <a:ext cx="1662794"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533400</xdr:colOff>
      <xdr:row>3</xdr:row>
      <xdr:rowOff>38100</xdr:rowOff>
    </xdr:from>
    <xdr:to>
      <xdr:col>4</xdr:col>
      <xdr:colOff>352425</xdr:colOff>
      <xdr:row>6</xdr:row>
      <xdr:rowOff>104775</xdr:rowOff>
    </xdr:to>
    <xdr:sp macro="" textlink="">
      <xdr:nvSpPr>
        <xdr:cNvPr id="21" name="TextBox 20">
          <a:extLst>
            <a:ext uri="{FF2B5EF4-FFF2-40B4-BE49-F238E27FC236}">
              <a16:creationId xmlns:a16="http://schemas.microsoft.com/office/drawing/2014/main" id="{0CBD8B78-104F-AB7C-B184-C50E7D706A61}"/>
            </a:ext>
          </a:extLst>
        </xdr:cNvPr>
        <xdr:cNvSpPr txBox="1"/>
      </xdr:nvSpPr>
      <xdr:spPr>
        <a:xfrm>
          <a:off x="933450" y="609600"/>
          <a:ext cx="164782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36600"/>
              </a:solidFill>
              <a:latin typeface="Times New Roman" panose="02020603050405020304" pitchFamily="18" charset="0"/>
              <a:cs typeface="Times New Roman" panose="02020603050405020304" pitchFamily="18" charset="0"/>
            </a:rPr>
            <a:t>  </a:t>
          </a:r>
          <a:r>
            <a:rPr lang="en-US" sz="1200" b="1">
              <a:solidFill>
                <a:srgbClr val="336600"/>
              </a:solidFill>
              <a:latin typeface="Times New Roman" panose="02020603050405020304" pitchFamily="18" charset="0"/>
              <a:cs typeface="Times New Roman" panose="02020603050405020304" pitchFamily="18" charset="0"/>
            </a:rPr>
            <a:t>Total Patients</a:t>
          </a:r>
        </a:p>
        <a:p>
          <a:r>
            <a:rPr lang="en-US" sz="1400" b="1">
              <a:solidFill>
                <a:srgbClr val="336600"/>
              </a:solidFill>
              <a:latin typeface="Times New Roman" panose="02020603050405020304" pitchFamily="18" charset="0"/>
              <a:cs typeface="Times New Roman" panose="02020603050405020304" pitchFamily="18" charset="0"/>
            </a:rPr>
            <a:t>                  </a:t>
          </a:r>
          <a:r>
            <a:rPr lang="en-US" sz="1600" b="1">
              <a:solidFill>
                <a:srgbClr val="336600"/>
              </a:solidFill>
              <a:latin typeface="Times New Roman" panose="02020603050405020304" pitchFamily="18" charset="0"/>
              <a:cs typeface="Times New Roman" panose="02020603050405020304" pitchFamily="18" charset="0"/>
            </a:rPr>
            <a:t>1000</a:t>
          </a:r>
          <a:endParaRPr lang="en-US" sz="1400" b="1">
            <a:solidFill>
              <a:srgbClr val="3366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485776</xdr:colOff>
      <xdr:row>3</xdr:row>
      <xdr:rowOff>57150</xdr:rowOff>
    </xdr:from>
    <xdr:to>
      <xdr:col>7</xdr:col>
      <xdr:colOff>333375</xdr:colOff>
      <xdr:row>6</xdr:row>
      <xdr:rowOff>114300</xdr:rowOff>
    </xdr:to>
    <xdr:sp macro="" textlink="">
      <xdr:nvSpPr>
        <xdr:cNvPr id="22" name="TextBox 21">
          <a:extLst>
            <a:ext uri="{FF2B5EF4-FFF2-40B4-BE49-F238E27FC236}">
              <a16:creationId xmlns:a16="http://schemas.microsoft.com/office/drawing/2014/main" id="{014FCB27-425B-30D3-2CCD-78513CA94BFA}"/>
            </a:ext>
          </a:extLst>
        </xdr:cNvPr>
        <xdr:cNvSpPr txBox="1"/>
      </xdr:nvSpPr>
      <xdr:spPr>
        <a:xfrm>
          <a:off x="2714626" y="628650"/>
          <a:ext cx="16763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36600"/>
              </a:solidFill>
              <a:latin typeface="Times New Roman" panose="02020603050405020304" pitchFamily="18" charset="0"/>
              <a:cs typeface="Times New Roman" panose="02020603050405020304" pitchFamily="18" charset="0"/>
            </a:rPr>
            <a:t>Avgerage Length</a:t>
          </a:r>
          <a:r>
            <a:rPr lang="en-US" sz="1100" b="1" baseline="0">
              <a:solidFill>
                <a:srgbClr val="336600"/>
              </a:solidFill>
              <a:latin typeface="Times New Roman" panose="02020603050405020304" pitchFamily="18" charset="0"/>
              <a:cs typeface="Times New Roman" panose="02020603050405020304" pitchFamily="18" charset="0"/>
            </a:rPr>
            <a:t> of Stay</a:t>
          </a:r>
        </a:p>
        <a:p>
          <a:r>
            <a:rPr lang="en-US" sz="1400" b="1" baseline="0">
              <a:solidFill>
                <a:srgbClr val="336600"/>
              </a:solidFill>
              <a:latin typeface="Times New Roman" panose="02020603050405020304" pitchFamily="18" charset="0"/>
              <a:cs typeface="Times New Roman" panose="02020603050405020304" pitchFamily="18" charset="0"/>
            </a:rPr>
            <a:t>                 </a:t>
          </a:r>
          <a:r>
            <a:rPr lang="en-US" sz="1600" b="1" baseline="0">
              <a:solidFill>
                <a:srgbClr val="336600"/>
              </a:solidFill>
              <a:latin typeface="Times New Roman" panose="02020603050405020304" pitchFamily="18" charset="0"/>
              <a:cs typeface="Times New Roman" panose="02020603050405020304" pitchFamily="18" charset="0"/>
            </a:rPr>
            <a:t>7 Days</a:t>
          </a:r>
          <a:endParaRPr lang="en-US" sz="1400" b="1">
            <a:solidFill>
              <a:srgbClr val="3366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304800</xdr:colOff>
      <xdr:row>3</xdr:row>
      <xdr:rowOff>57150</xdr:rowOff>
    </xdr:from>
    <xdr:to>
      <xdr:col>13</xdr:col>
      <xdr:colOff>238125</xdr:colOff>
      <xdr:row>6</xdr:row>
      <xdr:rowOff>104775</xdr:rowOff>
    </xdr:to>
    <xdr:sp macro="" textlink="">
      <xdr:nvSpPr>
        <xdr:cNvPr id="34" name="TextBox 33">
          <a:extLst>
            <a:ext uri="{FF2B5EF4-FFF2-40B4-BE49-F238E27FC236}">
              <a16:creationId xmlns:a16="http://schemas.microsoft.com/office/drawing/2014/main" id="{CB2F4949-80D2-EBED-7D44-3B80B21712CF}"/>
            </a:ext>
          </a:extLst>
        </xdr:cNvPr>
        <xdr:cNvSpPr txBox="1"/>
      </xdr:nvSpPr>
      <xdr:spPr>
        <a:xfrm>
          <a:off x="6191250" y="628650"/>
          <a:ext cx="17621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Readmission Rate</a:t>
          </a:r>
        </a:p>
        <a:p>
          <a:r>
            <a:rPr lang="en-US" sz="1600" b="1">
              <a:solidFill>
                <a:srgbClr val="336600"/>
              </a:solidFill>
              <a:latin typeface="Times New Roman" panose="02020603050405020304" pitchFamily="18" charset="0"/>
              <a:cs typeface="Times New Roman" panose="02020603050405020304" pitchFamily="18" charset="0"/>
            </a:rPr>
            <a:t>                 30.6%</a:t>
          </a:r>
        </a:p>
      </xdr:txBody>
    </xdr:sp>
    <xdr:clientData/>
  </xdr:twoCellAnchor>
  <xdr:twoCellAnchor>
    <xdr:from>
      <xdr:col>13</xdr:col>
      <xdr:colOff>266700</xdr:colOff>
      <xdr:row>3</xdr:row>
      <xdr:rowOff>66675</xdr:rowOff>
    </xdr:from>
    <xdr:to>
      <xdr:col>16</xdr:col>
      <xdr:colOff>600075</xdr:colOff>
      <xdr:row>6</xdr:row>
      <xdr:rowOff>95250</xdr:rowOff>
    </xdr:to>
    <xdr:sp macro="" textlink="">
      <xdr:nvSpPr>
        <xdr:cNvPr id="35" name="TextBox 34">
          <a:extLst>
            <a:ext uri="{FF2B5EF4-FFF2-40B4-BE49-F238E27FC236}">
              <a16:creationId xmlns:a16="http://schemas.microsoft.com/office/drawing/2014/main" id="{EF09B496-EA04-5D5A-5F74-98738462209F}"/>
            </a:ext>
          </a:extLst>
        </xdr:cNvPr>
        <xdr:cNvSpPr txBox="1"/>
      </xdr:nvSpPr>
      <xdr:spPr>
        <a:xfrm>
          <a:off x="7981950" y="638175"/>
          <a:ext cx="216217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Total Treatment Cost </a:t>
          </a:r>
        </a:p>
        <a:p>
          <a:r>
            <a:rPr lang="en-US" sz="1400" b="1">
              <a:solidFill>
                <a:srgbClr val="336600"/>
              </a:solidFill>
              <a:latin typeface="Times New Roman" panose="02020603050405020304" pitchFamily="18" charset="0"/>
              <a:cs typeface="Times New Roman" panose="02020603050405020304" pitchFamily="18" charset="0"/>
            </a:rPr>
            <a:t>                  </a:t>
          </a:r>
          <a:r>
            <a:rPr lang="en-US" sz="1600" b="1">
              <a:solidFill>
                <a:srgbClr val="336600"/>
              </a:solidFill>
              <a:latin typeface="Times New Roman" panose="02020603050405020304" pitchFamily="18" charset="0"/>
              <a:cs typeface="Times New Roman" panose="02020603050405020304" pitchFamily="18" charset="0"/>
            </a:rPr>
            <a:t> </a:t>
          </a:r>
          <a:r>
            <a:rPr lang="en-US" sz="1400" b="1" i="0" u="none" strike="noStrike">
              <a:solidFill>
                <a:srgbClr val="336600"/>
              </a:solidFill>
              <a:effectLst/>
              <a:latin typeface="Times New Roman" panose="02020603050405020304" pitchFamily="18" charset="0"/>
              <a:ea typeface="+mn-ea"/>
              <a:cs typeface="Times New Roman" panose="02020603050405020304" pitchFamily="18" charset="0"/>
            </a:rPr>
            <a:t>$7,637,563</a:t>
          </a:r>
          <a:r>
            <a:rPr lang="en-US" sz="1800" b="1">
              <a:solidFill>
                <a:srgbClr val="336600"/>
              </a:solidFill>
              <a:effectLst/>
              <a:latin typeface="Times New Roman" panose="02020603050405020304" pitchFamily="18" charset="0"/>
              <a:cs typeface="Times New Roman" panose="02020603050405020304" pitchFamily="18" charset="0"/>
            </a:rPr>
            <a:t> </a:t>
          </a:r>
          <a:endParaRPr lang="en-US" sz="1400" b="1">
            <a:solidFill>
              <a:srgbClr val="3366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342900</xdr:colOff>
      <xdr:row>3</xdr:row>
      <xdr:rowOff>95251</xdr:rowOff>
    </xdr:from>
    <xdr:to>
      <xdr:col>10</xdr:col>
      <xdr:colOff>304800</xdr:colOff>
      <xdr:row>6</xdr:row>
      <xdr:rowOff>104775</xdr:rowOff>
    </xdr:to>
    <xdr:sp macro="" textlink="">
      <xdr:nvSpPr>
        <xdr:cNvPr id="36" name="Rectangle: Rounded Corners 35">
          <a:extLst>
            <a:ext uri="{FF2B5EF4-FFF2-40B4-BE49-F238E27FC236}">
              <a16:creationId xmlns:a16="http://schemas.microsoft.com/office/drawing/2014/main" id="{9395471A-81FB-4755-BE97-975FDD8F02DD}"/>
            </a:ext>
          </a:extLst>
        </xdr:cNvPr>
        <xdr:cNvSpPr/>
      </xdr:nvSpPr>
      <xdr:spPr>
        <a:xfrm>
          <a:off x="4400550" y="666751"/>
          <a:ext cx="1790700" cy="58102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266699</xdr:colOff>
      <xdr:row>3</xdr:row>
      <xdr:rowOff>76200</xdr:rowOff>
    </xdr:from>
    <xdr:to>
      <xdr:col>10</xdr:col>
      <xdr:colOff>447675</xdr:colOff>
      <xdr:row>6</xdr:row>
      <xdr:rowOff>95250</xdr:rowOff>
    </xdr:to>
    <xdr:sp macro="" textlink="">
      <xdr:nvSpPr>
        <xdr:cNvPr id="37" name="TextBox 36">
          <a:extLst>
            <a:ext uri="{FF2B5EF4-FFF2-40B4-BE49-F238E27FC236}">
              <a16:creationId xmlns:a16="http://schemas.microsoft.com/office/drawing/2014/main" id="{06E36D2D-D16B-AAAD-07A1-7C2599F25383}"/>
            </a:ext>
          </a:extLst>
        </xdr:cNvPr>
        <xdr:cNvSpPr txBox="1"/>
      </xdr:nvSpPr>
      <xdr:spPr>
        <a:xfrm>
          <a:off x="4324349" y="647700"/>
          <a:ext cx="2009776"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Total Readmitted Patients</a:t>
          </a:r>
        </a:p>
        <a:p>
          <a:r>
            <a:rPr lang="en-US" sz="1400" b="1">
              <a:solidFill>
                <a:srgbClr val="336600"/>
              </a:solidFill>
              <a:latin typeface="Times New Roman" panose="02020603050405020304" pitchFamily="18" charset="0"/>
              <a:cs typeface="Times New Roman" panose="02020603050405020304" pitchFamily="18" charset="0"/>
            </a:rPr>
            <a:t>                         </a:t>
          </a:r>
          <a:r>
            <a:rPr lang="en-US" sz="1400" b="1" baseline="0">
              <a:solidFill>
                <a:srgbClr val="336600"/>
              </a:solidFill>
              <a:latin typeface="Times New Roman" panose="02020603050405020304" pitchFamily="18" charset="0"/>
              <a:cs typeface="Times New Roman" panose="02020603050405020304" pitchFamily="18" charset="0"/>
            </a:rPr>
            <a:t>  </a:t>
          </a:r>
          <a:r>
            <a:rPr lang="en-US" sz="1400" b="1">
              <a:solidFill>
                <a:srgbClr val="336600"/>
              </a:solidFill>
              <a:latin typeface="Times New Roman" panose="02020603050405020304" pitchFamily="18" charset="0"/>
              <a:cs typeface="Times New Roman" panose="02020603050405020304" pitchFamily="18" charset="0"/>
            </a:rPr>
            <a:t>306</a:t>
          </a:r>
        </a:p>
      </xdr:txBody>
    </xdr:sp>
    <xdr:clientData/>
  </xdr:twoCellAnchor>
  <xdr:twoCellAnchor>
    <xdr:from>
      <xdr:col>1</xdr:col>
      <xdr:colOff>609599</xdr:colOff>
      <xdr:row>7</xdr:row>
      <xdr:rowOff>0</xdr:rowOff>
    </xdr:from>
    <xdr:to>
      <xdr:col>5</xdr:col>
      <xdr:colOff>142874</xdr:colOff>
      <xdr:row>8</xdr:row>
      <xdr:rowOff>66675</xdr:rowOff>
    </xdr:to>
    <xdr:sp macro="" textlink="">
      <xdr:nvSpPr>
        <xdr:cNvPr id="38" name="TextBox 37">
          <a:extLst>
            <a:ext uri="{FF2B5EF4-FFF2-40B4-BE49-F238E27FC236}">
              <a16:creationId xmlns:a16="http://schemas.microsoft.com/office/drawing/2014/main" id="{3D4C435E-47A1-5B3D-7EFD-375A6628D6EA}"/>
            </a:ext>
          </a:extLst>
        </xdr:cNvPr>
        <xdr:cNvSpPr txBox="1"/>
      </xdr:nvSpPr>
      <xdr:spPr>
        <a:xfrm>
          <a:off x="1009649" y="1333500"/>
          <a:ext cx="19716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36600"/>
              </a:solidFill>
              <a:latin typeface="Times New Roman" panose="02020603050405020304" pitchFamily="18" charset="0"/>
              <a:cs typeface="Times New Roman" panose="02020603050405020304" pitchFamily="18" charset="0"/>
            </a:rPr>
            <a:t>Monthly Readmission Trend</a:t>
          </a:r>
        </a:p>
      </xdr:txBody>
    </xdr:sp>
    <xdr:clientData/>
  </xdr:twoCellAnchor>
  <xdr:twoCellAnchor>
    <xdr:from>
      <xdr:col>9</xdr:col>
      <xdr:colOff>38100</xdr:colOff>
      <xdr:row>7</xdr:row>
      <xdr:rowOff>47625</xdr:rowOff>
    </xdr:from>
    <xdr:to>
      <xdr:col>11</xdr:col>
      <xdr:colOff>47625</xdr:colOff>
      <xdr:row>8</xdr:row>
      <xdr:rowOff>114300</xdr:rowOff>
    </xdr:to>
    <xdr:sp macro="" textlink="">
      <xdr:nvSpPr>
        <xdr:cNvPr id="39" name="TextBox 38">
          <a:extLst>
            <a:ext uri="{FF2B5EF4-FFF2-40B4-BE49-F238E27FC236}">
              <a16:creationId xmlns:a16="http://schemas.microsoft.com/office/drawing/2014/main" id="{3CF0B0E1-CD4E-C86C-C24A-83DE5FDDEE96}"/>
            </a:ext>
          </a:extLst>
        </xdr:cNvPr>
        <xdr:cNvSpPr txBox="1"/>
      </xdr:nvSpPr>
      <xdr:spPr>
        <a:xfrm>
          <a:off x="5314950" y="1381125"/>
          <a:ext cx="12287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Insurance Type</a:t>
          </a:r>
        </a:p>
      </xdr:txBody>
    </xdr:sp>
    <xdr:clientData/>
  </xdr:twoCellAnchor>
  <xdr:twoCellAnchor>
    <xdr:from>
      <xdr:col>13</xdr:col>
      <xdr:colOff>133349</xdr:colOff>
      <xdr:row>6</xdr:row>
      <xdr:rowOff>180975</xdr:rowOff>
    </xdr:from>
    <xdr:to>
      <xdr:col>16</xdr:col>
      <xdr:colOff>285750</xdr:colOff>
      <xdr:row>8</xdr:row>
      <xdr:rowOff>66675</xdr:rowOff>
    </xdr:to>
    <xdr:sp macro="" textlink="">
      <xdr:nvSpPr>
        <xdr:cNvPr id="40" name="TextBox 39">
          <a:extLst>
            <a:ext uri="{FF2B5EF4-FFF2-40B4-BE49-F238E27FC236}">
              <a16:creationId xmlns:a16="http://schemas.microsoft.com/office/drawing/2014/main" id="{A9B9526B-28B2-8461-A42D-E767DEE430E4}"/>
            </a:ext>
          </a:extLst>
        </xdr:cNvPr>
        <xdr:cNvSpPr txBox="1"/>
      </xdr:nvSpPr>
      <xdr:spPr>
        <a:xfrm>
          <a:off x="7848599" y="1323975"/>
          <a:ext cx="19812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Readmission By Hospital</a:t>
          </a:r>
        </a:p>
      </xdr:txBody>
    </xdr:sp>
    <xdr:clientData/>
  </xdr:twoCellAnchor>
  <xdr:twoCellAnchor>
    <xdr:from>
      <xdr:col>1</xdr:col>
      <xdr:colOff>571500</xdr:colOff>
      <xdr:row>16</xdr:row>
      <xdr:rowOff>95250</xdr:rowOff>
    </xdr:from>
    <xdr:to>
      <xdr:col>5</xdr:col>
      <xdr:colOff>9525</xdr:colOff>
      <xdr:row>18</xdr:row>
      <xdr:rowOff>0</xdr:rowOff>
    </xdr:to>
    <xdr:sp macro="" textlink="">
      <xdr:nvSpPr>
        <xdr:cNvPr id="41" name="TextBox 40">
          <a:extLst>
            <a:ext uri="{FF2B5EF4-FFF2-40B4-BE49-F238E27FC236}">
              <a16:creationId xmlns:a16="http://schemas.microsoft.com/office/drawing/2014/main" id="{4ACBE6E6-9F87-ABAB-2D31-0C5ABB2724B1}"/>
            </a:ext>
          </a:extLst>
        </xdr:cNvPr>
        <xdr:cNvSpPr txBox="1"/>
      </xdr:nvSpPr>
      <xdr:spPr>
        <a:xfrm>
          <a:off x="971550" y="3143250"/>
          <a:ext cx="1876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Readmission By Disease</a:t>
          </a:r>
        </a:p>
      </xdr:txBody>
    </xdr:sp>
    <xdr:clientData/>
  </xdr:twoCellAnchor>
  <xdr:twoCellAnchor>
    <xdr:from>
      <xdr:col>7</xdr:col>
      <xdr:colOff>514349</xdr:colOff>
      <xdr:row>16</xdr:row>
      <xdr:rowOff>180975</xdr:rowOff>
    </xdr:from>
    <xdr:to>
      <xdr:col>10</xdr:col>
      <xdr:colOff>523874</xdr:colOff>
      <xdr:row>18</xdr:row>
      <xdr:rowOff>104775</xdr:rowOff>
    </xdr:to>
    <xdr:sp macro="" textlink="">
      <xdr:nvSpPr>
        <xdr:cNvPr id="42" name="TextBox 41">
          <a:extLst>
            <a:ext uri="{FF2B5EF4-FFF2-40B4-BE49-F238E27FC236}">
              <a16:creationId xmlns:a16="http://schemas.microsoft.com/office/drawing/2014/main" id="{FEB6C399-44EE-C3AE-20F6-B10209E86E48}"/>
            </a:ext>
          </a:extLst>
        </xdr:cNvPr>
        <xdr:cNvSpPr txBox="1"/>
      </xdr:nvSpPr>
      <xdr:spPr>
        <a:xfrm>
          <a:off x="4571999" y="3228975"/>
          <a:ext cx="1838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Age Group Distribution</a:t>
          </a:r>
        </a:p>
      </xdr:txBody>
    </xdr:sp>
    <xdr:clientData/>
  </xdr:twoCellAnchor>
  <xdr:twoCellAnchor>
    <xdr:from>
      <xdr:col>12</xdr:col>
      <xdr:colOff>561975</xdr:colOff>
      <xdr:row>16</xdr:row>
      <xdr:rowOff>133350</xdr:rowOff>
    </xdr:from>
    <xdr:to>
      <xdr:col>16</xdr:col>
      <xdr:colOff>228600</xdr:colOff>
      <xdr:row>17</xdr:row>
      <xdr:rowOff>152400</xdr:rowOff>
    </xdr:to>
    <xdr:sp macro="" textlink="">
      <xdr:nvSpPr>
        <xdr:cNvPr id="43" name="TextBox 42">
          <a:extLst>
            <a:ext uri="{FF2B5EF4-FFF2-40B4-BE49-F238E27FC236}">
              <a16:creationId xmlns:a16="http://schemas.microsoft.com/office/drawing/2014/main" id="{4E411B15-E068-1A14-2DC5-E30B7A1ABA71}"/>
            </a:ext>
          </a:extLst>
        </xdr:cNvPr>
        <xdr:cNvSpPr txBox="1"/>
      </xdr:nvSpPr>
      <xdr:spPr>
        <a:xfrm>
          <a:off x="7667625" y="3181350"/>
          <a:ext cx="21050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6600"/>
              </a:solidFill>
              <a:latin typeface="Times New Roman" panose="02020603050405020304" pitchFamily="18" charset="0"/>
              <a:cs typeface="Times New Roman" panose="02020603050405020304" pitchFamily="18" charset="0"/>
            </a:rPr>
            <a:t>Treatment Cost By Disease</a:t>
          </a:r>
        </a:p>
      </xdr:txBody>
    </xdr:sp>
    <xdr:clientData/>
  </xdr:twoCellAnchor>
  <xdr:twoCellAnchor editAs="oneCell">
    <xdr:from>
      <xdr:col>2</xdr:col>
      <xdr:colOff>28575</xdr:colOff>
      <xdr:row>4</xdr:row>
      <xdr:rowOff>114300</xdr:rowOff>
    </xdr:from>
    <xdr:to>
      <xdr:col>3</xdr:col>
      <xdr:colOff>57150</xdr:colOff>
      <xdr:row>6</xdr:row>
      <xdr:rowOff>85725</xdr:rowOff>
    </xdr:to>
    <xdr:pic>
      <xdr:nvPicPr>
        <xdr:cNvPr id="45" name="Graphic 44" descr="Group with solid fill">
          <a:extLst>
            <a:ext uri="{FF2B5EF4-FFF2-40B4-BE49-F238E27FC236}">
              <a16:creationId xmlns:a16="http://schemas.microsoft.com/office/drawing/2014/main" id="{4A54C8D6-8477-9B2C-0170-628305A65E3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8225" y="876300"/>
          <a:ext cx="638175" cy="352425"/>
        </a:xfrm>
        <a:prstGeom prst="rect">
          <a:avLst/>
        </a:prstGeom>
      </xdr:spPr>
    </xdr:pic>
    <xdr:clientData/>
  </xdr:twoCellAnchor>
  <xdr:twoCellAnchor editAs="oneCell">
    <xdr:from>
      <xdr:col>5</xdr:col>
      <xdr:colOff>123824</xdr:colOff>
      <xdr:row>4</xdr:row>
      <xdr:rowOff>114300</xdr:rowOff>
    </xdr:from>
    <xdr:to>
      <xdr:col>5</xdr:col>
      <xdr:colOff>590549</xdr:colOff>
      <xdr:row>6</xdr:row>
      <xdr:rowOff>76199</xdr:rowOff>
    </xdr:to>
    <xdr:pic>
      <xdr:nvPicPr>
        <xdr:cNvPr id="47" name="Graphic 46" descr="Hourglass Finished with solid fill">
          <a:extLst>
            <a:ext uri="{FF2B5EF4-FFF2-40B4-BE49-F238E27FC236}">
              <a16:creationId xmlns:a16="http://schemas.microsoft.com/office/drawing/2014/main" id="{B1AD0B10-4337-A961-C4C3-CBC7652625F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V="1">
          <a:off x="2962274" y="876300"/>
          <a:ext cx="466725" cy="342899"/>
        </a:xfrm>
        <a:prstGeom prst="rect">
          <a:avLst/>
        </a:prstGeom>
      </xdr:spPr>
    </xdr:pic>
    <xdr:clientData/>
  </xdr:twoCellAnchor>
  <xdr:twoCellAnchor editAs="oneCell">
    <xdr:from>
      <xdr:col>7</xdr:col>
      <xdr:colOff>504824</xdr:colOff>
      <xdr:row>4</xdr:row>
      <xdr:rowOff>95251</xdr:rowOff>
    </xdr:from>
    <xdr:to>
      <xdr:col>8</xdr:col>
      <xdr:colOff>552449</xdr:colOff>
      <xdr:row>7</xdr:row>
      <xdr:rowOff>1</xdr:rowOff>
    </xdr:to>
    <xdr:pic>
      <xdr:nvPicPr>
        <xdr:cNvPr id="49" name="Graphic 48" descr="Sleep with solid fill">
          <a:extLst>
            <a:ext uri="{FF2B5EF4-FFF2-40B4-BE49-F238E27FC236}">
              <a16:creationId xmlns:a16="http://schemas.microsoft.com/office/drawing/2014/main" id="{D001D2EB-9B0C-8AD5-A6C6-4448880CEDD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562474" y="857251"/>
          <a:ext cx="657225" cy="476250"/>
        </a:xfrm>
        <a:prstGeom prst="rect">
          <a:avLst/>
        </a:prstGeom>
      </xdr:spPr>
    </xdr:pic>
    <xdr:clientData/>
  </xdr:twoCellAnchor>
  <xdr:twoCellAnchor editAs="oneCell">
    <xdr:from>
      <xdr:col>10</xdr:col>
      <xdr:colOff>419100</xdr:colOff>
      <xdr:row>4</xdr:row>
      <xdr:rowOff>133350</xdr:rowOff>
    </xdr:from>
    <xdr:to>
      <xdr:col>11</xdr:col>
      <xdr:colOff>438150</xdr:colOff>
      <xdr:row>6</xdr:row>
      <xdr:rowOff>66675</xdr:rowOff>
    </xdr:to>
    <xdr:pic>
      <xdr:nvPicPr>
        <xdr:cNvPr id="51" name="Graphic 50" descr="Bar graph with upward trend with solid fill">
          <a:extLst>
            <a:ext uri="{FF2B5EF4-FFF2-40B4-BE49-F238E27FC236}">
              <a16:creationId xmlns:a16="http://schemas.microsoft.com/office/drawing/2014/main" id="{00A0FDE7-5C5D-6D32-1D7B-890953838C6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05550" y="895350"/>
          <a:ext cx="628650" cy="314325"/>
        </a:xfrm>
        <a:prstGeom prst="rect">
          <a:avLst/>
        </a:prstGeom>
      </xdr:spPr>
    </xdr:pic>
    <xdr:clientData/>
  </xdr:twoCellAnchor>
  <xdr:twoCellAnchor editAs="oneCell">
    <xdr:from>
      <xdr:col>13</xdr:col>
      <xdr:colOff>361950</xdr:colOff>
      <xdr:row>4</xdr:row>
      <xdr:rowOff>133350</xdr:rowOff>
    </xdr:from>
    <xdr:to>
      <xdr:col>14</xdr:col>
      <xdr:colOff>390525</xdr:colOff>
      <xdr:row>6</xdr:row>
      <xdr:rowOff>95250</xdr:rowOff>
    </xdr:to>
    <xdr:pic>
      <xdr:nvPicPr>
        <xdr:cNvPr id="53" name="Graphic 52" descr="Money with solid fill">
          <a:extLst>
            <a:ext uri="{FF2B5EF4-FFF2-40B4-BE49-F238E27FC236}">
              <a16:creationId xmlns:a16="http://schemas.microsoft.com/office/drawing/2014/main" id="{8B9B5B48-0530-9A52-1144-BF09C8B0124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77200" y="895350"/>
          <a:ext cx="638175" cy="342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5.516258796299" createdVersion="8" refreshedVersion="8" minRefreshableVersion="3" recordCount="1000" xr:uid="{FA2C328A-1B1B-43A7-A1DF-61C3837F4383}">
  <cacheSource type="worksheet">
    <worksheetSource name="Table1"/>
  </cacheSource>
  <cacheFields count="20">
    <cacheField name="Patient_ID" numFmtId="0">
      <sharedItems count="1000">
        <s v="RD0001"/>
        <s v="RD0002"/>
        <s v="RD0003"/>
        <s v="RD0004"/>
        <s v="RD0005"/>
        <s v="RD0006"/>
        <s v="RD0007"/>
        <s v="RD0008"/>
        <s v="RD0009"/>
        <s v="RD0010"/>
        <s v="RD0011"/>
        <s v="RD0012"/>
        <s v="RD0013"/>
        <s v="RD0014"/>
        <s v="RD0015"/>
        <s v="RD0016"/>
        <s v="RD0017"/>
        <s v="RD0018"/>
        <s v="RD0019"/>
        <s v="RD0020"/>
        <s v="RD0021"/>
        <s v="RD0022"/>
        <s v="RD0023"/>
        <s v="RD0024"/>
        <s v="RD0025"/>
        <s v="RD0026"/>
        <s v="RD0027"/>
        <s v="RD0028"/>
        <s v="RD0029"/>
        <s v="RD0030"/>
        <s v="RD0031"/>
        <s v="RD0032"/>
        <s v="RD0033"/>
        <s v="RD0034"/>
        <s v="RD0035"/>
        <s v="RD0036"/>
        <s v="RD0037"/>
        <s v="RD0038"/>
        <s v="RD0039"/>
        <s v="RD0040"/>
        <s v="RD0041"/>
        <s v="RD0042"/>
        <s v="RD0043"/>
        <s v="RD0044"/>
        <s v="RD0045"/>
        <s v="RD0046"/>
        <s v="RD0047"/>
        <s v="RD0048"/>
        <s v="RD0049"/>
        <s v="RD0050"/>
        <s v="RD0051"/>
        <s v="RD0052"/>
        <s v="RD0053"/>
        <s v="RD0054"/>
        <s v="RD0055"/>
        <s v="RD0056"/>
        <s v="RD0057"/>
        <s v="RD0058"/>
        <s v="RD0059"/>
        <s v="RD0060"/>
        <s v="RD0061"/>
        <s v="RD0062"/>
        <s v="RD0063"/>
        <s v="RD0064"/>
        <s v="RD0065"/>
        <s v="RD0066"/>
        <s v="RD0067"/>
        <s v="RD0068"/>
        <s v="RD0069"/>
        <s v="RD0070"/>
        <s v="RD0071"/>
        <s v="RD0072"/>
        <s v="RD0073"/>
        <s v="RD0074"/>
        <s v="RD0075"/>
        <s v="RD0076"/>
        <s v="RD0077"/>
        <s v="RD0078"/>
        <s v="RD0079"/>
        <s v="RD0080"/>
        <s v="RD0081"/>
        <s v="RD0082"/>
        <s v="RD0083"/>
        <s v="RD0084"/>
        <s v="RD0085"/>
        <s v="RD0086"/>
        <s v="RD0087"/>
        <s v="RD0088"/>
        <s v="RD0089"/>
        <s v="RD0090"/>
        <s v="RD0091"/>
        <s v="RD0092"/>
        <s v="RD0093"/>
        <s v="RD0094"/>
        <s v="RD0095"/>
        <s v="RD0096"/>
        <s v="RD0097"/>
        <s v="RD0098"/>
        <s v="RD0099"/>
        <s v="RD0100"/>
        <s v="RD0101"/>
        <s v="RD0102"/>
        <s v="RD0103"/>
        <s v="RD0104"/>
        <s v="RD0105"/>
        <s v="RD0106"/>
        <s v="RD0107"/>
        <s v="RD0108"/>
        <s v="RD0109"/>
        <s v="RD0110"/>
        <s v="RD0111"/>
        <s v="RD0112"/>
        <s v="RD0113"/>
        <s v="RD0114"/>
        <s v="RD0115"/>
        <s v="RD0116"/>
        <s v="RD0117"/>
        <s v="RD0118"/>
        <s v="RD0119"/>
        <s v="RD0120"/>
        <s v="RD0121"/>
        <s v="RD0122"/>
        <s v="RD0123"/>
        <s v="RD0124"/>
        <s v="RD0125"/>
        <s v="RD0126"/>
        <s v="RD0127"/>
        <s v="RD0128"/>
        <s v="RD0129"/>
        <s v="RD0130"/>
        <s v="RD0131"/>
        <s v="RD0132"/>
        <s v="RD0133"/>
        <s v="RD0134"/>
        <s v="RD0135"/>
        <s v="RD0136"/>
        <s v="RD0137"/>
        <s v="RD0138"/>
        <s v="RD0139"/>
        <s v="RD0140"/>
        <s v="RD0141"/>
        <s v="RD0142"/>
        <s v="RD0143"/>
        <s v="RD0144"/>
        <s v="RD0145"/>
        <s v="RD0146"/>
        <s v="RD0147"/>
        <s v="RD0148"/>
        <s v="RD0149"/>
        <s v="RD0150"/>
        <s v="RD0151"/>
        <s v="RD0152"/>
        <s v="RD0153"/>
        <s v="RD0154"/>
        <s v="RD0155"/>
        <s v="RD0156"/>
        <s v="RD0157"/>
        <s v="RD0158"/>
        <s v="RD0159"/>
        <s v="RD0160"/>
        <s v="RD0161"/>
        <s v="RD0162"/>
        <s v="RD0163"/>
        <s v="RD0164"/>
        <s v="RD0165"/>
        <s v="RD0166"/>
        <s v="RD0167"/>
        <s v="RD0168"/>
        <s v="RD0169"/>
        <s v="RD0170"/>
        <s v="RD0171"/>
        <s v="RD0172"/>
        <s v="RD0173"/>
        <s v="RD0174"/>
        <s v="RD0175"/>
        <s v="RD0176"/>
        <s v="RD0177"/>
        <s v="RD0178"/>
        <s v="RD0179"/>
        <s v="RD0180"/>
        <s v="RD0181"/>
        <s v="RD0182"/>
        <s v="RD0183"/>
        <s v="RD0184"/>
        <s v="RD0185"/>
        <s v="RD0186"/>
        <s v="RD0187"/>
        <s v="RD0188"/>
        <s v="RD0189"/>
        <s v="RD0190"/>
        <s v="RD0191"/>
        <s v="RD0192"/>
        <s v="RD0193"/>
        <s v="RD0194"/>
        <s v="RD0195"/>
        <s v="RD0196"/>
        <s v="RD0197"/>
        <s v="RD0198"/>
        <s v="RD0199"/>
        <s v="RD0200"/>
        <s v="RD0201"/>
        <s v="RD0202"/>
        <s v="RD0203"/>
        <s v="RD0204"/>
        <s v="RD0205"/>
        <s v="RD0206"/>
        <s v="RD0207"/>
        <s v="RD0208"/>
        <s v="RD0209"/>
        <s v="RD0210"/>
        <s v="RD0211"/>
        <s v="RD0212"/>
        <s v="RD0213"/>
        <s v="RD0214"/>
        <s v="RD0215"/>
        <s v="RD0216"/>
        <s v="RD0217"/>
        <s v="RD0218"/>
        <s v="RD0219"/>
        <s v="RD0220"/>
        <s v="RD0221"/>
        <s v="RD0222"/>
        <s v="RD0223"/>
        <s v="RD0224"/>
        <s v="RD0225"/>
        <s v="RD0226"/>
        <s v="RD0227"/>
        <s v="RD0228"/>
        <s v="RD0229"/>
        <s v="RD0230"/>
        <s v="RD0231"/>
        <s v="RD0232"/>
        <s v="RD0233"/>
        <s v="RD0234"/>
        <s v="RD0235"/>
        <s v="RD0236"/>
        <s v="RD0237"/>
        <s v="RD0238"/>
        <s v="RD0239"/>
        <s v="RD0240"/>
        <s v="RD0241"/>
        <s v="RD0242"/>
        <s v="RD0243"/>
        <s v="RD0244"/>
        <s v="RD0245"/>
        <s v="RD0246"/>
        <s v="RD0247"/>
        <s v="RD0248"/>
        <s v="RD0249"/>
        <s v="RD0250"/>
        <s v="RD0251"/>
        <s v="RD0252"/>
        <s v="RD0253"/>
        <s v="RD0254"/>
        <s v="RD0255"/>
        <s v="RD0256"/>
        <s v="RD0257"/>
        <s v="RD0258"/>
        <s v="RD0259"/>
        <s v="RD0260"/>
        <s v="RD0261"/>
        <s v="RD0262"/>
        <s v="RD0263"/>
        <s v="RD0264"/>
        <s v="RD0265"/>
        <s v="RD0266"/>
        <s v="RD0267"/>
        <s v="RD0268"/>
        <s v="RD0269"/>
        <s v="RD0270"/>
        <s v="RD0271"/>
        <s v="RD0272"/>
        <s v="RD0273"/>
        <s v="RD0274"/>
        <s v="RD0275"/>
        <s v="RD0276"/>
        <s v="RD0277"/>
        <s v="RD0278"/>
        <s v="RD0279"/>
        <s v="RD0280"/>
        <s v="RD0281"/>
        <s v="RD0282"/>
        <s v="RD0283"/>
        <s v="RD0284"/>
        <s v="RD0285"/>
        <s v="RD0286"/>
        <s v="RD0287"/>
        <s v="RD0288"/>
        <s v="RD0289"/>
        <s v="RD0290"/>
        <s v="RD0291"/>
        <s v="RD0292"/>
        <s v="RD0293"/>
        <s v="RD0294"/>
        <s v="RD0295"/>
        <s v="RD0296"/>
        <s v="RD0297"/>
        <s v="RD0298"/>
        <s v="RD0299"/>
        <s v="RD0300"/>
        <s v="RD0301"/>
        <s v="RD0302"/>
        <s v="RD0303"/>
        <s v="RD0304"/>
        <s v="RD0305"/>
        <s v="RD0306"/>
        <s v="RD0307"/>
        <s v="RD0308"/>
        <s v="RD0309"/>
        <s v="RD0310"/>
        <s v="RD0311"/>
        <s v="RD0312"/>
        <s v="RD0313"/>
        <s v="RD0314"/>
        <s v="RD0315"/>
        <s v="RD0316"/>
        <s v="RD0317"/>
        <s v="RD0318"/>
        <s v="RD0319"/>
        <s v="RD0320"/>
        <s v="RD0321"/>
        <s v="RD0322"/>
        <s v="RD0323"/>
        <s v="RD0324"/>
        <s v="RD0325"/>
        <s v="RD0326"/>
        <s v="RD0327"/>
        <s v="RD0328"/>
        <s v="RD0329"/>
        <s v="RD0330"/>
        <s v="RD0331"/>
        <s v="RD0332"/>
        <s v="RD0333"/>
        <s v="RD0334"/>
        <s v="RD0335"/>
        <s v="RD0336"/>
        <s v="RD0337"/>
        <s v="RD0338"/>
        <s v="RD0339"/>
        <s v="RD0340"/>
        <s v="RD0341"/>
        <s v="RD0342"/>
        <s v="RD0343"/>
        <s v="RD0344"/>
        <s v="RD0345"/>
        <s v="RD0346"/>
        <s v="RD0347"/>
        <s v="RD0348"/>
        <s v="RD0349"/>
        <s v="RD0350"/>
        <s v="RD0351"/>
        <s v="RD0352"/>
        <s v="RD0353"/>
        <s v="RD0354"/>
        <s v="RD0355"/>
        <s v="RD0356"/>
        <s v="RD0357"/>
        <s v="RD0358"/>
        <s v="RD0359"/>
        <s v="RD0360"/>
        <s v="RD0361"/>
        <s v="RD0362"/>
        <s v="RD0363"/>
        <s v="RD0364"/>
        <s v="RD0365"/>
        <s v="RD0366"/>
        <s v="RD0367"/>
        <s v="RD0368"/>
        <s v="RD0369"/>
        <s v="RD0370"/>
        <s v="RD0371"/>
        <s v="RD0372"/>
        <s v="RD0373"/>
        <s v="RD0374"/>
        <s v="RD0375"/>
        <s v="RD0376"/>
        <s v="RD0377"/>
        <s v="RD0378"/>
        <s v="RD0379"/>
        <s v="RD0380"/>
        <s v="RD0381"/>
        <s v="RD0382"/>
        <s v="RD0383"/>
        <s v="RD0384"/>
        <s v="RD0385"/>
        <s v="RD0386"/>
        <s v="RD0387"/>
        <s v="RD0388"/>
        <s v="RD0389"/>
        <s v="RD0390"/>
        <s v="RD0391"/>
        <s v="RD0392"/>
        <s v="RD0393"/>
        <s v="RD0394"/>
        <s v="RD0395"/>
        <s v="RD0396"/>
        <s v="RD0397"/>
        <s v="RD0398"/>
        <s v="RD0399"/>
        <s v="RD0400"/>
        <s v="RD0401"/>
        <s v="RD0402"/>
        <s v="RD0403"/>
        <s v="RD0404"/>
        <s v="RD0405"/>
        <s v="RD0406"/>
        <s v="RD0407"/>
        <s v="RD0408"/>
        <s v="RD0409"/>
        <s v="RD0410"/>
        <s v="RD0411"/>
        <s v="RD0412"/>
        <s v="RD0413"/>
        <s v="RD0414"/>
        <s v="RD0415"/>
        <s v="RD0416"/>
        <s v="RD0417"/>
        <s v="RD0418"/>
        <s v="RD0419"/>
        <s v="RD0420"/>
        <s v="RD0421"/>
        <s v="RD0422"/>
        <s v="RD0423"/>
        <s v="RD0424"/>
        <s v="RD0425"/>
        <s v="RD0426"/>
        <s v="RD0427"/>
        <s v="RD0428"/>
        <s v="RD0429"/>
        <s v="RD0430"/>
        <s v="RD0431"/>
        <s v="RD0432"/>
        <s v="RD0433"/>
        <s v="RD0434"/>
        <s v="RD0435"/>
        <s v="RD0436"/>
        <s v="RD0437"/>
        <s v="RD0438"/>
        <s v="RD0439"/>
        <s v="RD0440"/>
        <s v="RD0441"/>
        <s v="RD0442"/>
        <s v="RD0443"/>
        <s v="RD0444"/>
        <s v="RD0445"/>
        <s v="RD0446"/>
        <s v="RD0447"/>
        <s v="RD0448"/>
        <s v="RD0449"/>
        <s v="RD0450"/>
        <s v="RD0451"/>
        <s v="RD0452"/>
        <s v="RD0453"/>
        <s v="RD0454"/>
        <s v="RD0455"/>
        <s v="RD0456"/>
        <s v="RD0457"/>
        <s v="RD0458"/>
        <s v="RD0459"/>
        <s v="RD0460"/>
        <s v="RD0461"/>
        <s v="RD0462"/>
        <s v="RD0463"/>
        <s v="RD0464"/>
        <s v="RD0465"/>
        <s v="RD0466"/>
        <s v="RD0467"/>
        <s v="RD0468"/>
        <s v="RD0469"/>
        <s v="RD0470"/>
        <s v="RD0471"/>
        <s v="RD0472"/>
        <s v="RD0473"/>
        <s v="RD0474"/>
        <s v="RD0475"/>
        <s v="RD0476"/>
        <s v="RD0477"/>
        <s v="RD0478"/>
        <s v="RD0479"/>
        <s v="RD0480"/>
        <s v="RD0481"/>
        <s v="RD0482"/>
        <s v="RD0483"/>
        <s v="RD0484"/>
        <s v="RD0485"/>
        <s v="RD0486"/>
        <s v="RD0487"/>
        <s v="RD0488"/>
        <s v="RD0489"/>
        <s v="RD0490"/>
        <s v="RD0491"/>
        <s v="RD0492"/>
        <s v="RD0493"/>
        <s v="RD0494"/>
        <s v="RD0495"/>
        <s v="RD0496"/>
        <s v="RD0497"/>
        <s v="RD0498"/>
        <s v="RD0499"/>
        <s v="RD0500"/>
        <s v="RD0501"/>
        <s v="RD0502"/>
        <s v="RD0503"/>
        <s v="RD0504"/>
        <s v="RD0505"/>
        <s v="RD0506"/>
        <s v="RD0507"/>
        <s v="RD0508"/>
        <s v="RD0509"/>
        <s v="RD0510"/>
        <s v="RD0511"/>
        <s v="RD0512"/>
        <s v="RD0513"/>
        <s v="RD0514"/>
        <s v="RD0515"/>
        <s v="RD0516"/>
        <s v="RD0517"/>
        <s v="RD0518"/>
        <s v="RD0519"/>
        <s v="RD0520"/>
        <s v="RD0521"/>
        <s v="RD0522"/>
        <s v="RD0523"/>
        <s v="RD0524"/>
        <s v="RD0525"/>
        <s v="RD0526"/>
        <s v="RD0527"/>
        <s v="RD0528"/>
        <s v="RD0529"/>
        <s v="RD0530"/>
        <s v="RD0531"/>
        <s v="RD0532"/>
        <s v="RD0533"/>
        <s v="RD0534"/>
        <s v="RD0535"/>
        <s v="RD0536"/>
        <s v="RD0537"/>
        <s v="RD0538"/>
        <s v="RD0539"/>
        <s v="RD0540"/>
        <s v="RD0541"/>
        <s v="RD0542"/>
        <s v="RD0543"/>
        <s v="RD0544"/>
        <s v="RD0545"/>
        <s v="RD0546"/>
        <s v="RD0547"/>
        <s v="RD0548"/>
        <s v="RD0549"/>
        <s v="RD0550"/>
        <s v="RD0551"/>
        <s v="RD0552"/>
        <s v="RD0553"/>
        <s v="RD0554"/>
        <s v="RD0555"/>
        <s v="RD0556"/>
        <s v="RD0557"/>
        <s v="RD0558"/>
        <s v="RD0559"/>
        <s v="RD0560"/>
        <s v="RD0561"/>
        <s v="RD0562"/>
        <s v="RD0563"/>
        <s v="RD0564"/>
        <s v="RD0565"/>
        <s v="RD0566"/>
        <s v="RD0567"/>
        <s v="RD0568"/>
        <s v="RD0569"/>
        <s v="RD0570"/>
        <s v="RD0571"/>
        <s v="RD0572"/>
        <s v="RD0573"/>
        <s v="RD0574"/>
        <s v="RD0575"/>
        <s v="RD0576"/>
        <s v="RD0577"/>
        <s v="RD0578"/>
        <s v="RD0579"/>
        <s v="RD0580"/>
        <s v="RD0581"/>
        <s v="RD0582"/>
        <s v="RD0583"/>
        <s v="RD0584"/>
        <s v="RD0585"/>
        <s v="RD0586"/>
        <s v="RD0587"/>
        <s v="RD0588"/>
        <s v="RD0589"/>
        <s v="RD0590"/>
        <s v="RD0591"/>
        <s v="RD0592"/>
        <s v="RD0593"/>
        <s v="RD0594"/>
        <s v="RD0595"/>
        <s v="RD0596"/>
        <s v="RD0597"/>
        <s v="RD0598"/>
        <s v="RD0599"/>
        <s v="RD0600"/>
        <s v="RD0601"/>
        <s v="RD0602"/>
        <s v="RD0603"/>
        <s v="RD0604"/>
        <s v="RD0605"/>
        <s v="RD0606"/>
        <s v="RD0607"/>
        <s v="RD0608"/>
        <s v="RD0609"/>
        <s v="RD0610"/>
        <s v="RD0611"/>
        <s v="RD0612"/>
        <s v="RD0613"/>
        <s v="RD0614"/>
        <s v="RD0615"/>
        <s v="RD0616"/>
        <s v="RD0617"/>
        <s v="RD0618"/>
        <s v="RD0619"/>
        <s v="RD0620"/>
        <s v="RD0621"/>
        <s v="RD0622"/>
        <s v="RD0623"/>
        <s v="RD0624"/>
        <s v="RD0625"/>
        <s v="RD0626"/>
        <s v="RD0627"/>
        <s v="RD0628"/>
        <s v="RD0629"/>
        <s v="RD0630"/>
        <s v="RD0631"/>
        <s v="RD0632"/>
        <s v="RD0633"/>
        <s v="RD0634"/>
        <s v="RD0635"/>
        <s v="RD0636"/>
        <s v="RD0637"/>
        <s v="RD0638"/>
        <s v="RD0639"/>
        <s v="RD0640"/>
        <s v="RD0641"/>
        <s v="RD0642"/>
        <s v="RD0643"/>
        <s v="RD0644"/>
        <s v="RD0645"/>
        <s v="RD0646"/>
        <s v="RD0647"/>
        <s v="RD0648"/>
        <s v="RD0649"/>
        <s v="RD0650"/>
        <s v="RD0651"/>
        <s v="RD0652"/>
        <s v="RD0653"/>
        <s v="RD0654"/>
        <s v="RD0655"/>
        <s v="RD0656"/>
        <s v="RD0657"/>
        <s v="RD0658"/>
        <s v="RD0659"/>
        <s v="RD0660"/>
        <s v="RD0661"/>
        <s v="RD0662"/>
        <s v="RD0663"/>
        <s v="RD0664"/>
        <s v="RD0665"/>
        <s v="RD0666"/>
        <s v="RD0667"/>
        <s v="RD0668"/>
        <s v="RD0669"/>
        <s v="RD0670"/>
        <s v="RD0671"/>
        <s v="RD0672"/>
        <s v="RD0673"/>
        <s v="RD0674"/>
        <s v="RD0675"/>
        <s v="RD0676"/>
        <s v="RD0677"/>
        <s v="RD0678"/>
        <s v="RD0679"/>
        <s v="RD0680"/>
        <s v="RD0681"/>
        <s v="RD0682"/>
        <s v="RD0683"/>
        <s v="RD0684"/>
        <s v="RD0685"/>
        <s v="RD0686"/>
        <s v="RD0687"/>
        <s v="RD0688"/>
        <s v="RD0689"/>
        <s v="RD0690"/>
        <s v="RD0691"/>
        <s v="RD0692"/>
        <s v="RD0693"/>
        <s v="RD0694"/>
        <s v="RD0695"/>
        <s v="RD0696"/>
        <s v="RD0697"/>
        <s v="RD0698"/>
        <s v="RD0699"/>
        <s v="RD0700"/>
        <s v="RD0701"/>
        <s v="RD0702"/>
        <s v="RD0703"/>
        <s v="RD0704"/>
        <s v="RD0705"/>
        <s v="RD0706"/>
        <s v="RD0707"/>
        <s v="RD0708"/>
        <s v="RD0709"/>
        <s v="RD0710"/>
        <s v="RD0711"/>
        <s v="RD0712"/>
        <s v="RD0713"/>
        <s v="RD0714"/>
        <s v="RD0715"/>
        <s v="RD0716"/>
        <s v="RD0717"/>
        <s v="RD0718"/>
        <s v="RD0719"/>
        <s v="RD0720"/>
        <s v="RD0721"/>
        <s v="RD0722"/>
        <s v="RD0723"/>
        <s v="RD0724"/>
        <s v="RD0725"/>
        <s v="RD0726"/>
        <s v="RD0727"/>
        <s v="RD0728"/>
        <s v="RD0729"/>
        <s v="RD0730"/>
        <s v="RD0731"/>
        <s v="RD0732"/>
        <s v="RD0733"/>
        <s v="RD0734"/>
        <s v="RD0735"/>
        <s v="RD0736"/>
        <s v="RD0737"/>
        <s v="RD0738"/>
        <s v="RD0739"/>
        <s v="RD0740"/>
        <s v="RD0741"/>
        <s v="RD0742"/>
        <s v="RD0743"/>
        <s v="RD0744"/>
        <s v="RD0745"/>
        <s v="RD0746"/>
        <s v="RD0747"/>
        <s v="RD0748"/>
        <s v="RD0749"/>
        <s v="RD0750"/>
        <s v="RD0751"/>
        <s v="RD0752"/>
        <s v="RD0753"/>
        <s v="RD0754"/>
        <s v="RD0755"/>
        <s v="RD0756"/>
        <s v="RD0757"/>
        <s v="RD0758"/>
        <s v="RD0759"/>
        <s v="RD0760"/>
        <s v="RD0761"/>
        <s v="RD0762"/>
        <s v="RD0763"/>
        <s v="RD0764"/>
        <s v="RD0765"/>
        <s v="RD0766"/>
        <s v="RD0767"/>
        <s v="RD0768"/>
        <s v="RD0769"/>
        <s v="RD0770"/>
        <s v="RD0771"/>
        <s v="RD0772"/>
        <s v="RD0773"/>
        <s v="RD0774"/>
        <s v="RD0775"/>
        <s v="RD0776"/>
        <s v="RD0777"/>
        <s v="RD0778"/>
        <s v="RD0779"/>
        <s v="RD0780"/>
        <s v="RD0781"/>
        <s v="RD0782"/>
        <s v="RD0783"/>
        <s v="RD0784"/>
        <s v="RD0785"/>
        <s v="RD0786"/>
        <s v="RD0787"/>
        <s v="RD0788"/>
        <s v="RD0789"/>
        <s v="RD0790"/>
        <s v="RD0791"/>
        <s v="RD0792"/>
        <s v="RD0793"/>
        <s v="RD0794"/>
        <s v="RD0795"/>
        <s v="RD0796"/>
        <s v="RD0797"/>
        <s v="RD0798"/>
        <s v="RD0799"/>
        <s v="RD0800"/>
        <s v="RD0801"/>
        <s v="RD0802"/>
        <s v="RD0803"/>
        <s v="RD0804"/>
        <s v="RD0805"/>
        <s v="RD0806"/>
        <s v="RD0807"/>
        <s v="RD0808"/>
        <s v="RD0809"/>
        <s v="RD0810"/>
        <s v="RD0811"/>
        <s v="RD0812"/>
        <s v="RD0813"/>
        <s v="RD0814"/>
        <s v="RD0815"/>
        <s v="RD0816"/>
        <s v="RD0817"/>
        <s v="RD0818"/>
        <s v="RD0819"/>
        <s v="RD0820"/>
        <s v="RD0821"/>
        <s v="RD0822"/>
        <s v="RD0823"/>
        <s v="RD0824"/>
        <s v="RD0825"/>
        <s v="RD0826"/>
        <s v="RD0827"/>
        <s v="RD0828"/>
        <s v="RD0829"/>
        <s v="RD0830"/>
        <s v="RD0831"/>
        <s v="RD0832"/>
        <s v="RD0833"/>
        <s v="RD0834"/>
        <s v="RD0835"/>
        <s v="RD0836"/>
        <s v="RD0837"/>
        <s v="RD0838"/>
        <s v="RD0839"/>
        <s v="RD0840"/>
        <s v="RD0841"/>
        <s v="RD0842"/>
        <s v="RD0843"/>
        <s v="RD0844"/>
        <s v="RD0845"/>
        <s v="RD0846"/>
        <s v="RD0847"/>
        <s v="RD0848"/>
        <s v="RD0849"/>
        <s v="RD0850"/>
        <s v="RD0851"/>
        <s v="RD0852"/>
        <s v="RD0853"/>
        <s v="RD0854"/>
        <s v="RD0855"/>
        <s v="RD0856"/>
        <s v="RD0857"/>
        <s v="RD0858"/>
        <s v="RD0859"/>
        <s v="RD0860"/>
        <s v="RD0861"/>
        <s v="RD0862"/>
        <s v="RD0863"/>
        <s v="RD0864"/>
        <s v="RD0865"/>
        <s v="RD0866"/>
        <s v="RD0867"/>
        <s v="RD0868"/>
        <s v="RD0869"/>
        <s v="RD0870"/>
        <s v="RD0871"/>
        <s v="RD0872"/>
        <s v="RD0873"/>
        <s v="RD0874"/>
        <s v="RD0875"/>
        <s v="RD0876"/>
        <s v="RD0877"/>
        <s v="RD0878"/>
        <s v="RD0879"/>
        <s v="RD0880"/>
        <s v="RD0881"/>
        <s v="RD0882"/>
        <s v="RD0883"/>
        <s v="RD0884"/>
        <s v="RD0885"/>
        <s v="RD0886"/>
        <s v="RD0887"/>
        <s v="RD0888"/>
        <s v="RD0889"/>
        <s v="RD0890"/>
        <s v="RD0891"/>
        <s v="RD0892"/>
        <s v="RD0893"/>
        <s v="RD0894"/>
        <s v="RD0895"/>
        <s v="RD0896"/>
        <s v="RD0897"/>
        <s v="RD0898"/>
        <s v="RD0899"/>
        <s v="RD0900"/>
        <s v="RD0901"/>
        <s v="RD0902"/>
        <s v="RD0903"/>
        <s v="RD0904"/>
        <s v="RD0905"/>
        <s v="RD0906"/>
        <s v="RD0907"/>
        <s v="RD0908"/>
        <s v="RD0909"/>
        <s v="RD0910"/>
        <s v="RD0911"/>
        <s v="RD0912"/>
        <s v="RD0913"/>
        <s v="RD0914"/>
        <s v="RD0915"/>
        <s v="RD0916"/>
        <s v="RD0917"/>
        <s v="RD0918"/>
        <s v="RD0919"/>
        <s v="RD0920"/>
        <s v="RD0921"/>
        <s v="RD0922"/>
        <s v="RD0923"/>
        <s v="RD0924"/>
        <s v="RD0925"/>
        <s v="RD0926"/>
        <s v="RD0927"/>
        <s v="RD0928"/>
        <s v="RD0929"/>
        <s v="RD0930"/>
        <s v="RD0931"/>
        <s v="RD0932"/>
        <s v="RD0933"/>
        <s v="RD0934"/>
        <s v="RD0935"/>
        <s v="RD0936"/>
        <s v="RD0937"/>
        <s v="RD0938"/>
        <s v="RD0939"/>
        <s v="RD0940"/>
        <s v="RD0941"/>
        <s v="RD0942"/>
        <s v="RD0943"/>
        <s v="RD0944"/>
        <s v="RD0945"/>
        <s v="RD0946"/>
        <s v="RD0947"/>
        <s v="RD0948"/>
        <s v="RD0949"/>
        <s v="RD0950"/>
        <s v="RD0951"/>
        <s v="RD0952"/>
        <s v="RD0953"/>
        <s v="RD0954"/>
        <s v="RD0955"/>
        <s v="RD0956"/>
        <s v="RD0957"/>
        <s v="RD0958"/>
        <s v="RD0959"/>
        <s v="RD0960"/>
        <s v="RD0961"/>
        <s v="RD0962"/>
        <s v="RD0963"/>
        <s v="RD0964"/>
        <s v="RD0965"/>
        <s v="RD0966"/>
        <s v="RD0967"/>
        <s v="RD0968"/>
        <s v="RD0969"/>
        <s v="RD0970"/>
        <s v="RD0971"/>
        <s v="RD0972"/>
        <s v="RD0973"/>
        <s v="RD0974"/>
        <s v="RD0975"/>
        <s v="RD0976"/>
        <s v="RD0977"/>
        <s v="RD0978"/>
        <s v="RD0979"/>
        <s v="RD0980"/>
        <s v="RD0981"/>
        <s v="RD0982"/>
        <s v="RD0983"/>
        <s v="RD0984"/>
        <s v="RD0985"/>
        <s v="RD0986"/>
        <s v="RD0987"/>
        <s v="RD0988"/>
        <s v="RD0989"/>
        <s v="RD0990"/>
        <s v="RD0991"/>
        <s v="RD0992"/>
        <s v="RD0993"/>
        <s v="RD0994"/>
        <s v="RD0995"/>
        <s v="RD0996"/>
        <s v="RD0997"/>
        <s v="RD0998"/>
        <s v="RD0999"/>
        <s v="RD1000"/>
      </sharedItems>
    </cacheField>
    <cacheField name="Age" numFmtId="0">
      <sharedItems containsSemiMixedTypes="0" containsString="0" containsNumber="1" containsInteger="1" minValue="18" maxValue="90"/>
    </cacheField>
    <cacheField name="Gender" numFmtId="0">
      <sharedItems count="2">
        <s v="Male"/>
        <s v="Female"/>
      </sharedItems>
    </cacheField>
    <cacheField name="Disease" numFmtId="0">
      <sharedItems count="6">
        <s v="Hypertension"/>
        <s v="Diabetes"/>
        <s v="Heart Disease"/>
        <s v="Asthma"/>
        <s v="COVID-19"/>
        <s v="Pneumonia"/>
      </sharedItems>
    </cacheField>
    <cacheField name="Admission_Date" numFmtId="14">
      <sharedItems containsSemiMixedTypes="0" containsNonDate="0" containsDate="1" containsString="0" minDate="2025-01-01T00:00:00" maxDate="2026-01-01T00:00:00"/>
    </cacheField>
    <cacheField name="Discharge_Date" numFmtId="14">
      <sharedItems containsSemiMixedTypes="0" containsNonDate="0" containsDate="1" containsString="0" minDate="2025-01-02T00:00:00" maxDate="2026-01-15T00:00:00"/>
    </cacheField>
    <cacheField name="Length_of_Stay" numFmtId="1">
      <sharedItems containsSemiMixedTypes="0" containsString="0" containsNumber="1" containsInteger="1" minValue="1" maxValue="14"/>
    </cacheField>
    <cacheField name="Readmitted" numFmtId="0">
      <sharedItems count="2">
        <s v="Yes"/>
        <s v="No"/>
      </sharedItems>
    </cacheField>
    <cacheField name="Readmission_Days" numFmtId="0">
      <sharedItems containsSemiMixedTypes="0" containsString="0" containsNumber="1" containsInteger="1" minValue="0" maxValue="30"/>
    </cacheField>
    <cacheField name="Hospital" numFmtId="0">
      <sharedItems count="4">
        <s v="City General"/>
        <s v="Sunrise Hospital"/>
        <s v="Hope Medical Center"/>
        <s v="Royal Care Hospital"/>
      </sharedItems>
    </cacheField>
    <cacheField name="Insurance_Type" numFmtId="0">
      <sharedItems count="3">
        <s v="Self-Pay"/>
        <s v="Private"/>
        <s v="Public"/>
      </sharedItems>
    </cacheField>
    <cacheField name="Treatment_Cost_USD" numFmtId="165">
      <sharedItems containsSemiMixedTypes="0" containsString="0" containsNumber="1" minValue="502.84" maxValue="14994.28"/>
    </cacheField>
    <cacheField name="Admission_month" numFmtId="0">
      <sharedItems count="12">
        <s v="Nov"/>
        <s v="Oct"/>
        <s v="Jan"/>
        <s v="Mar"/>
        <s v="Feb"/>
        <s v="Jul"/>
        <s v="May"/>
        <s v="Sep"/>
        <s v="Apr"/>
        <s v="Jun"/>
        <s v="Dec"/>
        <s v="Aug"/>
      </sharedItems>
    </cacheField>
    <cacheField name="Admission_year" numFmtId="0">
      <sharedItems containsSemiMixedTypes="0" containsString="0" containsNumber="1" containsInteger="1" minValue="2025" maxValue="2025"/>
    </cacheField>
    <cacheField name="Age_Group" numFmtId="0">
      <sharedItems count="3">
        <s v="Adult"/>
        <s v="Young Adult"/>
        <s v="Senior"/>
      </sharedItems>
    </cacheField>
    <cacheField name="Total Patients" numFmtId="0">
      <sharedItems containsString="0" containsBlank="1" containsNumber="1" containsInteger="1" minValue="1000" maxValue="1000"/>
    </cacheField>
    <cacheField name="Total Readmitted patient" numFmtId="0">
      <sharedItems containsString="0" containsBlank="1" containsNumber="1" containsInteger="1" minValue="306" maxValue="306"/>
    </cacheField>
    <cacheField name="Readmission Rate" numFmtId="0">
      <sharedItems containsString="0" containsBlank="1" containsNumber="1" minValue="30.599999999999998" maxValue="30.599999999999998"/>
    </cacheField>
    <cacheField name="Average Length of stay" numFmtId="0">
      <sharedItems containsString="0" containsBlank="1" containsNumber="1" minValue="7.423" maxValue="7.423"/>
    </cacheField>
    <cacheField name="Total Treatment Cost" numFmtId="0">
      <sharedItems containsString="0" containsBlank="1" containsNumber="1" minValue="7637562.6900000116" maxValue="7637562.6900000116"/>
    </cacheField>
  </cacheFields>
  <extLst>
    <ext xmlns:x14="http://schemas.microsoft.com/office/spreadsheetml/2009/9/main" uri="{725AE2AE-9491-48be-B2B4-4EB974FC3084}">
      <x14:pivotCacheDefinition pivotCacheId="2056845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53"/>
    <x v="0"/>
    <x v="0"/>
    <d v="2025-11-24T00:00:00"/>
    <d v="2025-11-26T00:00:00"/>
    <n v="2"/>
    <x v="0"/>
    <n v="5"/>
    <x v="0"/>
    <x v="0"/>
    <n v="11239.68"/>
    <x v="0"/>
    <n v="2025"/>
    <x v="0"/>
    <n v="1000"/>
    <n v="306"/>
    <n v="30.599999999999998"/>
    <n v="7.423"/>
    <n v="7637562.6900000116"/>
  </r>
  <r>
    <x v="1"/>
    <n v="22"/>
    <x v="0"/>
    <x v="1"/>
    <d v="2025-10-07T00:00:00"/>
    <d v="2025-10-09T00:00:00"/>
    <n v="2"/>
    <x v="1"/>
    <n v="0"/>
    <x v="1"/>
    <x v="1"/>
    <n v="7827.65"/>
    <x v="1"/>
    <n v="2025"/>
    <x v="1"/>
    <m/>
    <m/>
    <m/>
    <m/>
    <m/>
  </r>
  <r>
    <x v="2"/>
    <n v="87"/>
    <x v="1"/>
    <x v="0"/>
    <d v="2025-01-14T00:00:00"/>
    <d v="2025-01-23T00:00:00"/>
    <n v="9"/>
    <x v="0"/>
    <n v="15"/>
    <x v="2"/>
    <x v="1"/>
    <n v="11502.71"/>
    <x v="2"/>
    <n v="2025"/>
    <x v="2"/>
    <m/>
    <m/>
    <m/>
    <m/>
    <m/>
  </r>
  <r>
    <x v="3"/>
    <n v="53"/>
    <x v="0"/>
    <x v="0"/>
    <d v="2025-03-23T00:00:00"/>
    <d v="2025-04-04T00:00:00"/>
    <n v="12"/>
    <x v="1"/>
    <n v="0"/>
    <x v="2"/>
    <x v="1"/>
    <n v="1844.81"/>
    <x v="3"/>
    <n v="2025"/>
    <x v="0"/>
    <m/>
    <m/>
    <m/>
    <m/>
    <m/>
  </r>
  <r>
    <x v="4"/>
    <n v="51"/>
    <x v="0"/>
    <x v="2"/>
    <d v="2025-02-19T00:00:00"/>
    <d v="2025-02-25T00:00:00"/>
    <n v="6"/>
    <x v="1"/>
    <n v="0"/>
    <x v="3"/>
    <x v="0"/>
    <n v="2309.98"/>
    <x v="4"/>
    <n v="2025"/>
    <x v="0"/>
    <m/>
    <m/>
    <m/>
    <m/>
    <m/>
  </r>
  <r>
    <x v="5"/>
    <n v="64"/>
    <x v="0"/>
    <x v="2"/>
    <d v="2025-07-13T00:00:00"/>
    <d v="2025-07-15T00:00:00"/>
    <n v="2"/>
    <x v="1"/>
    <n v="0"/>
    <x v="0"/>
    <x v="1"/>
    <n v="10088.32"/>
    <x v="5"/>
    <n v="2025"/>
    <x v="2"/>
    <m/>
    <m/>
    <m/>
    <m/>
    <m/>
  </r>
  <r>
    <x v="6"/>
    <n v="30"/>
    <x v="1"/>
    <x v="3"/>
    <d v="2025-05-29T00:00:00"/>
    <d v="2025-05-31T00:00:00"/>
    <n v="2"/>
    <x v="1"/>
    <n v="0"/>
    <x v="3"/>
    <x v="0"/>
    <n v="12594.6"/>
    <x v="6"/>
    <n v="2025"/>
    <x v="0"/>
    <m/>
    <m/>
    <m/>
    <m/>
    <m/>
  </r>
  <r>
    <x v="7"/>
    <n v="52"/>
    <x v="0"/>
    <x v="4"/>
    <d v="2025-03-25T00:00:00"/>
    <d v="2025-03-31T00:00:00"/>
    <n v="6"/>
    <x v="1"/>
    <n v="0"/>
    <x v="1"/>
    <x v="0"/>
    <n v="11072.34"/>
    <x v="3"/>
    <n v="2025"/>
    <x v="0"/>
    <m/>
    <m/>
    <m/>
    <m/>
    <m/>
  </r>
  <r>
    <x v="8"/>
    <n v="89"/>
    <x v="0"/>
    <x v="2"/>
    <d v="2025-03-25T00:00:00"/>
    <d v="2025-04-02T00:00:00"/>
    <n v="8"/>
    <x v="1"/>
    <n v="0"/>
    <x v="2"/>
    <x v="1"/>
    <n v="3821.2"/>
    <x v="3"/>
    <n v="2025"/>
    <x v="2"/>
    <m/>
    <m/>
    <m/>
    <m/>
    <m/>
  </r>
  <r>
    <x v="9"/>
    <n v="52"/>
    <x v="0"/>
    <x v="0"/>
    <d v="2025-01-17T00:00:00"/>
    <d v="2025-01-30T00:00:00"/>
    <n v="13"/>
    <x v="1"/>
    <n v="0"/>
    <x v="2"/>
    <x v="1"/>
    <n v="10003.86"/>
    <x v="2"/>
    <n v="2025"/>
    <x v="0"/>
    <m/>
    <m/>
    <m/>
    <m/>
    <m/>
  </r>
  <r>
    <x v="10"/>
    <n v="51"/>
    <x v="0"/>
    <x v="0"/>
    <d v="2025-07-22T00:00:00"/>
    <d v="2025-08-02T00:00:00"/>
    <n v="11"/>
    <x v="1"/>
    <n v="0"/>
    <x v="2"/>
    <x v="0"/>
    <n v="8976.5"/>
    <x v="5"/>
    <n v="2025"/>
    <x v="0"/>
    <m/>
    <m/>
    <m/>
    <m/>
    <m/>
  </r>
  <r>
    <x v="11"/>
    <n v="35"/>
    <x v="1"/>
    <x v="1"/>
    <d v="2025-10-26T00:00:00"/>
    <d v="2025-11-02T00:00:00"/>
    <n v="7"/>
    <x v="1"/>
    <n v="0"/>
    <x v="0"/>
    <x v="1"/>
    <n v="2716.2"/>
    <x v="1"/>
    <n v="2025"/>
    <x v="0"/>
    <m/>
    <m/>
    <m/>
    <m/>
    <m/>
  </r>
  <r>
    <x v="12"/>
    <n v="26"/>
    <x v="1"/>
    <x v="5"/>
    <d v="2025-03-23T00:00:00"/>
    <d v="2025-04-05T00:00:00"/>
    <n v="13"/>
    <x v="1"/>
    <n v="0"/>
    <x v="3"/>
    <x v="0"/>
    <n v="4145.5"/>
    <x v="3"/>
    <n v="2025"/>
    <x v="1"/>
    <m/>
    <m/>
    <m/>
    <m/>
    <m/>
  </r>
  <r>
    <x v="13"/>
    <n v="32"/>
    <x v="1"/>
    <x v="2"/>
    <d v="2025-10-11T00:00:00"/>
    <d v="2025-10-25T00:00:00"/>
    <n v="14"/>
    <x v="1"/>
    <n v="0"/>
    <x v="2"/>
    <x v="1"/>
    <n v="4755.75"/>
    <x v="1"/>
    <n v="2025"/>
    <x v="0"/>
    <m/>
    <m/>
    <m/>
    <m/>
    <m/>
  </r>
  <r>
    <x v="14"/>
    <n v="51"/>
    <x v="0"/>
    <x v="4"/>
    <d v="2025-03-22T00:00:00"/>
    <d v="2025-03-30T00:00:00"/>
    <n v="8"/>
    <x v="0"/>
    <n v="30"/>
    <x v="0"/>
    <x v="0"/>
    <n v="4827.45"/>
    <x v="3"/>
    <n v="2025"/>
    <x v="0"/>
    <m/>
    <m/>
    <m/>
    <m/>
    <m/>
  </r>
  <r>
    <x v="15"/>
    <n v="37"/>
    <x v="1"/>
    <x v="0"/>
    <d v="2025-11-24T00:00:00"/>
    <d v="2025-12-03T00:00:00"/>
    <n v="9"/>
    <x v="1"/>
    <n v="0"/>
    <x v="0"/>
    <x v="0"/>
    <n v="5200.26"/>
    <x v="0"/>
    <n v="2025"/>
    <x v="0"/>
    <m/>
    <m/>
    <m/>
    <m/>
    <m/>
  </r>
  <r>
    <x v="16"/>
    <n v="57"/>
    <x v="0"/>
    <x v="1"/>
    <d v="2025-01-10T00:00:00"/>
    <d v="2025-01-12T00:00:00"/>
    <n v="2"/>
    <x v="1"/>
    <n v="0"/>
    <x v="1"/>
    <x v="0"/>
    <n v="14230.77"/>
    <x v="2"/>
    <n v="2025"/>
    <x v="0"/>
    <m/>
    <m/>
    <m/>
    <m/>
    <m/>
  </r>
  <r>
    <x v="17"/>
    <n v="26"/>
    <x v="0"/>
    <x v="0"/>
    <d v="2025-02-13T00:00:00"/>
    <d v="2025-02-25T00:00:00"/>
    <n v="12"/>
    <x v="1"/>
    <n v="0"/>
    <x v="3"/>
    <x v="0"/>
    <n v="2894.34"/>
    <x v="4"/>
    <n v="2025"/>
    <x v="1"/>
    <m/>
    <m/>
    <m/>
    <m/>
    <m/>
  </r>
  <r>
    <x v="18"/>
    <n v="45"/>
    <x v="0"/>
    <x v="2"/>
    <d v="2025-09-28T00:00:00"/>
    <d v="2025-10-12T00:00:00"/>
    <n v="14"/>
    <x v="1"/>
    <n v="0"/>
    <x v="2"/>
    <x v="2"/>
    <n v="14929.67"/>
    <x v="7"/>
    <n v="2025"/>
    <x v="0"/>
    <m/>
    <m/>
    <m/>
    <m/>
    <m/>
  </r>
  <r>
    <x v="19"/>
    <n v="84"/>
    <x v="1"/>
    <x v="1"/>
    <d v="2025-11-29T00:00:00"/>
    <d v="2025-12-05T00:00:00"/>
    <n v="6"/>
    <x v="1"/>
    <n v="0"/>
    <x v="1"/>
    <x v="1"/>
    <n v="1428.38"/>
    <x v="0"/>
    <n v="2025"/>
    <x v="2"/>
    <m/>
    <m/>
    <m/>
    <m/>
    <m/>
  </r>
  <r>
    <x v="20"/>
    <n v="46"/>
    <x v="0"/>
    <x v="1"/>
    <d v="2025-01-11T00:00:00"/>
    <d v="2025-01-21T00:00:00"/>
    <n v="10"/>
    <x v="1"/>
    <n v="0"/>
    <x v="0"/>
    <x v="1"/>
    <n v="1477.3"/>
    <x v="2"/>
    <n v="2025"/>
    <x v="0"/>
    <m/>
    <m/>
    <m/>
    <m/>
    <m/>
  </r>
  <r>
    <x v="21"/>
    <n v="83"/>
    <x v="0"/>
    <x v="3"/>
    <d v="2025-01-17T00:00:00"/>
    <d v="2025-01-31T00:00:00"/>
    <n v="14"/>
    <x v="1"/>
    <n v="0"/>
    <x v="3"/>
    <x v="1"/>
    <n v="8318.89"/>
    <x v="2"/>
    <n v="2025"/>
    <x v="2"/>
    <m/>
    <m/>
    <m/>
    <m/>
    <m/>
  </r>
  <r>
    <x v="22"/>
    <n v="78"/>
    <x v="1"/>
    <x v="0"/>
    <d v="2025-10-20T00:00:00"/>
    <d v="2025-10-30T00:00:00"/>
    <n v="10"/>
    <x v="1"/>
    <n v="0"/>
    <x v="0"/>
    <x v="1"/>
    <n v="10055.25"/>
    <x v="1"/>
    <n v="2025"/>
    <x v="2"/>
    <m/>
    <m/>
    <m/>
    <m/>
    <m/>
  </r>
  <r>
    <x v="23"/>
    <n v="24"/>
    <x v="0"/>
    <x v="1"/>
    <d v="2025-07-01T00:00:00"/>
    <d v="2025-07-08T00:00:00"/>
    <n v="7"/>
    <x v="1"/>
    <n v="0"/>
    <x v="3"/>
    <x v="0"/>
    <n v="5419.89"/>
    <x v="5"/>
    <n v="2025"/>
    <x v="1"/>
    <m/>
    <m/>
    <m/>
    <m/>
    <m/>
  </r>
  <r>
    <x v="24"/>
    <n v="86"/>
    <x v="1"/>
    <x v="0"/>
    <d v="2025-02-25T00:00:00"/>
    <d v="2025-03-01T00:00:00"/>
    <n v="4"/>
    <x v="0"/>
    <n v="14"/>
    <x v="1"/>
    <x v="2"/>
    <n v="7208.11"/>
    <x v="4"/>
    <n v="2025"/>
    <x v="2"/>
    <m/>
    <m/>
    <m/>
    <m/>
    <m/>
  </r>
  <r>
    <x v="25"/>
    <n v="88"/>
    <x v="0"/>
    <x v="1"/>
    <d v="2025-02-08T00:00:00"/>
    <d v="2025-02-16T00:00:00"/>
    <n v="8"/>
    <x v="1"/>
    <n v="0"/>
    <x v="0"/>
    <x v="1"/>
    <n v="13932.32"/>
    <x v="4"/>
    <n v="2025"/>
    <x v="2"/>
    <m/>
    <m/>
    <m/>
    <m/>
    <m/>
  </r>
  <r>
    <x v="26"/>
    <n v="79"/>
    <x v="0"/>
    <x v="5"/>
    <d v="2025-05-02T00:00:00"/>
    <d v="2025-05-05T00:00:00"/>
    <n v="3"/>
    <x v="1"/>
    <n v="0"/>
    <x v="0"/>
    <x v="1"/>
    <n v="5995.11"/>
    <x v="6"/>
    <n v="2025"/>
    <x v="2"/>
    <m/>
    <m/>
    <m/>
    <m/>
    <m/>
  </r>
  <r>
    <x v="27"/>
    <n v="76"/>
    <x v="1"/>
    <x v="5"/>
    <d v="2025-07-19T00:00:00"/>
    <d v="2025-07-24T00:00:00"/>
    <n v="5"/>
    <x v="1"/>
    <n v="0"/>
    <x v="3"/>
    <x v="1"/>
    <n v="3253.52"/>
    <x v="5"/>
    <n v="2025"/>
    <x v="2"/>
    <m/>
    <m/>
    <m/>
    <m/>
    <m/>
  </r>
  <r>
    <x v="28"/>
    <n v="87"/>
    <x v="0"/>
    <x v="2"/>
    <d v="2025-04-22T00:00:00"/>
    <d v="2025-04-23T00:00:00"/>
    <n v="1"/>
    <x v="1"/>
    <n v="0"/>
    <x v="2"/>
    <x v="1"/>
    <n v="1227.06"/>
    <x v="8"/>
    <n v="2025"/>
    <x v="2"/>
    <m/>
    <m/>
    <m/>
    <m/>
    <m/>
  </r>
  <r>
    <x v="29"/>
    <n v="85"/>
    <x v="0"/>
    <x v="1"/>
    <d v="2025-09-02T00:00:00"/>
    <d v="2025-09-11T00:00:00"/>
    <n v="9"/>
    <x v="1"/>
    <n v="0"/>
    <x v="0"/>
    <x v="1"/>
    <n v="1493.56"/>
    <x v="7"/>
    <n v="2025"/>
    <x v="2"/>
    <m/>
    <m/>
    <m/>
    <m/>
    <m/>
  </r>
  <r>
    <x v="30"/>
    <n v="69"/>
    <x v="0"/>
    <x v="4"/>
    <d v="2025-02-04T00:00:00"/>
    <d v="2025-02-15T00:00:00"/>
    <n v="11"/>
    <x v="1"/>
    <n v="0"/>
    <x v="1"/>
    <x v="0"/>
    <n v="9120.5300000000007"/>
    <x v="4"/>
    <n v="2025"/>
    <x v="2"/>
    <m/>
    <m/>
    <m/>
    <m/>
    <m/>
  </r>
  <r>
    <x v="31"/>
    <n v="90"/>
    <x v="1"/>
    <x v="3"/>
    <d v="2025-11-14T00:00:00"/>
    <d v="2025-11-16T00:00:00"/>
    <n v="2"/>
    <x v="1"/>
    <n v="0"/>
    <x v="1"/>
    <x v="0"/>
    <n v="10884.78"/>
    <x v="0"/>
    <n v="2025"/>
    <x v="2"/>
    <m/>
    <m/>
    <m/>
    <m/>
    <m/>
  </r>
  <r>
    <x v="32"/>
    <n v="56"/>
    <x v="1"/>
    <x v="3"/>
    <d v="2025-05-03T00:00:00"/>
    <d v="2025-05-08T00:00:00"/>
    <n v="5"/>
    <x v="1"/>
    <n v="0"/>
    <x v="0"/>
    <x v="1"/>
    <n v="7145.14"/>
    <x v="6"/>
    <n v="2025"/>
    <x v="0"/>
    <m/>
    <m/>
    <m/>
    <m/>
    <m/>
  </r>
  <r>
    <x v="33"/>
    <n v="45"/>
    <x v="1"/>
    <x v="0"/>
    <d v="2025-10-16T00:00:00"/>
    <d v="2025-10-18T00:00:00"/>
    <n v="2"/>
    <x v="0"/>
    <n v="30"/>
    <x v="2"/>
    <x v="1"/>
    <n v="13249.42"/>
    <x v="1"/>
    <n v="2025"/>
    <x v="0"/>
    <m/>
    <m/>
    <m/>
    <m/>
    <m/>
  </r>
  <r>
    <x v="34"/>
    <n v="87"/>
    <x v="1"/>
    <x v="4"/>
    <d v="2025-07-09T00:00:00"/>
    <d v="2025-07-14T00:00:00"/>
    <n v="5"/>
    <x v="0"/>
    <n v="26"/>
    <x v="0"/>
    <x v="0"/>
    <n v="12348.01"/>
    <x v="5"/>
    <n v="2025"/>
    <x v="2"/>
    <m/>
    <m/>
    <m/>
    <m/>
    <m/>
  </r>
  <r>
    <x v="35"/>
    <n v="35"/>
    <x v="1"/>
    <x v="1"/>
    <d v="2025-06-03T00:00:00"/>
    <d v="2025-06-14T00:00:00"/>
    <n v="11"/>
    <x v="0"/>
    <n v="29"/>
    <x v="0"/>
    <x v="0"/>
    <n v="8521.74"/>
    <x v="9"/>
    <n v="2025"/>
    <x v="0"/>
    <m/>
    <m/>
    <m/>
    <m/>
    <m/>
  </r>
  <r>
    <x v="36"/>
    <n v="61"/>
    <x v="0"/>
    <x v="2"/>
    <d v="2025-05-20T00:00:00"/>
    <d v="2025-05-25T00:00:00"/>
    <n v="5"/>
    <x v="1"/>
    <n v="0"/>
    <x v="2"/>
    <x v="0"/>
    <n v="7583.71"/>
    <x v="6"/>
    <n v="2025"/>
    <x v="2"/>
    <m/>
    <m/>
    <m/>
    <m/>
    <m/>
  </r>
  <r>
    <x v="37"/>
    <n v="53"/>
    <x v="0"/>
    <x v="1"/>
    <d v="2025-01-27T00:00:00"/>
    <d v="2025-01-29T00:00:00"/>
    <n v="2"/>
    <x v="1"/>
    <n v="0"/>
    <x v="2"/>
    <x v="1"/>
    <n v="9738.14"/>
    <x v="2"/>
    <n v="2025"/>
    <x v="0"/>
    <m/>
    <m/>
    <m/>
    <m/>
    <m/>
  </r>
  <r>
    <x v="38"/>
    <n v="88"/>
    <x v="1"/>
    <x v="4"/>
    <d v="2025-05-15T00:00:00"/>
    <d v="2025-05-18T00:00:00"/>
    <n v="3"/>
    <x v="1"/>
    <n v="0"/>
    <x v="0"/>
    <x v="1"/>
    <n v="1591.04"/>
    <x v="6"/>
    <n v="2025"/>
    <x v="2"/>
    <m/>
    <m/>
    <m/>
    <m/>
    <m/>
  </r>
  <r>
    <x v="39"/>
    <n v="65"/>
    <x v="0"/>
    <x v="5"/>
    <d v="2025-12-20T00:00:00"/>
    <d v="2025-12-23T00:00:00"/>
    <n v="3"/>
    <x v="1"/>
    <n v="0"/>
    <x v="1"/>
    <x v="1"/>
    <n v="4969.75"/>
    <x v="10"/>
    <n v="2025"/>
    <x v="2"/>
    <m/>
    <m/>
    <m/>
    <m/>
    <m/>
  </r>
  <r>
    <x v="40"/>
    <n v="49"/>
    <x v="0"/>
    <x v="3"/>
    <d v="2025-01-21T00:00:00"/>
    <d v="2025-01-27T00:00:00"/>
    <n v="6"/>
    <x v="0"/>
    <n v="25"/>
    <x v="3"/>
    <x v="0"/>
    <n v="11367.43"/>
    <x v="2"/>
    <n v="2025"/>
    <x v="0"/>
    <m/>
    <m/>
    <m/>
    <m/>
    <m/>
  </r>
  <r>
    <x v="41"/>
    <n v="40"/>
    <x v="1"/>
    <x v="1"/>
    <d v="2025-05-02T00:00:00"/>
    <d v="2025-05-16T00:00:00"/>
    <n v="14"/>
    <x v="0"/>
    <n v="6"/>
    <x v="2"/>
    <x v="2"/>
    <n v="12132.41"/>
    <x v="6"/>
    <n v="2025"/>
    <x v="0"/>
    <m/>
    <m/>
    <m/>
    <m/>
    <m/>
  </r>
  <r>
    <x v="42"/>
    <n v="31"/>
    <x v="1"/>
    <x v="1"/>
    <d v="2025-05-08T00:00:00"/>
    <d v="2025-05-13T00:00:00"/>
    <n v="5"/>
    <x v="0"/>
    <n v="28"/>
    <x v="3"/>
    <x v="1"/>
    <n v="3393.81"/>
    <x v="6"/>
    <n v="2025"/>
    <x v="0"/>
    <m/>
    <m/>
    <m/>
    <m/>
    <m/>
  </r>
  <r>
    <x v="43"/>
    <n v="47"/>
    <x v="0"/>
    <x v="1"/>
    <d v="2025-08-24T00:00:00"/>
    <d v="2025-08-30T00:00:00"/>
    <n v="6"/>
    <x v="1"/>
    <n v="0"/>
    <x v="1"/>
    <x v="2"/>
    <n v="5259.8"/>
    <x v="11"/>
    <n v="2025"/>
    <x v="0"/>
    <m/>
    <m/>
    <m/>
    <m/>
    <m/>
  </r>
  <r>
    <x v="44"/>
    <n v="83"/>
    <x v="1"/>
    <x v="2"/>
    <d v="2025-02-05T00:00:00"/>
    <d v="2025-02-18T00:00:00"/>
    <n v="13"/>
    <x v="0"/>
    <n v="27"/>
    <x v="2"/>
    <x v="1"/>
    <n v="2172.46"/>
    <x v="4"/>
    <n v="2025"/>
    <x v="2"/>
    <m/>
    <m/>
    <m/>
    <m/>
    <m/>
  </r>
  <r>
    <x v="45"/>
    <n v="51"/>
    <x v="0"/>
    <x v="1"/>
    <d v="2025-05-14T00:00:00"/>
    <d v="2025-05-17T00:00:00"/>
    <n v="3"/>
    <x v="1"/>
    <n v="0"/>
    <x v="3"/>
    <x v="2"/>
    <n v="11063.9"/>
    <x v="6"/>
    <n v="2025"/>
    <x v="0"/>
    <m/>
    <m/>
    <m/>
    <m/>
    <m/>
  </r>
  <r>
    <x v="46"/>
    <n v="83"/>
    <x v="0"/>
    <x v="5"/>
    <d v="2025-06-10T00:00:00"/>
    <d v="2025-06-17T00:00:00"/>
    <n v="7"/>
    <x v="1"/>
    <n v="0"/>
    <x v="1"/>
    <x v="2"/>
    <n v="1143.5999999999999"/>
    <x v="9"/>
    <n v="2025"/>
    <x v="2"/>
    <m/>
    <m/>
    <m/>
    <m/>
    <m/>
  </r>
  <r>
    <x v="47"/>
    <n v="86"/>
    <x v="0"/>
    <x v="3"/>
    <d v="2025-08-12T00:00:00"/>
    <d v="2025-08-13T00:00:00"/>
    <n v="1"/>
    <x v="1"/>
    <n v="0"/>
    <x v="3"/>
    <x v="1"/>
    <n v="14258.68"/>
    <x v="11"/>
    <n v="2025"/>
    <x v="2"/>
    <m/>
    <m/>
    <m/>
    <m/>
    <m/>
  </r>
  <r>
    <x v="48"/>
    <n v="33"/>
    <x v="1"/>
    <x v="4"/>
    <d v="2025-06-19T00:00:00"/>
    <d v="2025-06-29T00:00:00"/>
    <n v="10"/>
    <x v="1"/>
    <n v="0"/>
    <x v="2"/>
    <x v="0"/>
    <n v="6421.7"/>
    <x v="9"/>
    <n v="2025"/>
    <x v="0"/>
    <m/>
    <m/>
    <m/>
    <m/>
    <m/>
  </r>
  <r>
    <x v="49"/>
    <n v="34"/>
    <x v="0"/>
    <x v="5"/>
    <d v="2025-07-26T00:00:00"/>
    <d v="2025-08-07T00:00:00"/>
    <n v="12"/>
    <x v="0"/>
    <n v="22"/>
    <x v="3"/>
    <x v="0"/>
    <n v="11347.95"/>
    <x v="5"/>
    <n v="2025"/>
    <x v="0"/>
    <m/>
    <m/>
    <m/>
    <m/>
    <m/>
  </r>
  <r>
    <x v="50"/>
    <n v="69"/>
    <x v="0"/>
    <x v="3"/>
    <d v="2025-03-31T00:00:00"/>
    <d v="2025-04-10T00:00:00"/>
    <n v="10"/>
    <x v="1"/>
    <n v="0"/>
    <x v="2"/>
    <x v="1"/>
    <n v="6733.38"/>
    <x v="3"/>
    <n v="2025"/>
    <x v="2"/>
    <m/>
    <m/>
    <m/>
    <m/>
    <m/>
  </r>
  <r>
    <x v="51"/>
    <n v="77"/>
    <x v="1"/>
    <x v="5"/>
    <d v="2025-10-24T00:00:00"/>
    <d v="2025-11-03T00:00:00"/>
    <n v="10"/>
    <x v="1"/>
    <n v="0"/>
    <x v="1"/>
    <x v="0"/>
    <n v="7361.2"/>
    <x v="1"/>
    <n v="2025"/>
    <x v="2"/>
    <m/>
    <m/>
    <m/>
    <m/>
    <m/>
  </r>
  <r>
    <x v="52"/>
    <n v="83"/>
    <x v="1"/>
    <x v="1"/>
    <d v="2025-03-28T00:00:00"/>
    <d v="2025-04-08T00:00:00"/>
    <n v="11"/>
    <x v="0"/>
    <n v="27"/>
    <x v="1"/>
    <x v="0"/>
    <n v="5001.08"/>
    <x v="3"/>
    <n v="2025"/>
    <x v="2"/>
    <m/>
    <m/>
    <m/>
    <m/>
    <m/>
  </r>
  <r>
    <x v="53"/>
    <n v="49"/>
    <x v="1"/>
    <x v="4"/>
    <d v="2025-04-12T00:00:00"/>
    <d v="2025-04-15T00:00:00"/>
    <n v="3"/>
    <x v="0"/>
    <n v="28"/>
    <x v="0"/>
    <x v="2"/>
    <n v="6509.39"/>
    <x v="8"/>
    <n v="2025"/>
    <x v="0"/>
    <m/>
    <m/>
    <m/>
    <m/>
    <m/>
  </r>
  <r>
    <x v="54"/>
    <n v="67"/>
    <x v="1"/>
    <x v="5"/>
    <d v="2025-11-19T00:00:00"/>
    <d v="2025-11-29T00:00:00"/>
    <n v="10"/>
    <x v="0"/>
    <n v="8"/>
    <x v="1"/>
    <x v="0"/>
    <n v="10470.52"/>
    <x v="0"/>
    <n v="2025"/>
    <x v="2"/>
    <m/>
    <m/>
    <m/>
    <m/>
    <m/>
  </r>
  <r>
    <x v="55"/>
    <n v="40"/>
    <x v="1"/>
    <x v="1"/>
    <d v="2025-02-24T00:00:00"/>
    <d v="2025-03-09T00:00:00"/>
    <n v="13"/>
    <x v="1"/>
    <n v="0"/>
    <x v="1"/>
    <x v="1"/>
    <n v="7118.7"/>
    <x v="4"/>
    <n v="2025"/>
    <x v="0"/>
    <m/>
    <m/>
    <m/>
    <m/>
    <m/>
  </r>
  <r>
    <x v="56"/>
    <n v="89"/>
    <x v="1"/>
    <x v="5"/>
    <d v="2025-08-26T00:00:00"/>
    <d v="2025-09-06T00:00:00"/>
    <n v="11"/>
    <x v="1"/>
    <n v="0"/>
    <x v="3"/>
    <x v="0"/>
    <n v="6965.75"/>
    <x v="11"/>
    <n v="2025"/>
    <x v="2"/>
    <m/>
    <m/>
    <m/>
    <m/>
    <m/>
  </r>
  <r>
    <x v="57"/>
    <n v="75"/>
    <x v="1"/>
    <x v="0"/>
    <d v="2025-03-23T00:00:00"/>
    <d v="2025-04-04T00:00:00"/>
    <n v="12"/>
    <x v="1"/>
    <n v="0"/>
    <x v="2"/>
    <x v="0"/>
    <n v="7526.66"/>
    <x v="3"/>
    <n v="2025"/>
    <x v="2"/>
    <m/>
    <m/>
    <m/>
    <m/>
    <m/>
  </r>
  <r>
    <x v="58"/>
    <n v="54"/>
    <x v="0"/>
    <x v="3"/>
    <d v="2025-05-03T00:00:00"/>
    <d v="2025-05-08T00:00:00"/>
    <n v="5"/>
    <x v="1"/>
    <n v="0"/>
    <x v="2"/>
    <x v="2"/>
    <n v="13448.89"/>
    <x v="6"/>
    <n v="2025"/>
    <x v="0"/>
    <m/>
    <m/>
    <m/>
    <m/>
    <m/>
  </r>
  <r>
    <x v="59"/>
    <n v="67"/>
    <x v="0"/>
    <x v="2"/>
    <d v="2025-02-11T00:00:00"/>
    <d v="2025-02-14T00:00:00"/>
    <n v="3"/>
    <x v="0"/>
    <n v="7"/>
    <x v="0"/>
    <x v="2"/>
    <n v="6410.19"/>
    <x v="4"/>
    <n v="2025"/>
    <x v="2"/>
    <m/>
    <m/>
    <m/>
    <m/>
    <m/>
  </r>
  <r>
    <x v="60"/>
    <n v="44"/>
    <x v="1"/>
    <x v="5"/>
    <d v="2025-10-05T00:00:00"/>
    <d v="2025-10-13T00:00:00"/>
    <n v="8"/>
    <x v="1"/>
    <n v="0"/>
    <x v="0"/>
    <x v="0"/>
    <n v="6015.52"/>
    <x v="1"/>
    <n v="2025"/>
    <x v="0"/>
    <m/>
    <m/>
    <m/>
    <m/>
    <m/>
  </r>
  <r>
    <x v="61"/>
    <n v="67"/>
    <x v="1"/>
    <x v="4"/>
    <d v="2025-01-04T00:00:00"/>
    <d v="2025-01-10T00:00:00"/>
    <n v="6"/>
    <x v="0"/>
    <n v="24"/>
    <x v="1"/>
    <x v="2"/>
    <n v="3681.61"/>
    <x v="2"/>
    <n v="2025"/>
    <x v="2"/>
    <m/>
    <m/>
    <m/>
    <m/>
    <m/>
  </r>
  <r>
    <x v="62"/>
    <n v="61"/>
    <x v="1"/>
    <x v="2"/>
    <d v="2025-08-12T00:00:00"/>
    <d v="2025-08-20T00:00:00"/>
    <n v="8"/>
    <x v="0"/>
    <n v="6"/>
    <x v="3"/>
    <x v="1"/>
    <n v="14720.47"/>
    <x v="11"/>
    <n v="2025"/>
    <x v="2"/>
    <m/>
    <m/>
    <m/>
    <m/>
    <m/>
  </r>
  <r>
    <x v="63"/>
    <n v="90"/>
    <x v="0"/>
    <x v="1"/>
    <d v="2025-10-01T00:00:00"/>
    <d v="2025-10-02T00:00:00"/>
    <n v="1"/>
    <x v="1"/>
    <n v="0"/>
    <x v="3"/>
    <x v="1"/>
    <n v="13069.34"/>
    <x v="1"/>
    <n v="2025"/>
    <x v="2"/>
    <m/>
    <m/>
    <m/>
    <m/>
    <m/>
  </r>
  <r>
    <x v="64"/>
    <n v="59"/>
    <x v="0"/>
    <x v="5"/>
    <d v="2025-04-04T00:00:00"/>
    <d v="2025-04-05T00:00:00"/>
    <n v="1"/>
    <x v="0"/>
    <n v="11"/>
    <x v="2"/>
    <x v="2"/>
    <n v="4534.72"/>
    <x v="8"/>
    <n v="2025"/>
    <x v="0"/>
    <m/>
    <m/>
    <m/>
    <m/>
    <m/>
  </r>
  <r>
    <x v="65"/>
    <n v="78"/>
    <x v="0"/>
    <x v="2"/>
    <d v="2025-08-04T00:00:00"/>
    <d v="2025-08-09T00:00:00"/>
    <n v="5"/>
    <x v="1"/>
    <n v="0"/>
    <x v="0"/>
    <x v="2"/>
    <n v="3751.22"/>
    <x v="11"/>
    <n v="2025"/>
    <x v="2"/>
    <m/>
    <m/>
    <m/>
    <m/>
    <m/>
  </r>
  <r>
    <x v="66"/>
    <n v="23"/>
    <x v="0"/>
    <x v="0"/>
    <d v="2025-02-05T00:00:00"/>
    <d v="2025-02-18T00:00:00"/>
    <n v="13"/>
    <x v="1"/>
    <n v="0"/>
    <x v="1"/>
    <x v="1"/>
    <n v="9509.3700000000008"/>
    <x v="4"/>
    <n v="2025"/>
    <x v="1"/>
    <m/>
    <m/>
    <m/>
    <m/>
    <m/>
  </r>
  <r>
    <x v="67"/>
    <n v="32"/>
    <x v="0"/>
    <x v="5"/>
    <d v="2025-05-03T00:00:00"/>
    <d v="2025-05-06T00:00:00"/>
    <n v="3"/>
    <x v="1"/>
    <n v="0"/>
    <x v="2"/>
    <x v="2"/>
    <n v="2932.94"/>
    <x v="6"/>
    <n v="2025"/>
    <x v="0"/>
    <m/>
    <m/>
    <m/>
    <m/>
    <m/>
  </r>
  <r>
    <x v="68"/>
    <n v="38"/>
    <x v="1"/>
    <x v="1"/>
    <d v="2025-11-07T00:00:00"/>
    <d v="2025-11-19T00:00:00"/>
    <n v="12"/>
    <x v="1"/>
    <n v="0"/>
    <x v="0"/>
    <x v="2"/>
    <n v="8849.0499999999993"/>
    <x v="0"/>
    <n v="2025"/>
    <x v="0"/>
    <m/>
    <m/>
    <m/>
    <m/>
    <m/>
  </r>
  <r>
    <x v="69"/>
    <n v="43"/>
    <x v="0"/>
    <x v="4"/>
    <d v="2025-07-12T00:00:00"/>
    <d v="2025-07-19T00:00:00"/>
    <n v="7"/>
    <x v="1"/>
    <n v="0"/>
    <x v="1"/>
    <x v="1"/>
    <n v="10609.3"/>
    <x v="5"/>
    <n v="2025"/>
    <x v="0"/>
    <m/>
    <m/>
    <m/>
    <m/>
    <m/>
  </r>
  <r>
    <x v="70"/>
    <n v="33"/>
    <x v="0"/>
    <x v="3"/>
    <d v="2025-06-04T00:00:00"/>
    <d v="2025-06-18T00:00:00"/>
    <n v="14"/>
    <x v="1"/>
    <n v="0"/>
    <x v="3"/>
    <x v="0"/>
    <n v="5873.28"/>
    <x v="9"/>
    <n v="2025"/>
    <x v="0"/>
    <m/>
    <m/>
    <m/>
    <m/>
    <m/>
  </r>
  <r>
    <x v="71"/>
    <n v="71"/>
    <x v="1"/>
    <x v="1"/>
    <d v="2025-09-17T00:00:00"/>
    <d v="2025-09-28T00:00:00"/>
    <n v="11"/>
    <x v="1"/>
    <n v="0"/>
    <x v="3"/>
    <x v="2"/>
    <n v="9715.98"/>
    <x v="7"/>
    <n v="2025"/>
    <x v="2"/>
    <m/>
    <m/>
    <m/>
    <m/>
    <m/>
  </r>
  <r>
    <x v="72"/>
    <n v="40"/>
    <x v="1"/>
    <x v="4"/>
    <d v="2025-08-24T00:00:00"/>
    <d v="2025-09-05T00:00:00"/>
    <n v="12"/>
    <x v="0"/>
    <n v="26"/>
    <x v="3"/>
    <x v="2"/>
    <n v="6815.83"/>
    <x v="11"/>
    <n v="2025"/>
    <x v="0"/>
    <m/>
    <m/>
    <m/>
    <m/>
    <m/>
  </r>
  <r>
    <x v="73"/>
    <n v="49"/>
    <x v="0"/>
    <x v="3"/>
    <d v="2025-10-31T00:00:00"/>
    <d v="2025-11-05T00:00:00"/>
    <n v="5"/>
    <x v="1"/>
    <n v="0"/>
    <x v="3"/>
    <x v="1"/>
    <n v="11381.91"/>
    <x v="1"/>
    <n v="2025"/>
    <x v="0"/>
    <m/>
    <m/>
    <m/>
    <m/>
    <m/>
  </r>
  <r>
    <x v="74"/>
    <n v="61"/>
    <x v="0"/>
    <x v="5"/>
    <d v="2025-10-19T00:00:00"/>
    <d v="2025-10-29T00:00:00"/>
    <n v="10"/>
    <x v="1"/>
    <n v="0"/>
    <x v="2"/>
    <x v="1"/>
    <n v="7569.47"/>
    <x v="1"/>
    <n v="2025"/>
    <x v="2"/>
    <m/>
    <m/>
    <m/>
    <m/>
    <m/>
  </r>
  <r>
    <x v="75"/>
    <n v="53"/>
    <x v="1"/>
    <x v="4"/>
    <d v="2025-07-01T00:00:00"/>
    <d v="2025-07-14T00:00:00"/>
    <n v="13"/>
    <x v="0"/>
    <n v="1"/>
    <x v="1"/>
    <x v="1"/>
    <n v="3999.66"/>
    <x v="5"/>
    <n v="2025"/>
    <x v="0"/>
    <m/>
    <m/>
    <m/>
    <m/>
    <m/>
  </r>
  <r>
    <x v="76"/>
    <n v="48"/>
    <x v="1"/>
    <x v="2"/>
    <d v="2025-07-28T00:00:00"/>
    <d v="2025-08-05T00:00:00"/>
    <n v="8"/>
    <x v="1"/>
    <n v="0"/>
    <x v="3"/>
    <x v="2"/>
    <n v="11997.53"/>
    <x v="5"/>
    <n v="2025"/>
    <x v="0"/>
    <m/>
    <m/>
    <m/>
    <m/>
    <m/>
  </r>
  <r>
    <x v="77"/>
    <n v="49"/>
    <x v="1"/>
    <x v="2"/>
    <d v="2025-02-17T00:00:00"/>
    <d v="2025-02-22T00:00:00"/>
    <n v="5"/>
    <x v="0"/>
    <n v="19"/>
    <x v="2"/>
    <x v="2"/>
    <n v="8525.36"/>
    <x v="4"/>
    <n v="2025"/>
    <x v="0"/>
    <m/>
    <m/>
    <m/>
    <m/>
    <m/>
  </r>
  <r>
    <x v="78"/>
    <n v="88"/>
    <x v="1"/>
    <x v="3"/>
    <d v="2025-06-26T00:00:00"/>
    <d v="2025-07-03T00:00:00"/>
    <n v="7"/>
    <x v="1"/>
    <n v="0"/>
    <x v="3"/>
    <x v="2"/>
    <n v="4946.03"/>
    <x v="9"/>
    <n v="2025"/>
    <x v="2"/>
    <m/>
    <m/>
    <m/>
    <m/>
    <m/>
  </r>
  <r>
    <x v="79"/>
    <n v="58"/>
    <x v="0"/>
    <x v="2"/>
    <d v="2025-04-29T00:00:00"/>
    <d v="2025-05-01T00:00:00"/>
    <n v="2"/>
    <x v="1"/>
    <n v="0"/>
    <x v="1"/>
    <x v="1"/>
    <n v="3637.58"/>
    <x v="8"/>
    <n v="2025"/>
    <x v="0"/>
    <m/>
    <m/>
    <m/>
    <m/>
    <m/>
  </r>
  <r>
    <x v="80"/>
    <n v="85"/>
    <x v="1"/>
    <x v="1"/>
    <d v="2025-09-05T00:00:00"/>
    <d v="2025-09-10T00:00:00"/>
    <n v="5"/>
    <x v="1"/>
    <n v="0"/>
    <x v="1"/>
    <x v="2"/>
    <n v="3798.51"/>
    <x v="7"/>
    <n v="2025"/>
    <x v="2"/>
    <m/>
    <m/>
    <m/>
    <m/>
    <m/>
  </r>
  <r>
    <x v="81"/>
    <n v="86"/>
    <x v="0"/>
    <x v="3"/>
    <d v="2025-04-02T00:00:00"/>
    <d v="2025-04-07T00:00:00"/>
    <n v="5"/>
    <x v="0"/>
    <n v="2"/>
    <x v="0"/>
    <x v="0"/>
    <n v="4735.9799999999996"/>
    <x v="8"/>
    <n v="2025"/>
    <x v="2"/>
    <m/>
    <m/>
    <m/>
    <m/>
    <m/>
  </r>
  <r>
    <x v="82"/>
    <n v="80"/>
    <x v="0"/>
    <x v="1"/>
    <d v="2025-03-06T00:00:00"/>
    <d v="2025-03-17T00:00:00"/>
    <n v="11"/>
    <x v="1"/>
    <n v="0"/>
    <x v="2"/>
    <x v="2"/>
    <n v="7441.36"/>
    <x v="3"/>
    <n v="2025"/>
    <x v="2"/>
    <m/>
    <m/>
    <m/>
    <m/>
    <m/>
  </r>
  <r>
    <x v="83"/>
    <n v="50"/>
    <x v="1"/>
    <x v="1"/>
    <d v="2025-06-24T00:00:00"/>
    <d v="2025-06-27T00:00:00"/>
    <n v="3"/>
    <x v="1"/>
    <n v="0"/>
    <x v="0"/>
    <x v="2"/>
    <n v="7630.33"/>
    <x v="9"/>
    <n v="2025"/>
    <x v="0"/>
    <m/>
    <m/>
    <m/>
    <m/>
    <m/>
  </r>
  <r>
    <x v="84"/>
    <n v="37"/>
    <x v="0"/>
    <x v="4"/>
    <d v="2025-10-23T00:00:00"/>
    <d v="2025-11-03T00:00:00"/>
    <n v="11"/>
    <x v="1"/>
    <n v="0"/>
    <x v="2"/>
    <x v="1"/>
    <n v="14911.81"/>
    <x v="1"/>
    <n v="2025"/>
    <x v="0"/>
    <m/>
    <m/>
    <m/>
    <m/>
    <m/>
  </r>
  <r>
    <x v="85"/>
    <n v="46"/>
    <x v="1"/>
    <x v="5"/>
    <d v="2025-03-02T00:00:00"/>
    <d v="2025-03-11T00:00:00"/>
    <n v="9"/>
    <x v="1"/>
    <n v="0"/>
    <x v="3"/>
    <x v="2"/>
    <n v="12972.42"/>
    <x v="3"/>
    <n v="2025"/>
    <x v="0"/>
    <m/>
    <m/>
    <m/>
    <m/>
    <m/>
  </r>
  <r>
    <x v="86"/>
    <n v="25"/>
    <x v="0"/>
    <x v="0"/>
    <d v="2025-08-08T00:00:00"/>
    <d v="2025-08-13T00:00:00"/>
    <n v="5"/>
    <x v="1"/>
    <n v="0"/>
    <x v="1"/>
    <x v="2"/>
    <n v="10076.209999999999"/>
    <x v="11"/>
    <n v="2025"/>
    <x v="1"/>
    <m/>
    <m/>
    <m/>
    <m/>
    <m/>
  </r>
  <r>
    <x v="87"/>
    <n v="27"/>
    <x v="0"/>
    <x v="1"/>
    <d v="2025-03-22T00:00:00"/>
    <d v="2025-03-26T00:00:00"/>
    <n v="4"/>
    <x v="0"/>
    <n v="14"/>
    <x v="3"/>
    <x v="0"/>
    <n v="9110.26"/>
    <x v="3"/>
    <n v="2025"/>
    <x v="1"/>
    <m/>
    <m/>
    <m/>
    <m/>
    <m/>
  </r>
  <r>
    <x v="88"/>
    <n v="54"/>
    <x v="1"/>
    <x v="1"/>
    <d v="2025-05-30T00:00:00"/>
    <d v="2025-05-31T00:00:00"/>
    <n v="1"/>
    <x v="0"/>
    <n v="22"/>
    <x v="1"/>
    <x v="2"/>
    <n v="11923.51"/>
    <x v="6"/>
    <n v="2025"/>
    <x v="0"/>
    <m/>
    <m/>
    <m/>
    <m/>
    <m/>
  </r>
  <r>
    <x v="89"/>
    <n v="43"/>
    <x v="1"/>
    <x v="1"/>
    <d v="2025-11-17T00:00:00"/>
    <d v="2025-11-27T00:00:00"/>
    <n v="10"/>
    <x v="1"/>
    <n v="0"/>
    <x v="1"/>
    <x v="0"/>
    <n v="2660.35"/>
    <x v="0"/>
    <n v="2025"/>
    <x v="0"/>
    <m/>
    <m/>
    <m/>
    <m/>
    <m/>
  </r>
  <r>
    <x v="90"/>
    <n v="25"/>
    <x v="0"/>
    <x v="3"/>
    <d v="2025-05-17T00:00:00"/>
    <d v="2025-05-31T00:00:00"/>
    <n v="14"/>
    <x v="0"/>
    <n v="20"/>
    <x v="2"/>
    <x v="2"/>
    <n v="2303.13"/>
    <x v="6"/>
    <n v="2025"/>
    <x v="1"/>
    <m/>
    <m/>
    <m/>
    <m/>
    <m/>
  </r>
  <r>
    <x v="91"/>
    <n v="52"/>
    <x v="1"/>
    <x v="5"/>
    <d v="2025-12-19T00:00:00"/>
    <d v="2025-12-24T00:00:00"/>
    <n v="5"/>
    <x v="1"/>
    <n v="0"/>
    <x v="0"/>
    <x v="0"/>
    <n v="1077.98"/>
    <x v="10"/>
    <n v="2025"/>
    <x v="0"/>
    <m/>
    <m/>
    <m/>
    <m/>
    <m/>
  </r>
  <r>
    <x v="92"/>
    <n v="50"/>
    <x v="0"/>
    <x v="1"/>
    <d v="2025-08-10T00:00:00"/>
    <d v="2025-08-22T00:00:00"/>
    <n v="12"/>
    <x v="1"/>
    <n v="0"/>
    <x v="1"/>
    <x v="0"/>
    <n v="12621.4"/>
    <x v="11"/>
    <n v="2025"/>
    <x v="0"/>
    <m/>
    <m/>
    <m/>
    <m/>
    <m/>
  </r>
  <r>
    <x v="93"/>
    <n v="52"/>
    <x v="0"/>
    <x v="0"/>
    <d v="2025-10-22T00:00:00"/>
    <d v="2025-11-01T00:00:00"/>
    <n v="10"/>
    <x v="1"/>
    <n v="0"/>
    <x v="3"/>
    <x v="0"/>
    <n v="9946.89"/>
    <x v="1"/>
    <n v="2025"/>
    <x v="0"/>
    <m/>
    <m/>
    <m/>
    <m/>
    <m/>
  </r>
  <r>
    <x v="94"/>
    <n v="73"/>
    <x v="1"/>
    <x v="1"/>
    <d v="2025-05-23T00:00:00"/>
    <d v="2025-05-26T00:00:00"/>
    <n v="3"/>
    <x v="1"/>
    <n v="0"/>
    <x v="3"/>
    <x v="2"/>
    <n v="6421.05"/>
    <x v="6"/>
    <n v="2025"/>
    <x v="2"/>
    <m/>
    <m/>
    <m/>
    <m/>
    <m/>
  </r>
  <r>
    <x v="95"/>
    <n v="38"/>
    <x v="1"/>
    <x v="5"/>
    <d v="2025-06-14T00:00:00"/>
    <d v="2025-06-25T00:00:00"/>
    <n v="11"/>
    <x v="0"/>
    <n v="23"/>
    <x v="3"/>
    <x v="2"/>
    <n v="10107.459999999999"/>
    <x v="9"/>
    <n v="2025"/>
    <x v="0"/>
    <m/>
    <m/>
    <m/>
    <m/>
    <m/>
  </r>
  <r>
    <x v="96"/>
    <n v="22"/>
    <x v="1"/>
    <x v="1"/>
    <d v="2025-07-25T00:00:00"/>
    <d v="2025-08-08T00:00:00"/>
    <n v="14"/>
    <x v="1"/>
    <n v="0"/>
    <x v="2"/>
    <x v="2"/>
    <n v="5187.47"/>
    <x v="5"/>
    <n v="2025"/>
    <x v="1"/>
    <m/>
    <m/>
    <m/>
    <m/>
    <m/>
  </r>
  <r>
    <x v="97"/>
    <n v="18"/>
    <x v="1"/>
    <x v="5"/>
    <d v="2025-07-26T00:00:00"/>
    <d v="2025-08-09T00:00:00"/>
    <n v="14"/>
    <x v="1"/>
    <n v="0"/>
    <x v="0"/>
    <x v="1"/>
    <n v="8017.37"/>
    <x v="5"/>
    <n v="2025"/>
    <x v="1"/>
    <m/>
    <m/>
    <m/>
    <m/>
    <m/>
  </r>
  <r>
    <x v="98"/>
    <n v="74"/>
    <x v="0"/>
    <x v="0"/>
    <d v="2025-11-15T00:00:00"/>
    <d v="2025-11-28T00:00:00"/>
    <n v="13"/>
    <x v="1"/>
    <n v="0"/>
    <x v="2"/>
    <x v="0"/>
    <n v="2399.69"/>
    <x v="0"/>
    <n v="2025"/>
    <x v="2"/>
    <m/>
    <m/>
    <m/>
    <m/>
    <m/>
  </r>
  <r>
    <x v="99"/>
    <n v="80"/>
    <x v="0"/>
    <x v="1"/>
    <d v="2025-05-28T00:00:00"/>
    <d v="2025-06-05T00:00:00"/>
    <n v="8"/>
    <x v="1"/>
    <n v="0"/>
    <x v="1"/>
    <x v="0"/>
    <n v="2796.48"/>
    <x v="6"/>
    <n v="2025"/>
    <x v="2"/>
    <m/>
    <m/>
    <m/>
    <m/>
    <m/>
  </r>
  <r>
    <x v="100"/>
    <n v="29"/>
    <x v="0"/>
    <x v="1"/>
    <d v="2025-10-10T00:00:00"/>
    <d v="2025-10-11T00:00:00"/>
    <n v="1"/>
    <x v="1"/>
    <n v="0"/>
    <x v="3"/>
    <x v="1"/>
    <n v="9891.7900000000009"/>
    <x v="1"/>
    <n v="2025"/>
    <x v="1"/>
    <m/>
    <m/>
    <m/>
    <m/>
    <m/>
  </r>
  <r>
    <x v="101"/>
    <n v="55"/>
    <x v="1"/>
    <x v="5"/>
    <d v="2025-03-20T00:00:00"/>
    <d v="2025-03-28T00:00:00"/>
    <n v="8"/>
    <x v="1"/>
    <n v="0"/>
    <x v="3"/>
    <x v="2"/>
    <n v="4034.1"/>
    <x v="3"/>
    <n v="2025"/>
    <x v="0"/>
    <m/>
    <m/>
    <m/>
    <m/>
    <m/>
  </r>
  <r>
    <x v="102"/>
    <n v="83"/>
    <x v="0"/>
    <x v="1"/>
    <d v="2025-10-10T00:00:00"/>
    <d v="2025-10-13T00:00:00"/>
    <n v="3"/>
    <x v="1"/>
    <n v="0"/>
    <x v="2"/>
    <x v="2"/>
    <n v="5428.19"/>
    <x v="1"/>
    <n v="2025"/>
    <x v="2"/>
    <m/>
    <m/>
    <m/>
    <m/>
    <m/>
  </r>
  <r>
    <x v="103"/>
    <n v="54"/>
    <x v="1"/>
    <x v="4"/>
    <d v="2025-09-17T00:00:00"/>
    <d v="2025-09-22T00:00:00"/>
    <n v="5"/>
    <x v="1"/>
    <n v="0"/>
    <x v="3"/>
    <x v="1"/>
    <n v="6974.94"/>
    <x v="7"/>
    <n v="2025"/>
    <x v="0"/>
    <m/>
    <m/>
    <m/>
    <m/>
    <m/>
  </r>
  <r>
    <x v="104"/>
    <n v="87"/>
    <x v="1"/>
    <x v="5"/>
    <d v="2025-09-05T00:00:00"/>
    <d v="2025-09-11T00:00:00"/>
    <n v="6"/>
    <x v="1"/>
    <n v="0"/>
    <x v="2"/>
    <x v="1"/>
    <n v="14721.23"/>
    <x v="7"/>
    <n v="2025"/>
    <x v="2"/>
    <m/>
    <m/>
    <m/>
    <m/>
    <m/>
  </r>
  <r>
    <x v="105"/>
    <n v="70"/>
    <x v="0"/>
    <x v="3"/>
    <d v="2025-05-03T00:00:00"/>
    <d v="2025-05-13T00:00:00"/>
    <n v="10"/>
    <x v="1"/>
    <n v="0"/>
    <x v="3"/>
    <x v="0"/>
    <n v="13744.74"/>
    <x v="6"/>
    <n v="2025"/>
    <x v="2"/>
    <m/>
    <m/>
    <m/>
    <m/>
    <m/>
  </r>
  <r>
    <x v="106"/>
    <n v="37"/>
    <x v="1"/>
    <x v="1"/>
    <d v="2025-07-15T00:00:00"/>
    <d v="2025-07-22T00:00:00"/>
    <n v="7"/>
    <x v="1"/>
    <n v="0"/>
    <x v="1"/>
    <x v="0"/>
    <n v="14497.63"/>
    <x v="5"/>
    <n v="2025"/>
    <x v="0"/>
    <m/>
    <m/>
    <m/>
    <m/>
    <m/>
  </r>
  <r>
    <x v="107"/>
    <n v="74"/>
    <x v="0"/>
    <x v="4"/>
    <d v="2025-06-19T00:00:00"/>
    <d v="2025-07-03T00:00:00"/>
    <n v="14"/>
    <x v="0"/>
    <n v="30"/>
    <x v="3"/>
    <x v="1"/>
    <n v="10975.44"/>
    <x v="9"/>
    <n v="2025"/>
    <x v="2"/>
    <m/>
    <m/>
    <m/>
    <m/>
    <m/>
  </r>
  <r>
    <x v="108"/>
    <n v="37"/>
    <x v="0"/>
    <x v="5"/>
    <d v="2025-07-29T00:00:00"/>
    <d v="2025-08-12T00:00:00"/>
    <n v="14"/>
    <x v="1"/>
    <n v="0"/>
    <x v="2"/>
    <x v="2"/>
    <n v="9537.26"/>
    <x v="5"/>
    <n v="2025"/>
    <x v="0"/>
    <m/>
    <m/>
    <m/>
    <m/>
    <m/>
  </r>
  <r>
    <x v="109"/>
    <n v="60"/>
    <x v="1"/>
    <x v="3"/>
    <d v="2025-07-23T00:00:00"/>
    <d v="2025-08-03T00:00:00"/>
    <n v="11"/>
    <x v="0"/>
    <n v="21"/>
    <x v="3"/>
    <x v="0"/>
    <n v="1020.54"/>
    <x v="5"/>
    <n v="2025"/>
    <x v="2"/>
    <m/>
    <m/>
    <m/>
    <m/>
    <m/>
  </r>
  <r>
    <x v="110"/>
    <n v="54"/>
    <x v="0"/>
    <x v="2"/>
    <d v="2025-02-05T00:00:00"/>
    <d v="2025-02-09T00:00:00"/>
    <n v="4"/>
    <x v="1"/>
    <n v="0"/>
    <x v="0"/>
    <x v="2"/>
    <n v="14685.9"/>
    <x v="4"/>
    <n v="2025"/>
    <x v="0"/>
    <m/>
    <m/>
    <m/>
    <m/>
    <m/>
  </r>
  <r>
    <x v="111"/>
    <n v="74"/>
    <x v="0"/>
    <x v="2"/>
    <d v="2025-11-21T00:00:00"/>
    <d v="2025-12-03T00:00:00"/>
    <n v="12"/>
    <x v="1"/>
    <n v="0"/>
    <x v="2"/>
    <x v="1"/>
    <n v="1166.8699999999999"/>
    <x v="0"/>
    <n v="2025"/>
    <x v="2"/>
    <m/>
    <m/>
    <m/>
    <m/>
    <m/>
  </r>
  <r>
    <x v="112"/>
    <n v="73"/>
    <x v="0"/>
    <x v="0"/>
    <d v="2025-01-29T00:00:00"/>
    <d v="2025-02-03T00:00:00"/>
    <n v="5"/>
    <x v="1"/>
    <n v="0"/>
    <x v="3"/>
    <x v="0"/>
    <n v="10386.11"/>
    <x v="2"/>
    <n v="2025"/>
    <x v="2"/>
    <m/>
    <m/>
    <m/>
    <m/>
    <m/>
  </r>
  <r>
    <x v="113"/>
    <n v="66"/>
    <x v="0"/>
    <x v="5"/>
    <d v="2025-04-03T00:00:00"/>
    <d v="2025-04-06T00:00:00"/>
    <n v="3"/>
    <x v="0"/>
    <n v="30"/>
    <x v="1"/>
    <x v="1"/>
    <n v="7186.67"/>
    <x v="8"/>
    <n v="2025"/>
    <x v="2"/>
    <m/>
    <m/>
    <m/>
    <m/>
    <m/>
  </r>
  <r>
    <x v="114"/>
    <n v="19"/>
    <x v="1"/>
    <x v="3"/>
    <d v="2025-05-11T00:00:00"/>
    <d v="2025-05-19T00:00:00"/>
    <n v="8"/>
    <x v="0"/>
    <n v="22"/>
    <x v="1"/>
    <x v="1"/>
    <n v="6905.08"/>
    <x v="6"/>
    <n v="2025"/>
    <x v="1"/>
    <m/>
    <m/>
    <m/>
    <m/>
    <m/>
  </r>
  <r>
    <x v="115"/>
    <n v="72"/>
    <x v="1"/>
    <x v="5"/>
    <d v="2025-06-26T00:00:00"/>
    <d v="2025-07-06T00:00:00"/>
    <n v="10"/>
    <x v="0"/>
    <n v="28"/>
    <x v="2"/>
    <x v="1"/>
    <n v="14990.92"/>
    <x v="9"/>
    <n v="2025"/>
    <x v="2"/>
    <m/>
    <m/>
    <m/>
    <m/>
    <m/>
  </r>
  <r>
    <x v="116"/>
    <n v="63"/>
    <x v="1"/>
    <x v="2"/>
    <d v="2025-09-05T00:00:00"/>
    <d v="2025-09-07T00:00:00"/>
    <n v="2"/>
    <x v="0"/>
    <n v="10"/>
    <x v="0"/>
    <x v="0"/>
    <n v="6239.18"/>
    <x v="7"/>
    <n v="2025"/>
    <x v="2"/>
    <m/>
    <m/>
    <m/>
    <m/>
    <m/>
  </r>
  <r>
    <x v="117"/>
    <n v="24"/>
    <x v="1"/>
    <x v="3"/>
    <d v="2025-01-05T00:00:00"/>
    <d v="2025-01-15T00:00:00"/>
    <n v="10"/>
    <x v="1"/>
    <n v="0"/>
    <x v="1"/>
    <x v="0"/>
    <n v="12128.01"/>
    <x v="2"/>
    <n v="2025"/>
    <x v="1"/>
    <m/>
    <m/>
    <m/>
    <m/>
    <m/>
  </r>
  <r>
    <x v="118"/>
    <n v="50"/>
    <x v="0"/>
    <x v="2"/>
    <d v="2025-04-23T00:00:00"/>
    <d v="2025-05-04T00:00:00"/>
    <n v="11"/>
    <x v="0"/>
    <n v="4"/>
    <x v="0"/>
    <x v="2"/>
    <n v="11934.85"/>
    <x v="8"/>
    <n v="2025"/>
    <x v="0"/>
    <m/>
    <m/>
    <m/>
    <m/>
    <m/>
  </r>
  <r>
    <x v="119"/>
    <n v="34"/>
    <x v="0"/>
    <x v="3"/>
    <d v="2025-01-18T00:00:00"/>
    <d v="2025-01-28T00:00:00"/>
    <n v="10"/>
    <x v="1"/>
    <n v="0"/>
    <x v="2"/>
    <x v="0"/>
    <n v="6524.79"/>
    <x v="2"/>
    <n v="2025"/>
    <x v="0"/>
    <m/>
    <m/>
    <m/>
    <m/>
    <m/>
  </r>
  <r>
    <x v="120"/>
    <n v="64"/>
    <x v="1"/>
    <x v="0"/>
    <d v="2025-04-13T00:00:00"/>
    <d v="2025-04-16T00:00:00"/>
    <n v="3"/>
    <x v="1"/>
    <n v="0"/>
    <x v="2"/>
    <x v="2"/>
    <n v="14527.07"/>
    <x v="8"/>
    <n v="2025"/>
    <x v="2"/>
    <m/>
    <m/>
    <m/>
    <m/>
    <m/>
  </r>
  <r>
    <x v="121"/>
    <n v="32"/>
    <x v="1"/>
    <x v="1"/>
    <d v="2025-06-01T00:00:00"/>
    <d v="2025-06-13T00:00:00"/>
    <n v="12"/>
    <x v="1"/>
    <n v="0"/>
    <x v="1"/>
    <x v="1"/>
    <n v="12972.04"/>
    <x v="9"/>
    <n v="2025"/>
    <x v="0"/>
    <m/>
    <m/>
    <m/>
    <m/>
    <m/>
  </r>
  <r>
    <x v="122"/>
    <n v="89"/>
    <x v="1"/>
    <x v="1"/>
    <d v="2025-12-12T00:00:00"/>
    <d v="2025-12-19T00:00:00"/>
    <n v="7"/>
    <x v="1"/>
    <n v="0"/>
    <x v="3"/>
    <x v="1"/>
    <n v="4334.6499999999996"/>
    <x v="10"/>
    <n v="2025"/>
    <x v="2"/>
    <m/>
    <m/>
    <m/>
    <m/>
    <m/>
  </r>
  <r>
    <x v="123"/>
    <n v="51"/>
    <x v="1"/>
    <x v="2"/>
    <d v="2025-03-05T00:00:00"/>
    <d v="2025-03-13T00:00:00"/>
    <n v="8"/>
    <x v="1"/>
    <n v="0"/>
    <x v="2"/>
    <x v="1"/>
    <n v="10285.129999999999"/>
    <x v="3"/>
    <n v="2025"/>
    <x v="0"/>
    <m/>
    <m/>
    <m/>
    <m/>
    <m/>
  </r>
  <r>
    <x v="124"/>
    <n v="89"/>
    <x v="1"/>
    <x v="4"/>
    <d v="2025-08-30T00:00:00"/>
    <d v="2025-08-31T00:00:00"/>
    <n v="1"/>
    <x v="1"/>
    <n v="0"/>
    <x v="1"/>
    <x v="0"/>
    <n v="1416.65"/>
    <x v="11"/>
    <n v="2025"/>
    <x v="2"/>
    <m/>
    <m/>
    <m/>
    <m/>
    <m/>
  </r>
  <r>
    <x v="125"/>
    <n v="70"/>
    <x v="0"/>
    <x v="0"/>
    <d v="2025-08-26T00:00:00"/>
    <d v="2025-09-07T00:00:00"/>
    <n v="12"/>
    <x v="1"/>
    <n v="0"/>
    <x v="0"/>
    <x v="1"/>
    <n v="4913.29"/>
    <x v="11"/>
    <n v="2025"/>
    <x v="2"/>
    <m/>
    <m/>
    <m/>
    <m/>
    <m/>
  </r>
  <r>
    <x v="126"/>
    <n v="86"/>
    <x v="0"/>
    <x v="5"/>
    <d v="2025-09-10T00:00:00"/>
    <d v="2025-09-12T00:00:00"/>
    <n v="2"/>
    <x v="0"/>
    <n v="15"/>
    <x v="2"/>
    <x v="0"/>
    <n v="14266.02"/>
    <x v="7"/>
    <n v="2025"/>
    <x v="2"/>
    <m/>
    <m/>
    <m/>
    <m/>
    <m/>
  </r>
  <r>
    <x v="127"/>
    <n v="37"/>
    <x v="1"/>
    <x v="2"/>
    <d v="2025-12-23T00:00:00"/>
    <d v="2026-01-01T00:00:00"/>
    <n v="9"/>
    <x v="1"/>
    <n v="0"/>
    <x v="0"/>
    <x v="2"/>
    <n v="9426.9599999999991"/>
    <x v="10"/>
    <n v="2025"/>
    <x v="0"/>
    <m/>
    <m/>
    <m/>
    <m/>
    <m/>
  </r>
  <r>
    <x v="128"/>
    <n v="45"/>
    <x v="1"/>
    <x v="5"/>
    <d v="2025-05-24T00:00:00"/>
    <d v="2025-05-25T00:00:00"/>
    <n v="1"/>
    <x v="1"/>
    <n v="0"/>
    <x v="1"/>
    <x v="2"/>
    <n v="1940.64"/>
    <x v="6"/>
    <n v="2025"/>
    <x v="0"/>
    <m/>
    <m/>
    <m/>
    <m/>
    <m/>
  </r>
  <r>
    <x v="129"/>
    <n v="63"/>
    <x v="0"/>
    <x v="5"/>
    <d v="2025-12-18T00:00:00"/>
    <d v="2025-12-24T00:00:00"/>
    <n v="6"/>
    <x v="1"/>
    <n v="0"/>
    <x v="2"/>
    <x v="1"/>
    <n v="14539"/>
    <x v="10"/>
    <n v="2025"/>
    <x v="2"/>
    <m/>
    <m/>
    <m/>
    <m/>
    <m/>
  </r>
  <r>
    <x v="130"/>
    <n v="20"/>
    <x v="0"/>
    <x v="3"/>
    <d v="2025-08-21T00:00:00"/>
    <d v="2025-08-23T00:00:00"/>
    <n v="2"/>
    <x v="1"/>
    <n v="0"/>
    <x v="1"/>
    <x v="1"/>
    <n v="11911.18"/>
    <x v="11"/>
    <n v="2025"/>
    <x v="1"/>
    <m/>
    <m/>
    <m/>
    <m/>
    <m/>
  </r>
  <r>
    <x v="131"/>
    <n v="88"/>
    <x v="0"/>
    <x v="4"/>
    <d v="2025-04-16T00:00:00"/>
    <d v="2025-04-18T00:00:00"/>
    <n v="2"/>
    <x v="1"/>
    <n v="0"/>
    <x v="1"/>
    <x v="1"/>
    <n v="5264.11"/>
    <x v="8"/>
    <n v="2025"/>
    <x v="2"/>
    <m/>
    <m/>
    <m/>
    <m/>
    <m/>
  </r>
  <r>
    <x v="132"/>
    <n v="18"/>
    <x v="1"/>
    <x v="0"/>
    <d v="2025-03-17T00:00:00"/>
    <d v="2025-03-30T00:00:00"/>
    <n v="13"/>
    <x v="1"/>
    <n v="0"/>
    <x v="1"/>
    <x v="0"/>
    <n v="4134.49"/>
    <x v="3"/>
    <n v="2025"/>
    <x v="1"/>
    <m/>
    <m/>
    <m/>
    <m/>
    <m/>
  </r>
  <r>
    <x v="133"/>
    <n v="21"/>
    <x v="0"/>
    <x v="1"/>
    <d v="2025-03-31T00:00:00"/>
    <d v="2025-04-02T00:00:00"/>
    <n v="2"/>
    <x v="1"/>
    <n v="0"/>
    <x v="2"/>
    <x v="1"/>
    <n v="9038.3700000000008"/>
    <x v="3"/>
    <n v="2025"/>
    <x v="1"/>
    <m/>
    <m/>
    <m/>
    <m/>
    <m/>
  </r>
  <r>
    <x v="134"/>
    <n v="34"/>
    <x v="1"/>
    <x v="4"/>
    <d v="2025-01-09T00:00:00"/>
    <d v="2025-01-12T00:00:00"/>
    <n v="3"/>
    <x v="0"/>
    <n v="4"/>
    <x v="0"/>
    <x v="2"/>
    <n v="6999.99"/>
    <x v="2"/>
    <n v="2025"/>
    <x v="0"/>
    <m/>
    <m/>
    <m/>
    <m/>
    <m/>
  </r>
  <r>
    <x v="135"/>
    <n v="75"/>
    <x v="0"/>
    <x v="4"/>
    <d v="2025-07-05T00:00:00"/>
    <d v="2025-07-14T00:00:00"/>
    <n v="9"/>
    <x v="1"/>
    <n v="0"/>
    <x v="0"/>
    <x v="0"/>
    <n v="11856.79"/>
    <x v="5"/>
    <n v="2025"/>
    <x v="2"/>
    <m/>
    <m/>
    <m/>
    <m/>
    <m/>
  </r>
  <r>
    <x v="136"/>
    <n v="21"/>
    <x v="0"/>
    <x v="5"/>
    <d v="2025-12-04T00:00:00"/>
    <d v="2025-12-13T00:00:00"/>
    <n v="9"/>
    <x v="1"/>
    <n v="0"/>
    <x v="3"/>
    <x v="2"/>
    <n v="10448.41"/>
    <x v="10"/>
    <n v="2025"/>
    <x v="1"/>
    <m/>
    <m/>
    <m/>
    <m/>
    <m/>
  </r>
  <r>
    <x v="137"/>
    <n v="27"/>
    <x v="0"/>
    <x v="3"/>
    <d v="2025-09-09T00:00:00"/>
    <d v="2025-09-21T00:00:00"/>
    <n v="12"/>
    <x v="1"/>
    <n v="0"/>
    <x v="1"/>
    <x v="1"/>
    <n v="2329.7800000000002"/>
    <x v="7"/>
    <n v="2025"/>
    <x v="1"/>
    <m/>
    <m/>
    <m/>
    <m/>
    <m/>
  </r>
  <r>
    <x v="138"/>
    <n v="59"/>
    <x v="1"/>
    <x v="4"/>
    <d v="2025-11-16T00:00:00"/>
    <d v="2025-11-27T00:00:00"/>
    <n v="11"/>
    <x v="1"/>
    <n v="0"/>
    <x v="2"/>
    <x v="2"/>
    <n v="7830.49"/>
    <x v="0"/>
    <n v="2025"/>
    <x v="0"/>
    <m/>
    <m/>
    <m/>
    <m/>
    <m/>
  </r>
  <r>
    <x v="139"/>
    <n v="32"/>
    <x v="0"/>
    <x v="5"/>
    <d v="2025-08-09T00:00:00"/>
    <d v="2025-08-11T00:00:00"/>
    <n v="2"/>
    <x v="1"/>
    <n v="0"/>
    <x v="3"/>
    <x v="1"/>
    <n v="6500.3"/>
    <x v="11"/>
    <n v="2025"/>
    <x v="0"/>
    <m/>
    <m/>
    <m/>
    <m/>
    <m/>
  </r>
  <r>
    <x v="140"/>
    <n v="30"/>
    <x v="1"/>
    <x v="5"/>
    <d v="2025-08-21T00:00:00"/>
    <d v="2025-08-28T00:00:00"/>
    <n v="7"/>
    <x v="1"/>
    <n v="0"/>
    <x v="2"/>
    <x v="0"/>
    <n v="4195.8999999999996"/>
    <x v="11"/>
    <n v="2025"/>
    <x v="0"/>
    <m/>
    <m/>
    <m/>
    <m/>
    <m/>
  </r>
  <r>
    <x v="141"/>
    <n v="26"/>
    <x v="0"/>
    <x v="1"/>
    <d v="2025-03-20T00:00:00"/>
    <d v="2025-03-31T00:00:00"/>
    <n v="11"/>
    <x v="1"/>
    <n v="0"/>
    <x v="0"/>
    <x v="2"/>
    <n v="1900.18"/>
    <x v="3"/>
    <n v="2025"/>
    <x v="1"/>
    <m/>
    <m/>
    <m/>
    <m/>
    <m/>
  </r>
  <r>
    <x v="142"/>
    <n v="25"/>
    <x v="1"/>
    <x v="2"/>
    <d v="2025-07-10T00:00:00"/>
    <d v="2025-07-23T00:00:00"/>
    <n v="13"/>
    <x v="0"/>
    <n v="4"/>
    <x v="3"/>
    <x v="2"/>
    <n v="13167.31"/>
    <x v="5"/>
    <n v="2025"/>
    <x v="1"/>
    <m/>
    <m/>
    <m/>
    <m/>
    <m/>
  </r>
  <r>
    <x v="143"/>
    <n v="24"/>
    <x v="1"/>
    <x v="4"/>
    <d v="2025-08-05T00:00:00"/>
    <d v="2025-08-19T00:00:00"/>
    <n v="14"/>
    <x v="1"/>
    <n v="0"/>
    <x v="2"/>
    <x v="2"/>
    <n v="2002.21"/>
    <x v="11"/>
    <n v="2025"/>
    <x v="1"/>
    <m/>
    <m/>
    <m/>
    <m/>
    <m/>
  </r>
  <r>
    <x v="144"/>
    <n v="79"/>
    <x v="0"/>
    <x v="1"/>
    <d v="2025-09-17T00:00:00"/>
    <d v="2025-09-21T00:00:00"/>
    <n v="4"/>
    <x v="0"/>
    <n v="12"/>
    <x v="2"/>
    <x v="1"/>
    <n v="11557.78"/>
    <x v="7"/>
    <n v="2025"/>
    <x v="2"/>
    <m/>
    <m/>
    <m/>
    <m/>
    <m/>
  </r>
  <r>
    <x v="145"/>
    <n v="89"/>
    <x v="0"/>
    <x v="4"/>
    <d v="2025-10-21T00:00:00"/>
    <d v="2025-10-25T00:00:00"/>
    <n v="4"/>
    <x v="1"/>
    <n v="0"/>
    <x v="2"/>
    <x v="1"/>
    <n v="3116.03"/>
    <x v="1"/>
    <n v="2025"/>
    <x v="2"/>
    <m/>
    <m/>
    <m/>
    <m/>
    <m/>
  </r>
  <r>
    <x v="146"/>
    <n v="61"/>
    <x v="1"/>
    <x v="1"/>
    <d v="2025-12-26T00:00:00"/>
    <d v="2026-01-08T00:00:00"/>
    <n v="13"/>
    <x v="1"/>
    <n v="0"/>
    <x v="1"/>
    <x v="1"/>
    <n v="8711.66"/>
    <x v="10"/>
    <n v="2025"/>
    <x v="2"/>
    <m/>
    <m/>
    <m/>
    <m/>
    <m/>
  </r>
  <r>
    <x v="147"/>
    <n v="21"/>
    <x v="0"/>
    <x v="2"/>
    <d v="2025-07-25T00:00:00"/>
    <d v="2025-07-27T00:00:00"/>
    <n v="2"/>
    <x v="0"/>
    <n v="17"/>
    <x v="1"/>
    <x v="2"/>
    <n v="6587.57"/>
    <x v="5"/>
    <n v="2025"/>
    <x v="1"/>
    <m/>
    <m/>
    <m/>
    <m/>
    <m/>
  </r>
  <r>
    <x v="148"/>
    <n v="59"/>
    <x v="0"/>
    <x v="1"/>
    <d v="2025-06-24T00:00:00"/>
    <d v="2025-06-27T00:00:00"/>
    <n v="3"/>
    <x v="1"/>
    <n v="0"/>
    <x v="1"/>
    <x v="1"/>
    <n v="11439.32"/>
    <x v="9"/>
    <n v="2025"/>
    <x v="0"/>
    <m/>
    <m/>
    <m/>
    <m/>
    <m/>
  </r>
  <r>
    <x v="149"/>
    <n v="74"/>
    <x v="1"/>
    <x v="5"/>
    <d v="2025-01-26T00:00:00"/>
    <d v="2025-02-06T00:00:00"/>
    <n v="11"/>
    <x v="0"/>
    <n v="20"/>
    <x v="3"/>
    <x v="2"/>
    <n v="4460.92"/>
    <x v="2"/>
    <n v="2025"/>
    <x v="2"/>
    <m/>
    <m/>
    <m/>
    <m/>
    <m/>
  </r>
  <r>
    <x v="150"/>
    <n v="32"/>
    <x v="1"/>
    <x v="2"/>
    <d v="2025-09-20T00:00:00"/>
    <d v="2025-09-22T00:00:00"/>
    <n v="2"/>
    <x v="1"/>
    <n v="0"/>
    <x v="3"/>
    <x v="0"/>
    <n v="10173.42"/>
    <x v="7"/>
    <n v="2025"/>
    <x v="0"/>
    <m/>
    <m/>
    <m/>
    <m/>
    <m/>
  </r>
  <r>
    <x v="151"/>
    <n v="25"/>
    <x v="0"/>
    <x v="0"/>
    <d v="2025-01-24T00:00:00"/>
    <d v="2025-01-28T00:00:00"/>
    <n v="4"/>
    <x v="1"/>
    <n v="0"/>
    <x v="2"/>
    <x v="1"/>
    <n v="11626.57"/>
    <x v="2"/>
    <n v="2025"/>
    <x v="1"/>
    <m/>
    <m/>
    <m/>
    <m/>
    <m/>
  </r>
  <r>
    <x v="152"/>
    <n v="18"/>
    <x v="1"/>
    <x v="2"/>
    <d v="2025-05-11T00:00:00"/>
    <d v="2025-05-16T00:00:00"/>
    <n v="5"/>
    <x v="1"/>
    <n v="0"/>
    <x v="3"/>
    <x v="1"/>
    <n v="2373.19"/>
    <x v="6"/>
    <n v="2025"/>
    <x v="1"/>
    <m/>
    <m/>
    <m/>
    <m/>
    <m/>
  </r>
  <r>
    <x v="153"/>
    <n v="89"/>
    <x v="1"/>
    <x v="1"/>
    <d v="2025-09-30T00:00:00"/>
    <d v="2025-10-12T00:00:00"/>
    <n v="12"/>
    <x v="0"/>
    <n v="13"/>
    <x v="0"/>
    <x v="2"/>
    <n v="771.75"/>
    <x v="7"/>
    <n v="2025"/>
    <x v="2"/>
    <m/>
    <m/>
    <m/>
    <m/>
    <m/>
  </r>
  <r>
    <x v="154"/>
    <n v="72"/>
    <x v="1"/>
    <x v="2"/>
    <d v="2025-02-09T00:00:00"/>
    <d v="2025-02-23T00:00:00"/>
    <n v="14"/>
    <x v="1"/>
    <n v="0"/>
    <x v="3"/>
    <x v="2"/>
    <n v="2170.0100000000002"/>
    <x v="4"/>
    <n v="2025"/>
    <x v="2"/>
    <m/>
    <m/>
    <m/>
    <m/>
    <m/>
  </r>
  <r>
    <x v="155"/>
    <n v="76"/>
    <x v="1"/>
    <x v="1"/>
    <d v="2025-01-11T00:00:00"/>
    <d v="2025-01-17T00:00:00"/>
    <n v="6"/>
    <x v="0"/>
    <n v="14"/>
    <x v="0"/>
    <x v="1"/>
    <n v="6817.31"/>
    <x v="2"/>
    <n v="2025"/>
    <x v="2"/>
    <m/>
    <m/>
    <m/>
    <m/>
    <m/>
  </r>
  <r>
    <x v="156"/>
    <n v="57"/>
    <x v="1"/>
    <x v="0"/>
    <d v="2025-07-25T00:00:00"/>
    <d v="2025-08-03T00:00:00"/>
    <n v="9"/>
    <x v="0"/>
    <n v="11"/>
    <x v="1"/>
    <x v="1"/>
    <n v="7902.01"/>
    <x v="5"/>
    <n v="2025"/>
    <x v="0"/>
    <m/>
    <m/>
    <m/>
    <m/>
    <m/>
  </r>
  <r>
    <x v="157"/>
    <n v="62"/>
    <x v="1"/>
    <x v="2"/>
    <d v="2025-02-28T00:00:00"/>
    <d v="2025-03-09T00:00:00"/>
    <n v="9"/>
    <x v="1"/>
    <n v="0"/>
    <x v="1"/>
    <x v="1"/>
    <n v="1990.67"/>
    <x v="4"/>
    <n v="2025"/>
    <x v="2"/>
    <m/>
    <m/>
    <m/>
    <m/>
    <m/>
  </r>
  <r>
    <x v="158"/>
    <n v="37"/>
    <x v="0"/>
    <x v="0"/>
    <d v="2025-05-12T00:00:00"/>
    <d v="2025-05-16T00:00:00"/>
    <n v="4"/>
    <x v="0"/>
    <n v="25"/>
    <x v="3"/>
    <x v="2"/>
    <n v="11439.46"/>
    <x v="6"/>
    <n v="2025"/>
    <x v="0"/>
    <m/>
    <m/>
    <m/>
    <m/>
    <m/>
  </r>
  <r>
    <x v="159"/>
    <n v="90"/>
    <x v="1"/>
    <x v="2"/>
    <d v="2025-10-24T00:00:00"/>
    <d v="2025-11-01T00:00:00"/>
    <n v="8"/>
    <x v="1"/>
    <n v="0"/>
    <x v="2"/>
    <x v="1"/>
    <n v="6876.56"/>
    <x v="1"/>
    <n v="2025"/>
    <x v="2"/>
    <m/>
    <m/>
    <m/>
    <m/>
    <m/>
  </r>
  <r>
    <x v="160"/>
    <n v="53"/>
    <x v="0"/>
    <x v="3"/>
    <d v="2025-08-29T00:00:00"/>
    <d v="2025-09-06T00:00:00"/>
    <n v="8"/>
    <x v="1"/>
    <n v="0"/>
    <x v="0"/>
    <x v="2"/>
    <n v="7195.27"/>
    <x v="11"/>
    <n v="2025"/>
    <x v="0"/>
    <m/>
    <m/>
    <m/>
    <m/>
    <m/>
  </r>
  <r>
    <x v="161"/>
    <n v="54"/>
    <x v="0"/>
    <x v="2"/>
    <d v="2025-01-20T00:00:00"/>
    <d v="2025-01-21T00:00:00"/>
    <n v="1"/>
    <x v="1"/>
    <n v="0"/>
    <x v="0"/>
    <x v="0"/>
    <n v="9114.16"/>
    <x v="2"/>
    <n v="2025"/>
    <x v="0"/>
    <m/>
    <m/>
    <m/>
    <m/>
    <m/>
  </r>
  <r>
    <x v="162"/>
    <n v="23"/>
    <x v="1"/>
    <x v="4"/>
    <d v="2025-07-16T00:00:00"/>
    <d v="2025-07-24T00:00:00"/>
    <n v="8"/>
    <x v="1"/>
    <n v="0"/>
    <x v="1"/>
    <x v="2"/>
    <n v="9272.58"/>
    <x v="5"/>
    <n v="2025"/>
    <x v="1"/>
    <m/>
    <m/>
    <m/>
    <m/>
    <m/>
  </r>
  <r>
    <x v="163"/>
    <n v="75"/>
    <x v="0"/>
    <x v="3"/>
    <d v="2025-09-14T00:00:00"/>
    <d v="2025-09-17T00:00:00"/>
    <n v="3"/>
    <x v="1"/>
    <n v="0"/>
    <x v="0"/>
    <x v="0"/>
    <n v="9868.84"/>
    <x v="7"/>
    <n v="2025"/>
    <x v="2"/>
    <m/>
    <m/>
    <m/>
    <m/>
    <m/>
  </r>
  <r>
    <x v="164"/>
    <n v="74"/>
    <x v="0"/>
    <x v="3"/>
    <d v="2025-01-21T00:00:00"/>
    <d v="2025-01-25T00:00:00"/>
    <n v="4"/>
    <x v="1"/>
    <n v="0"/>
    <x v="2"/>
    <x v="2"/>
    <n v="6117.54"/>
    <x v="2"/>
    <n v="2025"/>
    <x v="2"/>
    <m/>
    <m/>
    <m/>
    <m/>
    <m/>
  </r>
  <r>
    <x v="165"/>
    <n v="60"/>
    <x v="0"/>
    <x v="3"/>
    <d v="2025-06-23T00:00:00"/>
    <d v="2025-07-04T00:00:00"/>
    <n v="11"/>
    <x v="1"/>
    <n v="0"/>
    <x v="0"/>
    <x v="0"/>
    <n v="10336.5"/>
    <x v="9"/>
    <n v="2025"/>
    <x v="2"/>
    <m/>
    <m/>
    <m/>
    <m/>
    <m/>
  </r>
  <r>
    <x v="166"/>
    <n v="37"/>
    <x v="1"/>
    <x v="1"/>
    <d v="2025-05-26T00:00:00"/>
    <d v="2025-05-31T00:00:00"/>
    <n v="5"/>
    <x v="1"/>
    <n v="0"/>
    <x v="1"/>
    <x v="2"/>
    <n v="4998.3599999999997"/>
    <x v="6"/>
    <n v="2025"/>
    <x v="0"/>
    <m/>
    <m/>
    <m/>
    <m/>
    <m/>
  </r>
  <r>
    <x v="167"/>
    <n v="34"/>
    <x v="0"/>
    <x v="3"/>
    <d v="2025-12-02T00:00:00"/>
    <d v="2025-12-14T00:00:00"/>
    <n v="12"/>
    <x v="1"/>
    <n v="0"/>
    <x v="3"/>
    <x v="0"/>
    <n v="11979.1"/>
    <x v="10"/>
    <n v="2025"/>
    <x v="0"/>
    <m/>
    <m/>
    <m/>
    <m/>
    <m/>
  </r>
  <r>
    <x v="168"/>
    <n v="85"/>
    <x v="0"/>
    <x v="2"/>
    <d v="2025-03-07T00:00:00"/>
    <d v="2025-03-18T00:00:00"/>
    <n v="11"/>
    <x v="1"/>
    <n v="0"/>
    <x v="3"/>
    <x v="0"/>
    <n v="5746.51"/>
    <x v="3"/>
    <n v="2025"/>
    <x v="2"/>
    <m/>
    <m/>
    <m/>
    <m/>
    <m/>
  </r>
  <r>
    <x v="169"/>
    <n v="45"/>
    <x v="1"/>
    <x v="5"/>
    <d v="2025-07-05T00:00:00"/>
    <d v="2025-07-10T00:00:00"/>
    <n v="5"/>
    <x v="0"/>
    <n v="7"/>
    <x v="1"/>
    <x v="1"/>
    <n v="2746.71"/>
    <x v="5"/>
    <n v="2025"/>
    <x v="0"/>
    <m/>
    <m/>
    <m/>
    <m/>
    <m/>
  </r>
  <r>
    <x v="170"/>
    <n v="82"/>
    <x v="0"/>
    <x v="2"/>
    <d v="2025-06-01T00:00:00"/>
    <d v="2025-06-15T00:00:00"/>
    <n v="14"/>
    <x v="1"/>
    <n v="0"/>
    <x v="2"/>
    <x v="0"/>
    <n v="2400.21"/>
    <x v="9"/>
    <n v="2025"/>
    <x v="2"/>
    <m/>
    <m/>
    <m/>
    <m/>
    <m/>
  </r>
  <r>
    <x v="171"/>
    <n v="39"/>
    <x v="1"/>
    <x v="1"/>
    <d v="2025-07-12T00:00:00"/>
    <d v="2025-07-15T00:00:00"/>
    <n v="3"/>
    <x v="0"/>
    <n v="14"/>
    <x v="2"/>
    <x v="0"/>
    <n v="10933.99"/>
    <x v="5"/>
    <n v="2025"/>
    <x v="0"/>
    <m/>
    <m/>
    <m/>
    <m/>
    <m/>
  </r>
  <r>
    <x v="172"/>
    <n v="75"/>
    <x v="0"/>
    <x v="4"/>
    <d v="2025-08-16T00:00:00"/>
    <d v="2025-08-26T00:00:00"/>
    <n v="10"/>
    <x v="0"/>
    <n v="8"/>
    <x v="2"/>
    <x v="2"/>
    <n v="13607.63"/>
    <x v="11"/>
    <n v="2025"/>
    <x v="2"/>
    <m/>
    <m/>
    <m/>
    <m/>
    <m/>
  </r>
  <r>
    <x v="173"/>
    <n v="74"/>
    <x v="1"/>
    <x v="3"/>
    <d v="2025-04-10T00:00:00"/>
    <d v="2025-04-16T00:00:00"/>
    <n v="6"/>
    <x v="1"/>
    <n v="0"/>
    <x v="3"/>
    <x v="0"/>
    <n v="8148.17"/>
    <x v="8"/>
    <n v="2025"/>
    <x v="2"/>
    <m/>
    <m/>
    <m/>
    <m/>
    <m/>
  </r>
  <r>
    <x v="174"/>
    <n v="35"/>
    <x v="1"/>
    <x v="1"/>
    <d v="2025-03-24T00:00:00"/>
    <d v="2025-04-07T00:00:00"/>
    <n v="14"/>
    <x v="0"/>
    <n v="21"/>
    <x v="3"/>
    <x v="2"/>
    <n v="8540.84"/>
    <x v="3"/>
    <n v="2025"/>
    <x v="0"/>
    <m/>
    <m/>
    <m/>
    <m/>
    <m/>
  </r>
  <r>
    <x v="175"/>
    <n v="33"/>
    <x v="1"/>
    <x v="1"/>
    <d v="2025-02-22T00:00:00"/>
    <d v="2025-03-06T00:00:00"/>
    <n v="12"/>
    <x v="1"/>
    <n v="0"/>
    <x v="1"/>
    <x v="2"/>
    <n v="7015.13"/>
    <x v="4"/>
    <n v="2025"/>
    <x v="0"/>
    <m/>
    <m/>
    <m/>
    <m/>
    <m/>
  </r>
  <r>
    <x v="176"/>
    <n v="29"/>
    <x v="0"/>
    <x v="5"/>
    <d v="2025-09-20T00:00:00"/>
    <d v="2025-09-23T00:00:00"/>
    <n v="3"/>
    <x v="1"/>
    <n v="0"/>
    <x v="2"/>
    <x v="1"/>
    <n v="6516.01"/>
    <x v="7"/>
    <n v="2025"/>
    <x v="1"/>
    <m/>
    <m/>
    <m/>
    <m/>
    <m/>
  </r>
  <r>
    <x v="177"/>
    <n v="67"/>
    <x v="0"/>
    <x v="3"/>
    <d v="2025-07-22T00:00:00"/>
    <d v="2025-07-31T00:00:00"/>
    <n v="9"/>
    <x v="1"/>
    <n v="0"/>
    <x v="1"/>
    <x v="1"/>
    <n v="5120.93"/>
    <x v="5"/>
    <n v="2025"/>
    <x v="2"/>
    <m/>
    <m/>
    <m/>
    <m/>
    <m/>
  </r>
  <r>
    <x v="178"/>
    <n v="60"/>
    <x v="0"/>
    <x v="0"/>
    <d v="2025-02-20T00:00:00"/>
    <d v="2025-03-06T00:00:00"/>
    <n v="14"/>
    <x v="1"/>
    <n v="0"/>
    <x v="0"/>
    <x v="2"/>
    <n v="13802.24"/>
    <x v="4"/>
    <n v="2025"/>
    <x v="2"/>
    <m/>
    <m/>
    <m/>
    <m/>
    <m/>
  </r>
  <r>
    <x v="179"/>
    <n v="78"/>
    <x v="1"/>
    <x v="4"/>
    <d v="2025-08-30T00:00:00"/>
    <d v="2025-09-11T00:00:00"/>
    <n v="12"/>
    <x v="1"/>
    <n v="0"/>
    <x v="0"/>
    <x v="1"/>
    <n v="775.56"/>
    <x v="11"/>
    <n v="2025"/>
    <x v="2"/>
    <m/>
    <m/>
    <m/>
    <m/>
    <m/>
  </r>
  <r>
    <x v="180"/>
    <n v="85"/>
    <x v="1"/>
    <x v="1"/>
    <d v="2025-04-21T00:00:00"/>
    <d v="2025-05-05T00:00:00"/>
    <n v="14"/>
    <x v="0"/>
    <n v="25"/>
    <x v="2"/>
    <x v="1"/>
    <n v="4866.6899999999996"/>
    <x v="8"/>
    <n v="2025"/>
    <x v="2"/>
    <m/>
    <m/>
    <m/>
    <m/>
    <m/>
  </r>
  <r>
    <x v="181"/>
    <n v="76"/>
    <x v="0"/>
    <x v="1"/>
    <d v="2025-01-25T00:00:00"/>
    <d v="2025-01-29T00:00:00"/>
    <n v="4"/>
    <x v="1"/>
    <n v="0"/>
    <x v="3"/>
    <x v="0"/>
    <n v="8272.7800000000007"/>
    <x v="2"/>
    <n v="2025"/>
    <x v="2"/>
    <m/>
    <m/>
    <m/>
    <m/>
    <m/>
  </r>
  <r>
    <x v="182"/>
    <n v="36"/>
    <x v="1"/>
    <x v="5"/>
    <d v="2025-11-20T00:00:00"/>
    <d v="2025-11-29T00:00:00"/>
    <n v="9"/>
    <x v="1"/>
    <n v="0"/>
    <x v="0"/>
    <x v="0"/>
    <n v="5615.83"/>
    <x v="0"/>
    <n v="2025"/>
    <x v="0"/>
    <m/>
    <m/>
    <m/>
    <m/>
    <m/>
  </r>
  <r>
    <x v="183"/>
    <n v="28"/>
    <x v="1"/>
    <x v="1"/>
    <d v="2025-10-20T00:00:00"/>
    <d v="2025-10-27T00:00:00"/>
    <n v="7"/>
    <x v="0"/>
    <n v="17"/>
    <x v="0"/>
    <x v="2"/>
    <n v="13163.31"/>
    <x v="1"/>
    <n v="2025"/>
    <x v="1"/>
    <m/>
    <m/>
    <m/>
    <m/>
    <m/>
  </r>
  <r>
    <x v="184"/>
    <n v="65"/>
    <x v="1"/>
    <x v="2"/>
    <d v="2025-01-23T00:00:00"/>
    <d v="2025-02-03T00:00:00"/>
    <n v="11"/>
    <x v="1"/>
    <n v="0"/>
    <x v="0"/>
    <x v="2"/>
    <n v="11933.54"/>
    <x v="2"/>
    <n v="2025"/>
    <x v="2"/>
    <m/>
    <m/>
    <m/>
    <m/>
    <m/>
  </r>
  <r>
    <x v="185"/>
    <n v="31"/>
    <x v="1"/>
    <x v="0"/>
    <d v="2025-06-26T00:00:00"/>
    <d v="2025-06-30T00:00:00"/>
    <n v="4"/>
    <x v="1"/>
    <n v="0"/>
    <x v="0"/>
    <x v="2"/>
    <n v="8417.2000000000007"/>
    <x v="9"/>
    <n v="2025"/>
    <x v="0"/>
    <m/>
    <m/>
    <m/>
    <m/>
    <m/>
  </r>
  <r>
    <x v="186"/>
    <n v="77"/>
    <x v="1"/>
    <x v="2"/>
    <d v="2025-11-26T00:00:00"/>
    <d v="2025-11-29T00:00:00"/>
    <n v="3"/>
    <x v="1"/>
    <n v="0"/>
    <x v="1"/>
    <x v="1"/>
    <n v="1414.96"/>
    <x v="0"/>
    <n v="2025"/>
    <x v="2"/>
    <m/>
    <m/>
    <m/>
    <m/>
    <m/>
  </r>
  <r>
    <x v="187"/>
    <n v="23"/>
    <x v="0"/>
    <x v="1"/>
    <d v="2025-08-23T00:00:00"/>
    <d v="2025-08-24T00:00:00"/>
    <n v="1"/>
    <x v="0"/>
    <n v="11"/>
    <x v="2"/>
    <x v="0"/>
    <n v="6274.25"/>
    <x v="11"/>
    <n v="2025"/>
    <x v="1"/>
    <m/>
    <m/>
    <m/>
    <m/>
    <m/>
  </r>
  <r>
    <x v="188"/>
    <n v="42"/>
    <x v="1"/>
    <x v="3"/>
    <d v="2025-10-06T00:00:00"/>
    <d v="2025-10-14T00:00:00"/>
    <n v="8"/>
    <x v="0"/>
    <n v="28"/>
    <x v="0"/>
    <x v="0"/>
    <n v="5312.91"/>
    <x v="1"/>
    <n v="2025"/>
    <x v="0"/>
    <m/>
    <m/>
    <m/>
    <m/>
    <m/>
  </r>
  <r>
    <x v="189"/>
    <n v="69"/>
    <x v="1"/>
    <x v="5"/>
    <d v="2025-03-05T00:00:00"/>
    <d v="2025-03-18T00:00:00"/>
    <n v="13"/>
    <x v="1"/>
    <n v="0"/>
    <x v="2"/>
    <x v="1"/>
    <n v="7694.95"/>
    <x v="3"/>
    <n v="2025"/>
    <x v="2"/>
    <m/>
    <m/>
    <m/>
    <m/>
    <m/>
  </r>
  <r>
    <x v="190"/>
    <n v="84"/>
    <x v="1"/>
    <x v="1"/>
    <d v="2025-09-12T00:00:00"/>
    <d v="2025-09-18T00:00:00"/>
    <n v="6"/>
    <x v="1"/>
    <n v="0"/>
    <x v="3"/>
    <x v="1"/>
    <n v="6743.8"/>
    <x v="7"/>
    <n v="2025"/>
    <x v="2"/>
    <m/>
    <m/>
    <m/>
    <m/>
    <m/>
  </r>
  <r>
    <x v="191"/>
    <n v="31"/>
    <x v="0"/>
    <x v="3"/>
    <d v="2025-04-03T00:00:00"/>
    <d v="2025-04-12T00:00:00"/>
    <n v="9"/>
    <x v="0"/>
    <n v="22"/>
    <x v="2"/>
    <x v="2"/>
    <n v="6965.78"/>
    <x v="8"/>
    <n v="2025"/>
    <x v="0"/>
    <m/>
    <m/>
    <m/>
    <m/>
    <m/>
  </r>
  <r>
    <x v="192"/>
    <n v="62"/>
    <x v="1"/>
    <x v="1"/>
    <d v="2025-08-07T00:00:00"/>
    <d v="2025-08-10T00:00:00"/>
    <n v="3"/>
    <x v="1"/>
    <n v="0"/>
    <x v="2"/>
    <x v="0"/>
    <n v="14973.18"/>
    <x v="11"/>
    <n v="2025"/>
    <x v="2"/>
    <m/>
    <m/>
    <m/>
    <m/>
    <m/>
  </r>
  <r>
    <x v="193"/>
    <n v="25"/>
    <x v="0"/>
    <x v="2"/>
    <d v="2025-05-21T00:00:00"/>
    <d v="2025-06-01T00:00:00"/>
    <n v="11"/>
    <x v="1"/>
    <n v="0"/>
    <x v="3"/>
    <x v="2"/>
    <n v="7939.75"/>
    <x v="6"/>
    <n v="2025"/>
    <x v="1"/>
    <m/>
    <m/>
    <m/>
    <m/>
    <m/>
  </r>
  <r>
    <x v="194"/>
    <n v="36"/>
    <x v="1"/>
    <x v="1"/>
    <d v="2025-12-14T00:00:00"/>
    <d v="2025-12-17T00:00:00"/>
    <n v="3"/>
    <x v="1"/>
    <n v="0"/>
    <x v="1"/>
    <x v="1"/>
    <n v="3921.93"/>
    <x v="10"/>
    <n v="2025"/>
    <x v="0"/>
    <m/>
    <m/>
    <m/>
    <m/>
    <m/>
  </r>
  <r>
    <x v="195"/>
    <n v="90"/>
    <x v="0"/>
    <x v="4"/>
    <d v="2025-11-27T00:00:00"/>
    <d v="2025-12-03T00:00:00"/>
    <n v="6"/>
    <x v="1"/>
    <n v="0"/>
    <x v="1"/>
    <x v="0"/>
    <n v="7023.88"/>
    <x v="0"/>
    <n v="2025"/>
    <x v="2"/>
    <m/>
    <m/>
    <m/>
    <m/>
    <m/>
  </r>
  <r>
    <x v="196"/>
    <n v="27"/>
    <x v="0"/>
    <x v="4"/>
    <d v="2025-07-09T00:00:00"/>
    <d v="2025-07-15T00:00:00"/>
    <n v="6"/>
    <x v="1"/>
    <n v="0"/>
    <x v="2"/>
    <x v="2"/>
    <n v="5058.59"/>
    <x v="5"/>
    <n v="2025"/>
    <x v="1"/>
    <m/>
    <m/>
    <m/>
    <m/>
    <m/>
  </r>
  <r>
    <x v="197"/>
    <n v="21"/>
    <x v="0"/>
    <x v="5"/>
    <d v="2025-05-23T00:00:00"/>
    <d v="2025-05-27T00:00:00"/>
    <n v="4"/>
    <x v="1"/>
    <n v="0"/>
    <x v="3"/>
    <x v="0"/>
    <n v="2207.5300000000002"/>
    <x v="6"/>
    <n v="2025"/>
    <x v="1"/>
    <m/>
    <m/>
    <m/>
    <m/>
    <m/>
  </r>
  <r>
    <x v="198"/>
    <n v="54"/>
    <x v="1"/>
    <x v="0"/>
    <d v="2025-05-14T00:00:00"/>
    <d v="2025-05-26T00:00:00"/>
    <n v="12"/>
    <x v="1"/>
    <n v="0"/>
    <x v="0"/>
    <x v="1"/>
    <n v="12865.98"/>
    <x v="6"/>
    <n v="2025"/>
    <x v="0"/>
    <m/>
    <m/>
    <m/>
    <m/>
    <m/>
  </r>
  <r>
    <x v="199"/>
    <n v="74"/>
    <x v="0"/>
    <x v="2"/>
    <d v="2025-08-20T00:00:00"/>
    <d v="2025-08-23T00:00:00"/>
    <n v="3"/>
    <x v="1"/>
    <n v="0"/>
    <x v="2"/>
    <x v="0"/>
    <n v="5537.67"/>
    <x v="11"/>
    <n v="2025"/>
    <x v="2"/>
    <m/>
    <m/>
    <m/>
    <m/>
    <m/>
  </r>
  <r>
    <x v="200"/>
    <n v="56"/>
    <x v="0"/>
    <x v="2"/>
    <d v="2025-02-03T00:00:00"/>
    <d v="2025-02-12T00:00:00"/>
    <n v="9"/>
    <x v="1"/>
    <n v="0"/>
    <x v="1"/>
    <x v="2"/>
    <n v="7876.96"/>
    <x v="4"/>
    <n v="2025"/>
    <x v="0"/>
    <m/>
    <m/>
    <m/>
    <m/>
    <m/>
  </r>
  <r>
    <x v="201"/>
    <n v="48"/>
    <x v="1"/>
    <x v="1"/>
    <d v="2025-03-04T00:00:00"/>
    <d v="2025-03-08T00:00:00"/>
    <n v="4"/>
    <x v="1"/>
    <n v="0"/>
    <x v="2"/>
    <x v="0"/>
    <n v="8798.02"/>
    <x v="3"/>
    <n v="2025"/>
    <x v="0"/>
    <m/>
    <m/>
    <m/>
    <m/>
    <m/>
  </r>
  <r>
    <x v="202"/>
    <n v="34"/>
    <x v="0"/>
    <x v="1"/>
    <d v="2025-08-28T00:00:00"/>
    <d v="2025-09-10T00:00:00"/>
    <n v="13"/>
    <x v="1"/>
    <n v="0"/>
    <x v="2"/>
    <x v="2"/>
    <n v="14994.13"/>
    <x v="11"/>
    <n v="2025"/>
    <x v="0"/>
    <m/>
    <m/>
    <m/>
    <m/>
    <m/>
  </r>
  <r>
    <x v="203"/>
    <n v="70"/>
    <x v="0"/>
    <x v="0"/>
    <d v="2025-09-03T00:00:00"/>
    <d v="2025-09-12T00:00:00"/>
    <n v="9"/>
    <x v="1"/>
    <n v="0"/>
    <x v="2"/>
    <x v="0"/>
    <n v="1575.39"/>
    <x v="7"/>
    <n v="2025"/>
    <x v="2"/>
    <m/>
    <m/>
    <m/>
    <m/>
    <m/>
  </r>
  <r>
    <x v="204"/>
    <n v="34"/>
    <x v="0"/>
    <x v="0"/>
    <d v="2025-08-27T00:00:00"/>
    <d v="2025-09-07T00:00:00"/>
    <n v="11"/>
    <x v="1"/>
    <n v="0"/>
    <x v="3"/>
    <x v="0"/>
    <n v="13705.33"/>
    <x v="11"/>
    <n v="2025"/>
    <x v="0"/>
    <m/>
    <m/>
    <m/>
    <m/>
    <m/>
  </r>
  <r>
    <x v="205"/>
    <n v="37"/>
    <x v="1"/>
    <x v="0"/>
    <d v="2025-01-29T00:00:00"/>
    <d v="2025-02-12T00:00:00"/>
    <n v="14"/>
    <x v="0"/>
    <n v="6"/>
    <x v="2"/>
    <x v="0"/>
    <n v="3769.32"/>
    <x v="2"/>
    <n v="2025"/>
    <x v="0"/>
    <m/>
    <m/>
    <m/>
    <m/>
    <m/>
  </r>
  <r>
    <x v="206"/>
    <n v="50"/>
    <x v="0"/>
    <x v="2"/>
    <d v="2025-09-23T00:00:00"/>
    <d v="2025-09-28T00:00:00"/>
    <n v="5"/>
    <x v="1"/>
    <n v="0"/>
    <x v="2"/>
    <x v="1"/>
    <n v="9562.82"/>
    <x v="7"/>
    <n v="2025"/>
    <x v="0"/>
    <m/>
    <m/>
    <m/>
    <m/>
    <m/>
  </r>
  <r>
    <x v="207"/>
    <n v="39"/>
    <x v="0"/>
    <x v="0"/>
    <d v="2025-11-11T00:00:00"/>
    <d v="2025-11-20T00:00:00"/>
    <n v="9"/>
    <x v="0"/>
    <n v="22"/>
    <x v="2"/>
    <x v="0"/>
    <n v="1097.32"/>
    <x v="0"/>
    <n v="2025"/>
    <x v="0"/>
    <m/>
    <m/>
    <m/>
    <m/>
    <m/>
  </r>
  <r>
    <x v="208"/>
    <n v="51"/>
    <x v="0"/>
    <x v="4"/>
    <d v="2025-01-15T00:00:00"/>
    <d v="2025-01-17T00:00:00"/>
    <n v="2"/>
    <x v="0"/>
    <n v="14"/>
    <x v="0"/>
    <x v="2"/>
    <n v="13390.45"/>
    <x v="2"/>
    <n v="2025"/>
    <x v="0"/>
    <m/>
    <m/>
    <m/>
    <m/>
    <m/>
  </r>
  <r>
    <x v="209"/>
    <n v="56"/>
    <x v="1"/>
    <x v="0"/>
    <d v="2025-10-07T00:00:00"/>
    <d v="2025-10-12T00:00:00"/>
    <n v="5"/>
    <x v="1"/>
    <n v="0"/>
    <x v="3"/>
    <x v="2"/>
    <n v="7076.39"/>
    <x v="1"/>
    <n v="2025"/>
    <x v="0"/>
    <m/>
    <m/>
    <m/>
    <m/>
    <m/>
  </r>
  <r>
    <x v="210"/>
    <n v="71"/>
    <x v="1"/>
    <x v="5"/>
    <d v="2025-12-19T00:00:00"/>
    <d v="2025-12-20T00:00:00"/>
    <n v="1"/>
    <x v="0"/>
    <n v="7"/>
    <x v="2"/>
    <x v="0"/>
    <n v="2583.1999999999998"/>
    <x v="10"/>
    <n v="2025"/>
    <x v="2"/>
    <m/>
    <m/>
    <m/>
    <m/>
    <m/>
  </r>
  <r>
    <x v="211"/>
    <n v="62"/>
    <x v="1"/>
    <x v="0"/>
    <d v="2025-06-13T00:00:00"/>
    <d v="2025-06-25T00:00:00"/>
    <n v="12"/>
    <x v="1"/>
    <n v="0"/>
    <x v="2"/>
    <x v="0"/>
    <n v="8643.94"/>
    <x v="9"/>
    <n v="2025"/>
    <x v="2"/>
    <m/>
    <m/>
    <m/>
    <m/>
    <m/>
  </r>
  <r>
    <x v="212"/>
    <n v="52"/>
    <x v="1"/>
    <x v="0"/>
    <d v="2025-06-13T00:00:00"/>
    <d v="2025-06-17T00:00:00"/>
    <n v="4"/>
    <x v="1"/>
    <n v="0"/>
    <x v="1"/>
    <x v="1"/>
    <n v="1233.78"/>
    <x v="9"/>
    <n v="2025"/>
    <x v="0"/>
    <m/>
    <m/>
    <m/>
    <m/>
    <m/>
  </r>
  <r>
    <x v="213"/>
    <n v="49"/>
    <x v="0"/>
    <x v="3"/>
    <d v="2025-07-16T00:00:00"/>
    <d v="2025-07-30T00:00:00"/>
    <n v="14"/>
    <x v="1"/>
    <n v="0"/>
    <x v="2"/>
    <x v="1"/>
    <n v="11565.26"/>
    <x v="5"/>
    <n v="2025"/>
    <x v="0"/>
    <m/>
    <m/>
    <m/>
    <m/>
    <m/>
  </r>
  <r>
    <x v="214"/>
    <n v="57"/>
    <x v="1"/>
    <x v="1"/>
    <d v="2025-09-13T00:00:00"/>
    <d v="2025-09-22T00:00:00"/>
    <n v="9"/>
    <x v="1"/>
    <n v="0"/>
    <x v="0"/>
    <x v="2"/>
    <n v="7828.94"/>
    <x v="7"/>
    <n v="2025"/>
    <x v="0"/>
    <m/>
    <m/>
    <m/>
    <m/>
    <m/>
  </r>
  <r>
    <x v="215"/>
    <n v="24"/>
    <x v="0"/>
    <x v="3"/>
    <d v="2025-05-04T00:00:00"/>
    <d v="2025-05-08T00:00:00"/>
    <n v="4"/>
    <x v="1"/>
    <n v="0"/>
    <x v="3"/>
    <x v="0"/>
    <n v="13293.92"/>
    <x v="6"/>
    <n v="2025"/>
    <x v="1"/>
    <m/>
    <m/>
    <m/>
    <m/>
    <m/>
  </r>
  <r>
    <x v="216"/>
    <n v="86"/>
    <x v="0"/>
    <x v="1"/>
    <d v="2025-12-01T00:00:00"/>
    <d v="2025-12-12T00:00:00"/>
    <n v="11"/>
    <x v="1"/>
    <n v="0"/>
    <x v="3"/>
    <x v="1"/>
    <n v="13295.61"/>
    <x v="10"/>
    <n v="2025"/>
    <x v="2"/>
    <m/>
    <m/>
    <m/>
    <m/>
    <m/>
  </r>
  <r>
    <x v="217"/>
    <n v="23"/>
    <x v="1"/>
    <x v="1"/>
    <d v="2025-07-07T00:00:00"/>
    <d v="2025-07-20T00:00:00"/>
    <n v="13"/>
    <x v="1"/>
    <n v="0"/>
    <x v="1"/>
    <x v="2"/>
    <n v="8521.73"/>
    <x v="5"/>
    <n v="2025"/>
    <x v="1"/>
    <m/>
    <m/>
    <m/>
    <m/>
    <m/>
  </r>
  <r>
    <x v="218"/>
    <n v="88"/>
    <x v="1"/>
    <x v="4"/>
    <d v="2025-02-07T00:00:00"/>
    <d v="2025-02-14T00:00:00"/>
    <n v="7"/>
    <x v="1"/>
    <n v="0"/>
    <x v="0"/>
    <x v="1"/>
    <n v="14638.7"/>
    <x v="4"/>
    <n v="2025"/>
    <x v="2"/>
    <m/>
    <m/>
    <m/>
    <m/>
    <m/>
  </r>
  <r>
    <x v="219"/>
    <n v="61"/>
    <x v="1"/>
    <x v="0"/>
    <d v="2025-07-21T00:00:00"/>
    <d v="2025-07-27T00:00:00"/>
    <n v="6"/>
    <x v="1"/>
    <n v="0"/>
    <x v="1"/>
    <x v="0"/>
    <n v="7882.28"/>
    <x v="5"/>
    <n v="2025"/>
    <x v="2"/>
    <m/>
    <m/>
    <m/>
    <m/>
    <m/>
  </r>
  <r>
    <x v="220"/>
    <n v="35"/>
    <x v="1"/>
    <x v="5"/>
    <d v="2025-09-14T00:00:00"/>
    <d v="2025-09-15T00:00:00"/>
    <n v="1"/>
    <x v="0"/>
    <n v="17"/>
    <x v="3"/>
    <x v="1"/>
    <n v="9290.7800000000007"/>
    <x v="7"/>
    <n v="2025"/>
    <x v="0"/>
    <m/>
    <m/>
    <m/>
    <m/>
    <m/>
  </r>
  <r>
    <x v="221"/>
    <n v="58"/>
    <x v="0"/>
    <x v="5"/>
    <d v="2025-09-21T00:00:00"/>
    <d v="2025-09-24T00:00:00"/>
    <n v="3"/>
    <x v="1"/>
    <n v="0"/>
    <x v="2"/>
    <x v="0"/>
    <n v="5377.42"/>
    <x v="7"/>
    <n v="2025"/>
    <x v="0"/>
    <m/>
    <m/>
    <m/>
    <m/>
    <m/>
  </r>
  <r>
    <x v="222"/>
    <n v="90"/>
    <x v="1"/>
    <x v="5"/>
    <d v="2025-09-18T00:00:00"/>
    <d v="2025-09-27T00:00:00"/>
    <n v="9"/>
    <x v="1"/>
    <n v="0"/>
    <x v="0"/>
    <x v="2"/>
    <n v="5302.97"/>
    <x v="7"/>
    <n v="2025"/>
    <x v="2"/>
    <m/>
    <m/>
    <m/>
    <m/>
    <m/>
  </r>
  <r>
    <x v="223"/>
    <n v="21"/>
    <x v="1"/>
    <x v="3"/>
    <d v="2025-02-26T00:00:00"/>
    <d v="2025-03-05T00:00:00"/>
    <n v="7"/>
    <x v="1"/>
    <n v="0"/>
    <x v="1"/>
    <x v="0"/>
    <n v="1244.6500000000001"/>
    <x v="4"/>
    <n v="2025"/>
    <x v="1"/>
    <m/>
    <m/>
    <m/>
    <m/>
    <m/>
  </r>
  <r>
    <x v="224"/>
    <n v="66"/>
    <x v="0"/>
    <x v="2"/>
    <d v="2025-09-03T00:00:00"/>
    <d v="2025-09-06T00:00:00"/>
    <n v="3"/>
    <x v="1"/>
    <n v="0"/>
    <x v="1"/>
    <x v="1"/>
    <n v="8802.27"/>
    <x v="7"/>
    <n v="2025"/>
    <x v="2"/>
    <m/>
    <m/>
    <m/>
    <m/>
    <m/>
  </r>
  <r>
    <x v="225"/>
    <n v="74"/>
    <x v="1"/>
    <x v="5"/>
    <d v="2025-12-25T00:00:00"/>
    <d v="2025-12-27T00:00:00"/>
    <n v="2"/>
    <x v="0"/>
    <n v="5"/>
    <x v="3"/>
    <x v="0"/>
    <n v="3456.43"/>
    <x v="10"/>
    <n v="2025"/>
    <x v="2"/>
    <m/>
    <m/>
    <m/>
    <m/>
    <m/>
  </r>
  <r>
    <x v="226"/>
    <n v="78"/>
    <x v="0"/>
    <x v="2"/>
    <d v="2025-09-14T00:00:00"/>
    <d v="2025-09-27T00:00:00"/>
    <n v="13"/>
    <x v="1"/>
    <n v="0"/>
    <x v="1"/>
    <x v="0"/>
    <n v="3506.45"/>
    <x v="7"/>
    <n v="2025"/>
    <x v="2"/>
    <m/>
    <m/>
    <m/>
    <m/>
    <m/>
  </r>
  <r>
    <x v="227"/>
    <n v="66"/>
    <x v="1"/>
    <x v="0"/>
    <d v="2025-06-16T00:00:00"/>
    <d v="2025-06-27T00:00:00"/>
    <n v="11"/>
    <x v="1"/>
    <n v="0"/>
    <x v="3"/>
    <x v="0"/>
    <n v="5463.74"/>
    <x v="9"/>
    <n v="2025"/>
    <x v="2"/>
    <m/>
    <m/>
    <m/>
    <m/>
    <m/>
  </r>
  <r>
    <x v="228"/>
    <n v="51"/>
    <x v="1"/>
    <x v="0"/>
    <d v="2025-07-01T00:00:00"/>
    <d v="2025-07-12T00:00:00"/>
    <n v="11"/>
    <x v="1"/>
    <n v="0"/>
    <x v="1"/>
    <x v="2"/>
    <n v="8592.26"/>
    <x v="5"/>
    <n v="2025"/>
    <x v="0"/>
    <m/>
    <m/>
    <m/>
    <m/>
    <m/>
  </r>
  <r>
    <x v="229"/>
    <n v="44"/>
    <x v="1"/>
    <x v="3"/>
    <d v="2025-04-26T00:00:00"/>
    <d v="2025-05-01T00:00:00"/>
    <n v="5"/>
    <x v="1"/>
    <n v="0"/>
    <x v="3"/>
    <x v="2"/>
    <n v="8627.07"/>
    <x v="8"/>
    <n v="2025"/>
    <x v="0"/>
    <m/>
    <m/>
    <m/>
    <m/>
    <m/>
  </r>
  <r>
    <x v="230"/>
    <n v="87"/>
    <x v="1"/>
    <x v="5"/>
    <d v="2025-05-21T00:00:00"/>
    <d v="2025-05-26T00:00:00"/>
    <n v="5"/>
    <x v="0"/>
    <n v="27"/>
    <x v="2"/>
    <x v="1"/>
    <n v="4711.5600000000004"/>
    <x v="6"/>
    <n v="2025"/>
    <x v="2"/>
    <m/>
    <m/>
    <m/>
    <m/>
    <m/>
  </r>
  <r>
    <x v="231"/>
    <n v="74"/>
    <x v="1"/>
    <x v="2"/>
    <d v="2025-05-28T00:00:00"/>
    <d v="2025-06-09T00:00:00"/>
    <n v="12"/>
    <x v="0"/>
    <n v="16"/>
    <x v="1"/>
    <x v="1"/>
    <n v="12505.3"/>
    <x v="6"/>
    <n v="2025"/>
    <x v="2"/>
    <m/>
    <m/>
    <m/>
    <m/>
    <m/>
  </r>
  <r>
    <x v="232"/>
    <n v="35"/>
    <x v="0"/>
    <x v="4"/>
    <d v="2025-05-19T00:00:00"/>
    <d v="2025-05-28T00:00:00"/>
    <n v="9"/>
    <x v="1"/>
    <n v="0"/>
    <x v="1"/>
    <x v="1"/>
    <n v="1236.0999999999999"/>
    <x v="6"/>
    <n v="2025"/>
    <x v="0"/>
    <m/>
    <m/>
    <m/>
    <m/>
    <m/>
  </r>
  <r>
    <x v="233"/>
    <n v="24"/>
    <x v="0"/>
    <x v="5"/>
    <d v="2025-09-29T00:00:00"/>
    <d v="2025-10-03T00:00:00"/>
    <n v="4"/>
    <x v="1"/>
    <n v="0"/>
    <x v="2"/>
    <x v="0"/>
    <n v="7349.86"/>
    <x v="7"/>
    <n v="2025"/>
    <x v="1"/>
    <m/>
    <m/>
    <m/>
    <m/>
    <m/>
  </r>
  <r>
    <x v="234"/>
    <n v="88"/>
    <x v="0"/>
    <x v="5"/>
    <d v="2025-12-15T00:00:00"/>
    <d v="2025-12-28T00:00:00"/>
    <n v="13"/>
    <x v="0"/>
    <n v="21"/>
    <x v="3"/>
    <x v="2"/>
    <n v="9932.81"/>
    <x v="10"/>
    <n v="2025"/>
    <x v="2"/>
    <m/>
    <m/>
    <m/>
    <m/>
    <m/>
  </r>
  <r>
    <x v="235"/>
    <n v="25"/>
    <x v="0"/>
    <x v="2"/>
    <d v="2025-05-28T00:00:00"/>
    <d v="2025-06-03T00:00:00"/>
    <n v="6"/>
    <x v="0"/>
    <n v="19"/>
    <x v="1"/>
    <x v="0"/>
    <n v="11210.95"/>
    <x v="6"/>
    <n v="2025"/>
    <x v="1"/>
    <m/>
    <m/>
    <m/>
    <m/>
    <m/>
  </r>
  <r>
    <x v="236"/>
    <n v="40"/>
    <x v="0"/>
    <x v="5"/>
    <d v="2025-01-20T00:00:00"/>
    <d v="2025-01-23T00:00:00"/>
    <n v="3"/>
    <x v="1"/>
    <n v="0"/>
    <x v="3"/>
    <x v="1"/>
    <n v="14080.83"/>
    <x v="2"/>
    <n v="2025"/>
    <x v="0"/>
    <m/>
    <m/>
    <m/>
    <m/>
    <m/>
  </r>
  <r>
    <x v="237"/>
    <n v="90"/>
    <x v="0"/>
    <x v="3"/>
    <d v="2025-05-29T00:00:00"/>
    <d v="2025-05-30T00:00:00"/>
    <n v="1"/>
    <x v="0"/>
    <n v="10"/>
    <x v="3"/>
    <x v="0"/>
    <n v="8377.86"/>
    <x v="6"/>
    <n v="2025"/>
    <x v="2"/>
    <m/>
    <m/>
    <m/>
    <m/>
    <m/>
  </r>
  <r>
    <x v="238"/>
    <n v="77"/>
    <x v="1"/>
    <x v="0"/>
    <d v="2025-09-10T00:00:00"/>
    <d v="2025-09-13T00:00:00"/>
    <n v="3"/>
    <x v="1"/>
    <n v="0"/>
    <x v="0"/>
    <x v="2"/>
    <n v="2856.17"/>
    <x v="7"/>
    <n v="2025"/>
    <x v="2"/>
    <m/>
    <m/>
    <m/>
    <m/>
    <m/>
  </r>
  <r>
    <x v="239"/>
    <n v="41"/>
    <x v="0"/>
    <x v="2"/>
    <d v="2025-08-23T00:00:00"/>
    <d v="2025-09-03T00:00:00"/>
    <n v="11"/>
    <x v="0"/>
    <n v="11"/>
    <x v="2"/>
    <x v="0"/>
    <n v="10278.82"/>
    <x v="11"/>
    <n v="2025"/>
    <x v="0"/>
    <m/>
    <m/>
    <m/>
    <m/>
    <m/>
  </r>
  <r>
    <x v="240"/>
    <n v="69"/>
    <x v="1"/>
    <x v="4"/>
    <d v="2025-04-09T00:00:00"/>
    <d v="2025-04-12T00:00:00"/>
    <n v="3"/>
    <x v="1"/>
    <n v="0"/>
    <x v="2"/>
    <x v="1"/>
    <n v="6312.08"/>
    <x v="8"/>
    <n v="2025"/>
    <x v="2"/>
    <m/>
    <m/>
    <m/>
    <m/>
    <m/>
  </r>
  <r>
    <x v="241"/>
    <n v="79"/>
    <x v="1"/>
    <x v="0"/>
    <d v="2025-02-18T00:00:00"/>
    <d v="2025-02-21T00:00:00"/>
    <n v="3"/>
    <x v="1"/>
    <n v="0"/>
    <x v="0"/>
    <x v="2"/>
    <n v="6061.83"/>
    <x v="4"/>
    <n v="2025"/>
    <x v="2"/>
    <m/>
    <m/>
    <m/>
    <m/>
    <m/>
  </r>
  <r>
    <x v="242"/>
    <n v="60"/>
    <x v="1"/>
    <x v="4"/>
    <d v="2025-08-17T00:00:00"/>
    <d v="2025-08-30T00:00:00"/>
    <n v="13"/>
    <x v="0"/>
    <n v="24"/>
    <x v="0"/>
    <x v="2"/>
    <n v="9978.41"/>
    <x v="11"/>
    <n v="2025"/>
    <x v="2"/>
    <m/>
    <m/>
    <m/>
    <m/>
    <m/>
  </r>
  <r>
    <x v="243"/>
    <n v="33"/>
    <x v="1"/>
    <x v="3"/>
    <d v="2025-12-21T00:00:00"/>
    <d v="2025-12-25T00:00:00"/>
    <n v="4"/>
    <x v="0"/>
    <n v="6"/>
    <x v="3"/>
    <x v="0"/>
    <n v="7786.55"/>
    <x v="10"/>
    <n v="2025"/>
    <x v="0"/>
    <m/>
    <m/>
    <m/>
    <m/>
    <m/>
  </r>
  <r>
    <x v="244"/>
    <n v="33"/>
    <x v="1"/>
    <x v="3"/>
    <d v="2025-12-27T00:00:00"/>
    <d v="2026-01-09T00:00:00"/>
    <n v="13"/>
    <x v="1"/>
    <n v="0"/>
    <x v="1"/>
    <x v="1"/>
    <n v="14381.73"/>
    <x v="10"/>
    <n v="2025"/>
    <x v="0"/>
    <m/>
    <m/>
    <m/>
    <m/>
    <m/>
  </r>
  <r>
    <x v="245"/>
    <n v="65"/>
    <x v="1"/>
    <x v="2"/>
    <d v="2025-09-02T00:00:00"/>
    <d v="2025-09-05T00:00:00"/>
    <n v="3"/>
    <x v="1"/>
    <n v="0"/>
    <x v="3"/>
    <x v="0"/>
    <n v="12128.93"/>
    <x v="7"/>
    <n v="2025"/>
    <x v="2"/>
    <m/>
    <m/>
    <m/>
    <m/>
    <m/>
  </r>
  <r>
    <x v="246"/>
    <n v="28"/>
    <x v="1"/>
    <x v="4"/>
    <d v="2025-04-22T00:00:00"/>
    <d v="2025-05-05T00:00:00"/>
    <n v="13"/>
    <x v="0"/>
    <n v="23"/>
    <x v="2"/>
    <x v="1"/>
    <n v="13800.05"/>
    <x v="8"/>
    <n v="2025"/>
    <x v="1"/>
    <m/>
    <m/>
    <m/>
    <m/>
    <m/>
  </r>
  <r>
    <x v="247"/>
    <n v="82"/>
    <x v="0"/>
    <x v="4"/>
    <d v="2025-02-27T00:00:00"/>
    <d v="2025-02-28T00:00:00"/>
    <n v="1"/>
    <x v="1"/>
    <n v="0"/>
    <x v="1"/>
    <x v="1"/>
    <n v="5257.71"/>
    <x v="4"/>
    <n v="2025"/>
    <x v="2"/>
    <m/>
    <m/>
    <m/>
    <m/>
    <m/>
  </r>
  <r>
    <x v="248"/>
    <n v="44"/>
    <x v="1"/>
    <x v="1"/>
    <d v="2025-09-24T00:00:00"/>
    <d v="2025-10-02T00:00:00"/>
    <n v="8"/>
    <x v="0"/>
    <n v="29"/>
    <x v="3"/>
    <x v="1"/>
    <n v="7074.77"/>
    <x v="7"/>
    <n v="2025"/>
    <x v="0"/>
    <m/>
    <m/>
    <m/>
    <m/>
    <m/>
  </r>
  <r>
    <x v="249"/>
    <n v="25"/>
    <x v="1"/>
    <x v="2"/>
    <d v="2025-09-20T00:00:00"/>
    <d v="2025-09-27T00:00:00"/>
    <n v="7"/>
    <x v="1"/>
    <n v="0"/>
    <x v="2"/>
    <x v="0"/>
    <n v="815.67"/>
    <x v="7"/>
    <n v="2025"/>
    <x v="1"/>
    <m/>
    <m/>
    <m/>
    <m/>
    <m/>
  </r>
  <r>
    <x v="250"/>
    <n v="45"/>
    <x v="0"/>
    <x v="1"/>
    <d v="2025-05-11T00:00:00"/>
    <d v="2025-05-25T00:00:00"/>
    <n v="14"/>
    <x v="0"/>
    <n v="14"/>
    <x v="2"/>
    <x v="0"/>
    <n v="1424.52"/>
    <x v="6"/>
    <n v="2025"/>
    <x v="0"/>
    <m/>
    <m/>
    <m/>
    <m/>
    <m/>
  </r>
  <r>
    <x v="251"/>
    <n v="78"/>
    <x v="0"/>
    <x v="3"/>
    <d v="2025-01-31T00:00:00"/>
    <d v="2025-02-02T00:00:00"/>
    <n v="2"/>
    <x v="1"/>
    <n v="0"/>
    <x v="3"/>
    <x v="1"/>
    <n v="11650.09"/>
    <x v="2"/>
    <n v="2025"/>
    <x v="2"/>
    <m/>
    <m/>
    <m/>
    <m/>
    <m/>
  </r>
  <r>
    <x v="252"/>
    <n v="71"/>
    <x v="1"/>
    <x v="5"/>
    <d v="2025-11-25T00:00:00"/>
    <d v="2025-12-07T00:00:00"/>
    <n v="12"/>
    <x v="1"/>
    <n v="0"/>
    <x v="3"/>
    <x v="2"/>
    <n v="5946.86"/>
    <x v="0"/>
    <n v="2025"/>
    <x v="2"/>
    <m/>
    <m/>
    <m/>
    <m/>
    <m/>
  </r>
  <r>
    <x v="253"/>
    <n v="35"/>
    <x v="1"/>
    <x v="1"/>
    <d v="2025-12-16T00:00:00"/>
    <d v="2025-12-27T00:00:00"/>
    <n v="11"/>
    <x v="1"/>
    <n v="0"/>
    <x v="1"/>
    <x v="0"/>
    <n v="6199.35"/>
    <x v="10"/>
    <n v="2025"/>
    <x v="0"/>
    <m/>
    <m/>
    <m/>
    <m/>
    <m/>
  </r>
  <r>
    <x v="254"/>
    <n v="18"/>
    <x v="0"/>
    <x v="3"/>
    <d v="2025-03-07T00:00:00"/>
    <d v="2025-03-19T00:00:00"/>
    <n v="12"/>
    <x v="1"/>
    <n v="0"/>
    <x v="3"/>
    <x v="0"/>
    <n v="10926.86"/>
    <x v="3"/>
    <n v="2025"/>
    <x v="1"/>
    <m/>
    <m/>
    <m/>
    <m/>
    <m/>
  </r>
  <r>
    <x v="255"/>
    <n v="47"/>
    <x v="0"/>
    <x v="5"/>
    <d v="2025-08-06T00:00:00"/>
    <d v="2025-08-15T00:00:00"/>
    <n v="9"/>
    <x v="1"/>
    <n v="0"/>
    <x v="2"/>
    <x v="1"/>
    <n v="4496.92"/>
    <x v="11"/>
    <n v="2025"/>
    <x v="0"/>
    <m/>
    <m/>
    <m/>
    <m/>
    <m/>
  </r>
  <r>
    <x v="256"/>
    <n v="71"/>
    <x v="0"/>
    <x v="0"/>
    <d v="2025-02-27T00:00:00"/>
    <d v="2025-02-28T00:00:00"/>
    <n v="1"/>
    <x v="1"/>
    <n v="0"/>
    <x v="1"/>
    <x v="1"/>
    <n v="1963"/>
    <x v="4"/>
    <n v="2025"/>
    <x v="2"/>
    <m/>
    <m/>
    <m/>
    <m/>
    <m/>
  </r>
  <r>
    <x v="257"/>
    <n v="24"/>
    <x v="0"/>
    <x v="2"/>
    <d v="2025-01-18T00:00:00"/>
    <d v="2025-01-26T00:00:00"/>
    <n v="8"/>
    <x v="1"/>
    <n v="0"/>
    <x v="0"/>
    <x v="2"/>
    <n v="6864.96"/>
    <x v="2"/>
    <n v="2025"/>
    <x v="1"/>
    <m/>
    <m/>
    <m/>
    <m/>
    <m/>
  </r>
  <r>
    <x v="258"/>
    <n v="25"/>
    <x v="0"/>
    <x v="4"/>
    <d v="2025-10-04T00:00:00"/>
    <d v="2025-10-08T00:00:00"/>
    <n v="4"/>
    <x v="1"/>
    <n v="0"/>
    <x v="2"/>
    <x v="1"/>
    <n v="12328.9"/>
    <x v="1"/>
    <n v="2025"/>
    <x v="1"/>
    <m/>
    <m/>
    <m/>
    <m/>
    <m/>
  </r>
  <r>
    <x v="259"/>
    <n v="59"/>
    <x v="0"/>
    <x v="3"/>
    <d v="2025-10-22T00:00:00"/>
    <d v="2025-10-28T00:00:00"/>
    <n v="6"/>
    <x v="1"/>
    <n v="0"/>
    <x v="1"/>
    <x v="0"/>
    <n v="8058.14"/>
    <x v="1"/>
    <n v="2025"/>
    <x v="0"/>
    <m/>
    <m/>
    <m/>
    <m/>
    <m/>
  </r>
  <r>
    <x v="260"/>
    <n v="89"/>
    <x v="0"/>
    <x v="2"/>
    <d v="2025-07-31T00:00:00"/>
    <d v="2025-08-05T00:00:00"/>
    <n v="5"/>
    <x v="0"/>
    <n v="22"/>
    <x v="3"/>
    <x v="0"/>
    <n v="7686.5"/>
    <x v="5"/>
    <n v="2025"/>
    <x v="2"/>
    <m/>
    <m/>
    <m/>
    <m/>
    <m/>
  </r>
  <r>
    <x v="261"/>
    <n v="85"/>
    <x v="1"/>
    <x v="2"/>
    <d v="2025-06-26T00:00:00"/>
    <d v="2025-07-07T00:00:00"/>
    <n v="11"/>
    <x v="1"/>
    <n v="0"/>
    <x v="3"/>
    <x v="2"/>
    <n v="2663.66"/>
    <x v="9"/>
    <n v="2025"/>
    <x v="2"/>
    <m/>
    <m/>
    <m/>
    <m/>
    <m/>
  </r>
  <r>
    <x v="262"/>
    <n v="78"/>
    <x v="0"/>
    <x v="0"/>
    <d v="2025-07-12T00:00:00"/>
    <d v="2025-07-15T00:00:00"/>
    <n v="3"/>
    <x v="1"/>
    <n v="0"/>
    <x v="2"/>
    <x v="0"/>
    <n v="2593.1"/>
    <x v="5"/>
    <n v="2025"/>
    <x v="2"/>
    <m/>
    <m/>
    <m/>
    <m/>
    <m/>
  </r>
  <r>
    <x v="263"/>
    <n v="71"/>
    <x v="0"/>
    <x v="5"/>
    <d v="2025-08-26T00:00:00"/>
    <d v="2025-08-27T00:00:00"/>
    <n v="1"/>
    <x v="1"/>
    <n v="0"/>
    <x v="1"/>
    <x v="2"/>
    <n v="3448.38"/>
    <x v="11"/>
    <n v="2025"/>
    <x v="2"/>
    <m/>
    <m/>
    <m/>
    <m/>
    <m/>
  </r>
  <r>
    <x v="264"/>
    <n v="65"/>
    <x v="0"/>
    <x v="4"/>
    <d v="2025-11-28T00:00:00"/>
    <d v="2025-11-30T00:00:00"/>
    <n v="2"/>
    <x v="1"/>
    <n v="0"/>
    <x v="1"/>
    <x v="1"/>
    <n v="4392.6899999999996"/>
    <x v="0"/>
    <n v="2025"/>
    <x v="2"/>
    <m/>
    <m/>
    <m/>
    <m/>
    <m/>
  </r>
  <r>
    <x v="265"/>
    <n v="27"/>
    <x v="0"/>
    <x v="4"/>
    <d v="2025-12-11T00:00:00"/>
    <d v="2025-12-21T00:00:00"/>
    <n v="10"/>
    <x v="1"/>
    <n v="0"/>
    <x v="1"/>
    <x v="2"/>
    <n v="3528.89"/>
    <x v="10"/>
    <n v="2025"/>
    <x v="1"/>
    <m/>
    <m/>
    <m/>
    <m/>
    <m/>
  </r>
  <r>
    <x v="266"/>
    <n v="19"/>
    <x v="0"/>
    <x v="0"/>
    <d v="2025-06-20T00:00:00"/>
    <d v="2025-06-25T00:00:00"/>
    <n v="5"/>
    <x v="1"/>
    <n v="0"/>
    <x v="0"/>
    <x v="0"/>
    <n v="14993.79"/>
    <x v="9"/>
    <n v="2025"/>
    <x v="1"/>
    <m/>
    <m/>
    <m/>
    <m/>
    <m/>
  </r>
  <r>
    <x v="267"/>
    <n v="44"/>
    <x v="1"/>
    <x v="0"/>
    <d v="2025-09-03T00:00:00"/>
    <d v="2025-09-07T00:00:00"/>
    <n v="4"/>
    <x v="1"/>
    <n v="0"/>
    <x v="2"/>
    <x v="2"/>
    <n v="6019.6"/>
    <x v="7"/>
    <n v="2025"/>
    <x v="0"/>
    <m/>
    <m/>
    <m/>
    <m/>
    <m/>
  </r>
  <r>
    <x v="268"/>
    <n v="51"/>
    <x v="1"/>
    <x v="4"/>
    <d v="2025-10-01T00:00:00"/>
    <d v="2025-10-12T00:00:00"/>
    <n v="11"/>
    <x v="1"/>
    <n v="0"/>
    <x v="3"/>
    <x v="2"/>
    <n v="1929.82"/>
    <x v="1"/>
    <n v="2025"/>
    <x v="0"/>
    <m/>
    <m/>
    <m/>
    <m/>
    <m/>
  </r>
  <r>
    <x v="269"/>
    <n v="44"/>
    <x v="1"/>
    <x v="3"/>
    <d v="2025-08-29T00:00:00"/>
    <d v="2025-09-11T00:00:00"/>
    <n v="13"/>
    <x v="1"/>
    <n v="0"/>
    <x v="3"/>
    <x v="1"/>
    <n v="8656.61"/>
    <x v="11"/>
    <n v="2025"/>
    <x v="0"/>
    <m/>
    <m/>
    <m/>
    <m/>
    <m/>
  </r>
  <r>
    <x v="270"/>
    <n v="51"/>
    <x v="1"/>
    <x v="3"/>
    <d v="2025-04-24T00:00:00"/>
    <d v="2025-05-06T00:00:00"/>
    <n v="12"/>
    <x v="0"/>
    <n v="5"/>
    <x v="1"/>
    <x v="2"/>
    <n v="3835.27"/>
    <x v="8"/>
    <n v="2025"/>
    <x v="0"/>
    <m/>
    <m/>
    <m/>
    <m/>
    <m/>
  </r>
  <r>
    <x v="271"/>
    <n v="88"/>
    <x v="1"/>
    <x v="3"/>
    <d v="2025-10-19T00:00:00"/>
    <d v="2025-11-02T00:00:00"/>
    <n v="14"/>
    <x v="0"/>
    <n v="25"/>
    <x v="3"/>
    <x v="0"/>
    <n v="9804.57"/>
    <x v="1"/>
    <n v="2025"/>
    <x v="2"/>
    <m/>
    <m/>
    <m/>
    <m/>
    <m/>
  </r>
  <r>
    <x v="272"/>
    <n v="63"/>
    <x v="0"/>
    <x v="0"/>
    <d v="2025-09-09T00:00:00"/>
    <d v="2025-09-17T00:00:00"/>
    <n v="8"/>
    <x v="0"/>
    <n v="24"/>
    <x v="3"/>
    <x v="1"/>
    <n v="13795.04"/>
    <x v="7"/>
    <n v="2025"/>
    <x v="2"/>
    <m/>
    <m/>
    <m/>
    <m/>
    <m/>
  </r>
  <r>
    <x v="273"/>
    <n v="85"/>
    <x v="0"/>
    <x v="1"/>
    <d v="2025-10-05T00:00:00"/>
    <d v="2025-10-16T00:00:00"/>
    <n v="11"/>
    <x v="1"/>
    <n v="0"/>
    <x v="0"/>
    <x v="1"/>
    <n v="6479.69"/>
    <x v="1"/>
    <n v="2025"/>
    <x v="2"/>
    <m/>
    <m/>
    <m/>
    <m/>
    <m/>
  </r>
  <r>
    <x v="274"/>
    <n v="37"/>
    <x v="0"/>
    <x v="0"/>
    <d v="2025-11-19T00:00:00"/>
    <d v="2025-11-23T00:00:00"/>
    <n v="4"/>
    <x v="0"/>
    <n v="17"/>
    <x v="3"/>
    <x v="2"/>
    <n v="1376.53"/>
    <x v="0"/>
    <n v="2025"/>
    <x v="0"/>
    <m/>
    <m/>
    <m/>
    <m/>
    <m/>
  </r>
  <r>
    <x v="275"/>
    <n v="79"/>
    <x v="1"/>
    <x v="1"/>
    <d v="2025-11-23T00:00:00"/>
    <d v="2025-12-04T00:00:00"/>
    <n v="11"/>
    <x v="1"/>
    <n v="0"/>
    <x v="0"/>
    <x v="0"/>
    <n v="8498.83"/>
    <x v="0"/>
    <n v="2025"/>
    <x v="2"/>
    <m/>
    <m/>
    <m/>
    <m/>
    <m/>
  </r>
  <r>
    <x v="276"/>
    <n v="53"/>
    <x v="1"/>
    <x v="1"/>
    <d v="2025-01-07T00:00:00"/>
    <d v="2025-01-08T00:00:00"/>
    <n v="1"/>
    <x v="1"/>
    <n v="0"/>
    <x v="3"/>
    <x v="1"/>
    <n v="2051.7399999999998"/>
    <x v="2"/>
    <n v="2025"/>
    <x v="0"/>
    <m/>
    <m/>
    <m/>
    <m/>
    <m/>
  </r>
  <r>
    <x v="277"/>
    <n v="42"/>
    <x v="1"/>
    <x v="3"/>
    <d v="2025-02-19T00:00:00"/>
    <d v="2025-02-28T00:00:00"/>
    <n v="9"/>
    <x v="0"/>
    <n v="9"/>
    <x v="3"/>
    <x v="1"/>
    <n v="5909.25"/>
    <x v="4"/>
    <n v="2025"/>
    <x v="0"/>
    <m/>
    <m/>
    <m/>
    <m/>
    <m/>
  </r>
  <r>
    <x v="278"/>
    <n v="46"/>
    <x v="1"/>
    <x v="2"/>
    <d v="2025-07-27T00:00:00"/>
    <d v="2025-08-04T00:00:00"/>
    <n v="8"/>
    <x v="1"/>
    <n v="0"/>
    <x v="0"/>
    <x v="0"/>
    <n v="14879.28"/>
    <x v="5"/>
    <n v="2025"/>
    <x v="0"/>
    <m/>
    <m/>
    <m/>
    <m/>
    <m/>
  </r>
  <r>
    <x v="279"/>
    <n v="69"/>
    <x v="1"/>
    <x v="5"/>
    <d v="2025-11-29T00:00:00"/>
    <d v="2025-12-12T00:00:00"/>
    <n v="13"/>
    <x v="0"/>
    <n v="18"/>
    <x v="3"/>
    <x v="1"/>
    <n v="9732.85"/>
    <x v="0"/>
    <n v="2025"/>
    <x v="2"/>
    <m/>
    <m/>
    <m/>
    <m/>
    <m/>
  </r>
  <r>
    <x v="280"/>
    <n v="73"/>
    <x v="1"/>
    <x v="4"/>
    <d v="2025-12-26T00:00:00"/>
    <d v="2025-12-29T00:00:00"/>
    <n v="3"/>
    <x v="0"/>
    <n v="28"/>
    <x v="0"/>
    <x v="0"/>
    <n v="13827.71"/>
    <x v="10"/>
    <n v="2025"/>
    <x v="2"/>
    <m/>
    <m/>
    <m/>
    <m/>
    <m/>
  </r>
  <r>
    <x v="281"/>
    <n v="90"/>
    <x v="1"/>
    <x v="3"/>
    <d v="2025-04-28T00:00:00"/>
    <d v="2025-05-02T00:00:00"/>
    <n v="4"/>
    <x v="1"/>
    <n v="0"/>
    <x v="0"/>
    <x v="1"/>
    <n v="10424.219999999999"/>
    <x v="8"/>
    <n v="2025"/>
    <x v="2"/>
    <m/>
    <m/>
    <m/>
    <m/>
    <m/>
  </r>
  <r>
    <x v="282"/>
    <n v="22"/>
    <x v="0"/>
    <x v="3"/>
    <d v="2025-05-24T00:00:00"/>
    <d v="2025-06-02T00:00:00"/>
    <n v="9"/>
    <x v="1"/>
    <n v="0"/>
    <x v="0"/>
    <x v="1"/>
    <n v="9012.02"/>
    <x v="6"/>
    <n v="2025"/>
    <x v="1"/>
    <m/>
    <m/>
    <m/>
    <m/>
    <m/>
  </r>
  <r>
    <x v="283"/>
    <n v="27"/>
    <x v="1"/>
    <x v="0"/>
    <d v="2025-12-31T00:00:00"/>
    <d v="2026-01-14T00:00:00"/>
    <n v="14"/>
    <x v="1"/>
    <n v="0"/>
    <x v="1"/>
    <x v="0"/>
    <n v="12602.43"/>
    <x v="10"/>
    <n v="2025"/>
    <x v="1"/>
    <m/>
    <m/>
    <m/>
    <m/>
    <m/>
  </r>
  <r>
    <x v="284"/>
    <n v="60"/>
    <x v="1"/>
    <x v="2"/>
    <d v="2025-07-19T00:00:00"/>
    <d v="2025-07-30T00:00:00"/>
    <n v="11"/>
    <x v="1"/>
    <n v="0"/>
    <x v="1"/>
    <x v="0"/>
    <n v="11000.37"/>
    <x v="5"/>
    <n v="2025"/>
    <x v="2"/>
    <m/>
    <m/>
    <m/>
    <m/>
    <m/>
  </r>
  <r>
    <x v="285"/>
    <n v="24"/>
    <x v="0"/>
    <x v="5"/>
    <d v="2025-09-14T00:00:00"/>
    <d v="2025-09-26T00:00:00"/>
    <n v="12"/>
    <x v="1"/>
    <n v="0"/>
    <x v="1"/>
    <x v="1"/>
    <n v="5438.59"/>
    <x v="7"/>
    <n v="2025"/>
    <x v="1"/>
    <m/>
    <m/>
    <m/>
    <m/>
    <m/>
  </r>
  <r>
    <x v="286"/>
    <n v="59"/>
    <x v="0"/>
    <x v="2"/>
    <d v="2025-11-11T00:00:00"/>
    <d v="2025-11-21T00:00:00"/>
    <n v="10"/>
    <x v="1"/>
    <n v="0"/>
    <x v="2"/>
    <x v="2"/>
    <n v="7613.75"/>
    <x v="0"/>
    <n v="2025"/>
    <x v="0"/>
    <m/>
    <m/>
    <m/>
    <m/>
    <m/>
  </r>
  <r>
    <x v="287"/>
    <n v="73"/>
    <x v="0"/>
    <x v="2"/>
    <d v="2025-07-02T00:00:00"/>
    <d v="2025-07-11T00:00:00"/>
    <n v="9"/>
    <x v="1"/>
    <n v="0"/>
    <x v="3"/>
    <x v="1"/>
    <n v="11696.43"/>
    <x v="5"/>
    <n v="2025"/>
    <x v="2"/>
    <m/>
    <m/>
    <m/>
    <m/>
    <m/>
  </r>
  <r>
    <x v="288"/>
    <n v="27"/>
    <x v="0"/>
    <x v="3"/>
    <d v="2025-06-01T00:00:00"/>
    <d v="2025-06-14T00:00:00"/>
    <n v="13"/>
    <x v="0"/>
    <n v="5"/>
    <x v="3"/>
    <x v="0"/>
    <n v="11866.41"/>
    <x v="9"/>
    <n v="2025"/>
    <x v="1"/>
    <m/>
    <m/>
    <m/>
    <m/>
    <m/>
  </r>
  <r>
    <x v="289"/>
    <n v="64"/>
    <x v="0"/>
    <x v="1"/>
    <d v="2025-03-20T00:00:00"/>
    <d v="2025-04-01T00:00:00"/>
    <n v="12"/>
    <x v="1"/>
    <n v="0"/>
    <x v="0"/>
    <x v="2"/>
    <n v="6948.67"/>
    <x v="3"/>
    <n v="2025"/>
    <x v="2"/>
    <m/>
    <m/>
    <m/>
    <m/>
    <m/>
  </r>
  <r>
    <x v="290"/>
    <n v="41"/>
    <x v="1"/>
    <x v="5"/>
    <d v="2025-05-19T00:00:00"/>
    <d v="2025-05-21T00:00:00"/>
    <n v="2"/>
    <x v="0"/>
    <n v="18"/>
    <x v="3"/>
    <x v="1"/>
    <n v="880.8"/>
    <x v="6"/>
    <n v="2025"/>
    <x v="0"/>
    <m/>
    <m/>
    <m/>
    <m/>
    <m/>
  </r>
  <r>
    <x v="291"/>
    <n v="59"/>
    <x v="1"/>
    <x v="1"/>
    <d v="2025-07-01T00:00:00"/>
    <d v="2025-07-10T00:00:00"/>
    <n v="9"/>
    <x v="0"/>
    <n v="10"/>
    <x v="3"/>
    <x v="2"/>
    <n v="11797.95"/>
    <x v="5"/>
    <n v="2025"/>
    <x v="0"/>
    <m/>
    <m/>
    <m/>
    <m/>
    <m/>
  </r>
  <r>
    <x v="292"/>
    <n v="39"/>
    <x v="1"/>
    <x v="0"/>
    <d v="2025-10-14T00:00:00"/>
    <d v="2025-10-18T00:00:00"/>
    <n v="4"/>
    <x v="1"/>
    <n v="0"/>
    <x v="1"/>
    <x v="2"/>
    <n v="4866.3999999999996"/>
    <x v="1"/>
    <n v="2025"/>
    <x v="0"/>
    <m/>
    <m/>
    <m/>
    <m/>
    <m/>
  </r>
  <r>
    <x v="293"/>
    <n v="73"/>
    <x v="1"/>
    <x v="5"/>
    <d v="2025-09-10T00:00:00"/>
    <d v="2025-09-13T00:00:00"/>
    <n v="3"/>
    <x v="0"/>
    <n v="10"/>
    <x v="3"/>
    <x v="1"/>
    <n v="5736.31"/>
    <x v="7"/>
    <n v="2025"/>
    <x v="2"/>
    <m/>
    <m/>
    <m/>
    <m/>
    <m/>
  </r>
  <r>
    <x v="294"/>
    <n v="43"/>
    <x v="1"/>
    <x v="1"/>
    <d v="2025-05-07T00:00:00"/>
    <d v="2025-05-19T00:00:00"/>
    <n v="12"/>
    <x v="1"/>
    <n v="0"/>
    <x v="1"/>
    <x v="2"/>
    <n v="598.13"/>
    <x v="6"/>
    <n v="2025"/>
    <x v="0"/>
    <m/>
    <m/>
    <m/>
    <m/>
    <m/>
  </r>
  <r>
    <x v="295"/>
    <n v="66"/>
    <x v="1"/>
    <x v="5"/>
    <d v="2025-07-22T00:00:00"/>
    <d v="2025-07-28T00:00:00"/>
    <n v="6"/>
    <x v="1"/>
    <n v="0"/>
    <x v="2"/>
    <x v="2"/>
    <n v="12324.39"/>
    <x v="5"/>
    <n v="2025"/>
    <x v="2"/>
    <m/>
    <m/>
    <m/>
    <m/>
    <m/>
  </r>
  <r>
    <x v="296"/>
    <n v="59"/>
    <x v="0"/>
    <x v="5"/>
    <d v="2025-11-30T00:00:00"/>
    <d v="2025-12-10T00:00:00"/>
    <n v="10"/>
    <x v="0"/>
    <n v="11"/>
    <x v="1"/>
    <x v="2"/>
    <n v="14546.52"/>
    <x v="0"/>
    <n v="2025"/>
    <x v="0"/>
    <m/>
    <m/>
    <m/>
    <m/>
    <m/>
  </r>
  <r>
    <x v="297"/>
    <n v="80"/>
    <x v="0"/>
    <x v="3"/>
    <d v="2025-05-30T00:00:00"/>
    <d v="2025-06-11T00:00:00"/>
    <n v="12"/>
    <x v="1"/>
    <n v="0"/>
    <x v="3"/>
    <x v="2"/>
    <n v="12339.17"/>
    <x v="6"/>
    <n v="2025"/>
    <x v="2"/>
    <m/>
    <m/>
    <m/>
    <m/>
    <m/>
  </r>
  <r>
    <x v="298"/>
    <n v="90"/>
    <x v="0"/>
    <x v="4"/>
    <d v="2025-07-21T00:00:00"/>
    <d v="2025-07-27T00:00:00"/>
    <n v="6"/>
    <x v="0"/>
    <n v="18"/>
    <x v="1"/>
    <x v="0"/>
    <n v="11630.46"/>
    <x v="5"/>
    <n v="2025"/>
    <x v="2"/>
    <m/>
    <m/>
    <m/>
    <m/>
    <m/>
  </r>
  <r>
    <x v="299"/>
    <n v="44"/>
    <x v="1"/>
    <x v="3"/>
    <d v="2025-01-14T00:00:00"/>
    <d v="2025-01-26T00:00:00"/>
    <n v="12"/>
    <x v="1"/>
    <n v="0"/>
    <x v="0"/>
    <x v="2"/>
    <n v="10258.18"/>
    <x v="2"/>
    <n v="2025"/>
    <x v="0"/>
    <m/>
    <m/>
    <m/>
    <m/>
    <m/>
  </r>
  <r>
    <x v="300"/>
    <n v="50"/>
    <x v="0"/>
    <x v="2"/>
    <d v="2025-03-13T00:00:00"/>
    <d v="2025-03-24T00:00:00"/>
    <n v="11"/>
    <x v="1"/>
    <n v="0"/>
    <x v="3"/>
    <x v="2"/>
    <n v="1572.49"/>
    <x v="3"/>
    <n v="2025"/>
    <x v="0"/>
    <m/>
    <m/>
    <m/>
    <m/>
    <m/>
  </r>
  <r>
    <x v="301"/>
    <n v="86"/>
    <x v="1"/>
    <x v="4"/>
    <d v="2025-11-03T00:00:00"/>
    <d v="2025-11-11T00:00:00"/>
    <n v="8"/>
    <x v="1"/>
    <n v="0"/>
    <x v="0"/>
    <x v="2"/>
    <n v="10673.7"/>
    <x v="0"/>
    <n v="2025"/>
    <x v="2"/>
    <m/>
    <m/>
    <m/>
    <m/>
    <m/>
  </r>
  <r>
    <x v="302"/>
    <n v="28"/>
    <x v="0"/>
    <x v="0"/>
    <d v="2025-10-02T00:00:00"/>
    <d v="2025-10-12T00:00:00"/>
    <n v="10"/>
    <x v="1"/>
    <n v="0"/>
    <x v="2"/>
    <x v="1"/>
    <n v="9881.5"/>
    <x v="1"/>
    <n v="2025"/>
    <x v="1"/>
    <m/>
    <m/>
    <m/>
    <m/>
    <m/>
  </r>
  <r>
    <x v="303"/>
    <n v="69"/>
    <x v="1"/>
    <x v="5"/>
    <d v="2025-01-23T00:00:00"/>
    <d v="2025-02-02T00:00:00"/>
    <n v="10"/>
    <x v="1"/>
    <n v="0"/>
    <x v="0"/>
    <x v="1"/>
    <n v="1929.8"/>
    <x v="2"/>
    <n v="2025"/>
    <x v="2"/>
    <m/>
    <m/>
    <m/>
    <m/>
    <m/>
  </r>
  <r>
    <x v="304"/>
    <n v="89"/>
    <x v="0"/>
    <x v="5"/>
    <d v="2025-04-24T00:00:00"/>
    <d v="2025-05-03T00:00:00"/>
    <n v="9"/>
    <x v="1"/>
    <n v="0"/>
    <x v="2"/>
    <x v="2"/>
    <n v="7214.42"/>
    <x v="8"/>
    <n v="2025"/>
    <x v="2"/>
    <m/>
    <m/>
    <m/>
    <m/>
    <m/>
  </r>
  <r>
    <x v="305"/>
    <n v="37"/>
    <x v="1"/>
    <x v="1"/>
    <d v="2025-12-14T00:00:00"/>
    <d v="2025-12-24T00:00:00"/>
    <n v="10"/>
    <x v="1"/>
    <n v="0"/>
    <x v="3"/>
    <x v="1"/>
    <n v="4783.7700000000004"/>
    <x v="10"/>
    <n v="2025"/>
    <x v="0"/>
    <m/>
    <m/>
    <m/>
    <m/>
    <m/>
  </r>
  <r>
    <x v="306"/>
    <n v="36"/>
    <x v="1"/>
    <x v="3"/>
    <d v="2025-02-13T00:00:00"/>
    <d v="2025-02-15T00:00:00"/>
    <n v="2"/>
    <x v="1"/>
    <n v="0"/>
    <x v="2"/>
    <x v="2"/>
    <n v="11871.91"/>
    <x v="4"/>
    <n v="2025"/>
    <x v="0"/>
    <m/>
    <m/>
    <m/>
    <m/>
    <m/>
  </r>
  <r>
    <x v="307"/>
    <n v="30"/>
    <x v="1"/>
    <x v="2"/>
    <d v="2025-09-24T00:00:00"/>
    <d v="2025-10-02T00:00:00"/>
    <n v="8"/>
    <x v="1"/>
    <n v="0"/>
    <x v="3"/>
    <x v="2"/>
    <n v="1474.03"/>
    <x v="7"/>
    <n v="2025"/>
    <x v="0"/>
    <m/>
    <m/>
    <m/>
    <m/>
    <m/>
  </r>
  <r>
    <x v="308"/>
    <n v="20"/>
    <x v="1"/>
    <x v="2"/>
    <d v="2025-01-23T00:00:00"/>
    <d v="2025-02-05T00:00:00"/>
    <n v="13"/>
    <x v="1"/>
    <n v="0"/>
    <x v="0"/>
    <x v="0"/>
    <n v="12100.73"/>
    <x v="2"/>
    <n v="2025"/>
    <x v="1"/>
    <m/>
    <m/>
    <m/>
    <m/>
    <m/>
  </r>
  <r>
    <x v="309"/>
    <n v="38"/>
    <x v="1"/>
    <x v="4"/>
    <d v="2025-05-05T00:00:00"/>
    <d v="2025-05-14T00:00:00"/>
    <n v="9"/>
    <x v="0"/>
    <n v="14"/>
    <x v="3"/>
    <x v="1"/>
    <n v="12067.46"/>
    <x v="6"/>
    <n v="2025"/>
    <x v="0"/>
    <m/>
    <m/>
    <m/>
    <m/>
    <m/>
  </r>
  <r>
    <x v="310"/>
    <n v="73"/>
    <x v="1"/>
    <x v="1"/>
    <d v="2025-11-19T00:00:00"/>
    <d v="2025-11-22T00:00:00"/>
    <n v="3"/>
    <x v="0"/>
    <n v="24"/>
    <x v="1"/>
    <x v="2"/>
    <n v="9086.9500000000007"/>
    <x v="0"/>
    <n v="2025"/>
    <x v="2"/>
    <m/>
    <m/>
    <m/>
    <m/>
    <m/>
  </r>
  <r>
    <x v="311"/>
    <n v="44"/>
    <x v="1"/>
    <x v="2"/>
    <d v="2025-07-19T00:00:00"/>
    <d v="2025-07-20T00:00:00"/>
    <n v="1"/>
    <x v="1"/>
    <n v="0"/>
    <x v="0"/>
    <x v="0"/>
    <n v="1975.4"/>
    <x v="5"/>
    <n v="2025"/>
    <x v="0"/>
    <m/>
    <m/>
    <m/>
    <m/>
    <m/>
  </r>
  <r>
    <x v="312"/>
    <n v="43"/>
    <x v="1"/>
    <x v="1"/>
    <d v="2025-10-02T00:00:00"/>
    <d v="2025-10-05T00:00:00"/>
    <n v="3"/>
    <x v="1"/>
    <n v="0"/>
    <x v="2"/>
    <x v="0"/>
    <n v="13008.23"/>
    <x v="1"/>
    <n v="2025"/>
    <x v="0"/>
    <m/>
    <m/>
    <m/>
    <m/>
    <m/>
  </r>
  <r>
    <x v="313"/>
    <n v="67"/>
    <x v="1"/>
    <x v="4"/>
    <d v="2025-09-28T00:00:00"/>
    <d v="2025-10-09T00:00:00"/>
    <n v="11"/>
    <x v="1"/>
    <n v="0"/>
    <x v="0"/>
    <x v="2"/>
    <n v="5603.78"/>
    <x v="7"/>
    <n v="2025"/>
    <x v="2"/>
    <m/>
    <m/>
    <m/>
    <m/>
    <m/>
  </r>
  <r>
    <x v="314"/>
    <n v="56"/>
    <x v="0"/>
    <x v="2"/>
    <d v="2025-08-23T00:00:00"/>
    <d v="2025-09-02T00:00:00"/>
    <n v="10"/>
    <x v="0"/>
    <n v="5"/>
    <x v="2"/>
    <x v="1"/>
    <n v="3959.3"/>
    <x v="11"/>
    <n v="2025"/>
    <x v="0"/>
    <m/>
    <m/>
    <m/>
    <m/>
    <m/>
  </r>
  <r>
    <x v="315"/>
    <n v="36"/>
    <x v="1"/>
    <x v="5"/>
    <d v="2025-03-01T00:00:00"/>
    <d v="2025-03-04T00:00:00"/>
    <n v="3"/>
    <x v="1"/>
    <n v="0"/>
    <x v="1"/>
    <x v="0"/>
    <n v="6063.79"/>
    <x v="3"/>
    <n v="2025"/>
    <x v="0"/>
    <m/>
    <m/>
    <m/>
    <m/>
    <m/>
  </r>
  <r>
    <x v="316"/>
    <n v="40"/>
    <x v="0"/>
    <x v="5"/>
    <d v="2025-04-06T00:00:00"/>
    <d v="2025-04-14T00:00:00"/>
    <n v="8"/>
    <x v="1"/>
    <n v="0"/>
    <x v="2"/>
    <x v="1"/>
    <n v="3212.93"/>
    <x v="8"/>
    <n v="2025"/>
    <x v="0"/>
    <m/>
    <m/>
    <m/>
    <m/>
    <m/>
  </r>
  <r>
    <x v="317"/>
    <n v="63"/>
    <x v="0"/>
    <x v="5"/>
    <d v="2025-08-19T00:00:00"/>
    <d v="2025-08-29T00:00:00"/>
    <n v="10"/>
    <x v="0"/>
    <n v="5"/>
    <x v="1"/>
    <x v="2"/>
    <n v="14475.52"/>
    <x v="11"/>
    <n v="2025"/>
    <x v="2"/>
    <m/>
    <m/>
    <m/>
    <m/>
    <m/>
  </r>
  <r>
    <x v="318"/>
    <n v="80"/>
    <x v="1"/>
    <x v="2"/>
    <d v="2025-09-16T00:00:00"/>
    <d v="2025-09-27T00:00:00"/>
    <n v="11"/>
    <x v="1"/>
    <n v="0"/>
    <x v="3"/>
    <x v="2"/>
    <n v="2925.18"/>
    <x v="7"/>
    <n v="2025"/>
    <x v="2"/>
    <m/>
    <m/>
    <m/>
    <m/>
    <m/>
  </r>
  <r>
    <x v="319"/>
    <n v="46"/>
    <x v="1"/>
    <x v="1"/>
    <d v="2025-10-17T00:00:00"/>
    <d v="2025-10-18T00:00:00"/>
    <n v="1"/>
    <x v="1"/>
    <n v="0"/>
    <x v="2"/>
    <x v="1"/>
    <n v="8295.32"/>
    <x v="1"/>
    <n v="2025"/>
    <x v="0"/>
    <m/>
    <m/>
    <m/>
    <m/>
    <m/>
  </r>
  <r>
    <x v="320"/>
    <n v="81"/>
    <x v="0"/>
    <x v="4"/>
    <d v="2025-03-28T00:00:00"/>
    <d v="2025-04-10T00:00:00"/>
    <n v="13"/>
    <x v="1"/>
    <n v="0"/>
    <x v="0"/>
    <x v="2"/>
    <n v="11739.14"/>
    <x v="3"/>
    <n v="2025"/>
    <x v="2"/>
    <m/>
    <m/>
    <m/>
    <m/>
    <m/>
  </r>
  <r>
    <x v="321"/>
    <n v="23"/>
    <x v="1"/>
    <x v="4"/>
    <d v="2025-07-07T00:00:00"/>
    <d v="2025-07-16T00:00:00"/>
    <n v="9"/>
    <x v="1"/>
    <n v="0"/>
    <x v="1"/>
    <x v="2"/>
    <n v="1985.04"/>
    <x v="5"/>
    <n v="2025"/>
    <x v="1"/>
    <m/>
    <m/>
    <m/>
    <m/>
    <m/>
  </r>
  <r>
    <x v="322"/>
    <n v="22"/>
    <x v="1"/>
    <x v="3"/>
    <d v="2025-12-01T00:00:00"/>
    <d v="2025-12-14T00:00:00"/>
    <n v="13"/>
    <x v="0"/>
    <n v="12"/>
    <x v="0"/>
    <x v="2"/>
    <n v="13046.71"/>
    <x v="10"/>
    <n v="2025"/>
    <x v="1"/>
    <m/>
    <m/>
    <m/>
    <m/>
    <m/>
  </r>
  <r>
    <x v="323"/>
    <n v="44"/>
    <x v="1"/>
    <x v="2"/>
    <d v="2025-03-02T00:00:00"/>
    <d v="2025-03-15T00:00:00"/>
    <n v="13"/>
    <x v="1"/>
    <n v="0"/>
    <x v="3"/>
    <x v="1"/>
    <n v="9434.19"/>
    <x v="3"/>
    <n v="2025"/>
    <x v="0"/>
    <m/>
    <m/>
    <m/>
    <m/>
    <m/>
  </r>
  <r>
    <x v="324"/>
    <n v="25"/>
    <x v="1"/>
    <x v="4"/>
    <d v="2025-04-16T00:00:00"/>
    <d v="2025-04-30T00:00:00"/>
    <n v="14"/>
    <x v="0"/>
    <n v="9"/>
    <x v="1"/>
    <x v="2"/>
    <n v="14695.5"/>
    <x v="8"/>
    <n v="2025"/>
    <x v="1"/>
    <m/>
    <m/>
    <m/>
    <m/>
    <m/>
  </r>
  <r>
    <x v="325"/>
    <n v="83"/>
    <x v="0"/>
    <x v="0"/>
    <d v="2025-05-30T00:00:00"/>
    <d v="2025-06-04T00:00:00"/>
    <n v="5"/>
    <x v="1"/>
    <n v="0"/>
    <x v="3"/>
    <x v="1"/>
    <n v="14891.05"/>
    <x v="6"/>
    <n v="2025"/>
    <x v="2"/>
    <m/>
    <m/>
    <m/>
    <m/>
    <m/>
  </r>
  <r>
    <x v="326"/>
    <n v="34"/>
    <x v="0"/>
    <x v="0"/>
    <d v="2025-12-02T00:00:00"/>
    <d v="2025-12-05T00:00:00"/>
    <n v="3"/>
    <x v="1"/>
    <n v="0"/>
    <x v="2"/>
    <x v="1"/>
    <n v="11541.37"/>
    <x v="10"/>
    <n v="2025"/>
    <x v="0"/>
    <m/>
    <m/>
    <m/>
    <m/>
    <m/>
  </r>
  <r>
    <x v="327"/>
    <n v="52"/>
    <x v="1"/>
    <x v="5"/>
    <d v="2025-12-13T00:00:00"/>
    <d v="2025-12-20T00:00:00"/>
    <n v="7"/>
    <x v="1"/>
    <n v="0"/>
    <x v="3"/>
    <x v="1"/>
    <n v="9687.6"/>
    <x v="10"/>
    <n v="2025"/>
    <x v="0"/>
    <m/>
    <m/>
    <m/>
    <m/>
    <m/>
  </r>
  <r>
    <x v="328"/>
    <n v="53"/>
    <x v="1"/>
    <x v="5"/>
    <d v="2025-02-17T00:00:00"/>
    <d v="2025-02-24T00:00:00"/>
    <n v="7"/>
    <x v="1"/>
    <n v="0"/>
    <x v="3"/>
    <x v="2"/>
    <n v="8938.36"/>
    <x v="4"/>
    <n v="2025"/>
    <x v="0"/>
    <m/>
    <m/>
    <m/>
    <m/>
    <m/>
  </r>
  <r>
    <x v="329"/>
    <n v="63"/>
    <x v="0"/>
    <x v="4"/>
    <d v="2025-02-17T00:00:00"/>
    <d v="2025-03-01T00:00:00"/>
    <n v="12"/>
    <x v="1"/>
    <n v="0"/>
    <x v="3"/>
    <x v="1"/>
    <n v="14537.86"/>
    <x v="4"/>
    <n v="2025"/>
    <x v="2"/>
    <m/>
    <m/>
    <m/>
    <m/>
    <m/>
  </r>
  <r>
    <x v="330"/>
    <n v="54"/>
    <x v="1"/>
    <x v="4"/>
    <d v="2025-04-19T00:00:00"/>
    <d v="2025-04-27T00:00:00"/>
    <n v="8"/>
    <x v="0"/>
    <n v="19"/>
    <x v="1"/>
    <x v="0"/>
    <n v="12860.13"/>
    <x v="8"/>
    <n v="2025"/>
    <x v="0"/>
    <m/>
    <m/>
    <m/>
    <m/>
    <m/>
  </r>
  <r>
    <x v="331"/>
    <n v="23"/>
    <x v="0"/>
    <x v="2"/>
    <d v="2025-06-25T00:00:00"/>
    <d v="2025-07-06T00:00:00"/>
    <n v="11"/>
    <x v="1"/>
    <n v="0"/>
    <x v="3"/>
    <x v="1"/>
    <n v="2301.44"/>
    <x v="9"/>
    <n v="2025"/>
    <x v="1"/>
    <m/>
    <m/>
    <m/>
    <m/>
    <m/>
  </r>
  <r>
    <x v="332"/>
    <n v="72"/>
    <x v="0"/>
    <x v="2"/>
    <d v="2025-03-22T00:00:00"/>
    <d v="2025-03-30T00:00:00"/>
    <n v="8"/>
    <x v="1"/>
    <n v="0"/>
    <x v="1"/>
    <x v="0"/>
    <n v="4877.05"/>
    <x v="3"/>
    <n v="2025"/>
    <x v="2"/>
    <m/>
    <m/>
    <m/>
    <m/>
    <m/>
  </r>
  <r>
    <x v="333"/>
    <n v="50"/>
    <x v="0"/>
    <x v="3"/>
    <d v="2025-05-21T00:00:00"/>
    <d v="2025-05-23T00:00:00"/>
    <n v="2"/>
    <x v="1"/>
    <n v="0"/>
    <x v="1"/>
    <x v="1"/>
    <n v="6246.95"/>
    <x v="6"/>
    <n v="2025"/>
    <x v="0"/>
    <m/>
    <m/>
    <m/>
    <m/>
    <m/>
  </r>
  <r>
    <x v="334"/>
    <n v="47"/>
    <x v="1"/>
    <x v="2"/>
    <d v="2025-06-06T00:00:00"/>
    <d v="2025-06-18T00:00:00"/>
    <n v="12"/>
    <x v="1"/>
    <n v="0"/>
    <x v="0"/>
    <x v="0"/>
    <n v="1880.16"/>
    <x v="9"/>
    <n v="2025"/>
    <x v="0"/>
    <m/>
    <m/>
    <m/>
    <m/>
    <m/>
  </r>
  <r>
    <x v="335"/>
    <n v="46"/>
    <x v="1"/>
    <x v="1"/>
    <d v="2025-04-20T00:00:00"/>
    <d v="2025-04-28T00:00:00"/>
    <n v="8"/>
    <x v="0"/>
    <n v="1"/>
    <x v="2"/>
    <x v="1"/>
    <n v="14828.25"/>
    <x v="8"/>
    <n v="2025"/>
    <x v="0"/>
    <m/>
    <m/>
    <m/>
    <m/>
    <m/>
  </r>
  <r>
    <x v="336"/>
    <n v="27"/>
    <x v="0"/>
    <x v="5"/>
    <d v="2025-08-05T00:00:00"/>
    <d v="2025-08-17T00:00:00"/>
    <n v="12"/>
    <x v="0"/>
    <n v="3"/>
    <x v="0"/>
    <x v="1"/>
    <n v="5043.6000000000004"/>
    <x v="11"/>
    <n v="2025"/>
    <x v="1"/>
    <m/>
    <m/>
    <m/>
    <m/>
    <m/>
  </r>
  <r>
    <x v="337"/>
    <n v="35"/>
    <x v="0"/>
    <x v="1"/>
    <d v="2025-06-03T00:00:00"/>
    <d v="2025-06-06T00:00:00"/>
    <n v="3"/>
    <x v="1"/>
    <n v="0"/>
    <x v="0"/>
    <x v="0"/>
    <n v="9925.2900000000009"/>
    <x v="9"/>
    <n v="2025"/>
    <x v="0"/>
    <m/>
    <m/>
    <m/>
    <m/>
    <m/>
  </r>
  <r>
    <x v="338"/>
    <n v="37"/>
    <x v="1"/>
    <x v="4"/>
    <d v="2025-08-14T00:00:00"/>
    <d v="2025-08-20T00:00:00"/>
    <n v="6"/>
    <x v="1"/>
    <n v="0"/>
    <x v="3"/>
    <x v="1"/>
    <n v="1756.98"/>
    <x v="11"/>
    <n v="2025"/>
    <x v="0"/>
    <m/>
    <m/>
    <m/>
    <m/>
    <m/>
  </r>
  <r>
    <x v="339"/>
    <n v="67"/>
    <x v="1"/>
    <x v="5"/>
    <d v="2025-02-21T00:00:00"/>
    <d v="2025-02-24T00:00:00"/>
    <n v="3"/>
    <x v="1"/>
    <n v="0"/>
    <x v="2"/>
    <x v="1"/>
    <n v="4092.9"/>
    <x v="4"/>
    <n v="2025"/>
    <x v="2"/>
    <m/>
    <m/>
    <m/>
    <m/>
    <m/>
  </r>
  <r>
    <x v="340"/>
    <n v="54"/>
    <x v="0"/>
    <x v="2"/>
    <d v="2025-11-27T00:00:00"/>
    <d v="2025-11-29T00:00:00"/>
    <n v="2"/>
    <x v="0"/>
    <n v="29"/>
    <x v="2"/>
    <x v="1"/>
    <n v="8007.36"/>
    <x v="0"/>
    <n v="2025"/>
    <x v="0"/>
    <m/>
    <m/>
    <m/>
    <m/>
    <m/>
  </r>
  <r>
    <x v="341"/>
    <n v="55"/>
    <x v="0"/>
    <x v="0"/>
    <d v="2025-09-18T00:00:00"/>
    <d v="2025-09-22T00:00:00"/>
    <n v="4"/>
    <x v="1"/>
    <n v="0"/>
    <x v="3"/>
    <x v="2"/>
    <n v="2134.7800000000002"/>
    <x v="7"/>
    <n v="2025"/>
    <x v="0"/>
    <m/>
    <m/>
    <m/>
    <m/>
    <m/>
  </r>
  <r>
    <x v="342"/>
    <n v="85"/>
    <x v="0"/>
    <x v="3"/>
    <d v="2025-09-13T00:00:00"/>
    <d v="2025-09-24T00:00:00"/>
    <n v="11"/>
    <x v="1"/>
    <n v="0"/>
    <x v="2"/>
    <x v="1"/>
    <n v="6109.15"/>
    <x v="7"/>
    <n v="2025"/>
    <x v="2"/>
    <m/>
    <m/>
    <m/>
    <m/>
    <m/>
  </r>
  <r>
    <x v="343"/>
    <n v="40"/>
    <x v="1"/>
    <x v="1"/>
    <d v="2025-10-19T00:00:00"/>
    <d v="2025-10-26T00:00:00"/>
    <n v="7"/>
    <x v="1"/>
    <n v="0"/>
    <x v="0"/>
    <x v="0"/>
    <n v="1479.22"/>
    <x v="1"/>
    <n v="2025"/>
    <x v="0"/>
    <m/>
    <m/>
    <m/>
    <m/>
    <m/>
  </r>
  <r>
    <x v="344"/>
    <n v="25"/>
    <x v="1"/>
    <x v="4"/>
    <d v="2025-05-15T00:00:00"/>
    <d v="2025-05-19T00:00:00"/>
    <n v="4"/>
    <x v="0"/>
    <n v="10"/>
    <x v="3"/>
    <x v="2"/>
    <n v="10676.25"/>
    <x v="6"/>
    <n v="2025"/>
    <x v="1"/>
    <m/>
    <m/>
    <m/>
    <m/>
    <m/>
  </r>
  <r>
    <x v="345"/>
    <n v="37"/>
    <x v="1"/>
    <x v="1"/>
    <d v="2025-02-12T00:00:00"/>
    <d v="2025-02-23T00:00:00"/>
    <n v="11"/>
    <x v="1"/>
    <n v="0"/>
    <x v="2"/>
    <x v="1"/>
    <n v="7913.92"/>
    <x v="4"/>
    <n v="2025"/>
    <x v="0"/>
    <m/>
    <m/>
    <m/>
    <m/>
    <m/>
  </r>
  <r>
    <x v="346"/>
    <n v="59"/>
    <x v="1"/>
    <x v="4"/>
    <d v="2025-04-15T00:00:00"/>
    <d v="2025-04-28T00:00:00"/>
    <n v="13"/>
    <x v="0"/>
    <n v="21"/>
    <x v="0"/>
    <x v="2"/>
    <n v="10630.8"/>
    <x v="8"/>
    <n v="2025"/>
    <x v="0"/>
    <m/>
    <m/>
    <m/>
    <m/>
    <m/>
  </r>
  <r>
    <x v="347"/>
    <n v="73"/>
    <x v="0"/>
    <x v="5"/>
    <d v="2025-05-03T00:00:00"/>
    <d v="2025-05-04T00:00:00"/>
    <n v="1"/>
    <x v="0"/>
    <n v="20"/>
    <x v="0"/>
    <x v="2"/>
    <n v="10158.15"/>
    <x v="6"/>
    <n v="2025"/>
    <x v="2"/>
    <m/>
    <m/>
    <m/>
    <m/>
    <m/>
  </r>
  <r>
    <x v="348"/>
    <n v="19"/>
    <x v="0"/>
    <x v="2"/>
    <d v="2025-12-03T00:00:00"/>
    <d v="2025-12-15T00:00:00"/>
    <n v="12"/>
    <x v="0"/>
    <n v="1"/>
    <x v="1"/>
    <x v="2"/>
    <n v="14318.73"/>
    <x v="10"/>
    <n v="2025"/>
    <x v="1"/>
    <m/>
    <m/>
    <m/>
    <m/>
    <m/>
  </r>
  <r>
    <x v="349"/>
    <n v="51"/>
    <x v="0"/>
    <x v="3"/>
    <d v="2025-09-25T00:00:00"/>
    <d v="2025-10-04T00:00:00"/>
    <n v="9"/>
    <x v="1"/>
    <n v="0"/>
    <x v="1"/>
    <x v="0"/>
    <n v="11826.3"/>
    <x v="7"/>
    <n v="2025"/>
    <x v="0"/>
    <m/>
    <m/>
    <m/>
    <m/>
    <m/>
  </r>
  <r>
    <x v="350"/>
    <n v="21"/>
    <x v="1"/>
    <x v="5"/>
    <d v="2025-05-18T00:00:00"/>
    <d v="2025-05-30T00:00:00"/>
    <n v="12"/>
    <x v="1"/>
    <n v="0"/>
    <x v="2"/>
    <x v="0"/>
    <n v="1426.14"/>
    <x v="6"/>
    <n v="2025"/>
    <x v="1"/>
    <m/>
    <m/>
    <m/>
    <m/>
    <m/>
  </r>
  <r>
    <x v="351"/>
    <n v="81"/>
    <x v="1"/>
    <x v="4"/>
    <d v="2025-12-31T00:00:00"/>
    <d v="2026-01-10T00:00:00"/>
    <n v="10"/>
    <x v="1"/>
    <n v="0"/>
    <x v="2"/>
    <x v="1"/>
    <n v="7744.35"/>
    <x v="10"/>
    <n v="2025"/>
    <x v="2"/>
    <m/>
    <m/>
    <m/>
    <m/>
    <m/>
  </r>
  <r>
    <x v="352"/>
    <n v="50"/>
    <x v="0"/>
    <x v="4"/>
    <d v="2025-10-18T00:00:00"/>
    <d v="2025-10-21T00:00:00"/>
    <n v="3"/>
    <x v="1"/>
    <n v="0"/>
    <x v="0"/>
    <x v="1"/>
    <n v="11241.31"/>
    <x v="1"/>
    <n v="2025"/>
    <x v="0"/>
    <m/>
    <m/>
    <m/>
    <m/>
    <m/>
  </r>
  <r>
    <x v="353"/>
    <n v="19"/>
    <x v="0"/>
    <x v="1"/>
    <d v="2025-01-02T00:00:00"/>
    <d v="2025-01-03T00:00:00"/>
    <n v="1"/>
    <x v="1"/>
    <n v="0"/>
    <x v="3"/>
    <x v="2"/>
    <n v="6053.2"/>
    <x v="2"/>
    <n v="2025"/>
    <x v="1"/>
    <m/>
    <m/>
    <m/>
    <m/>
    <m/>
  </r>
  <r>
    <x v="354"/>
    <n v="22"/>
    <x v="1"/>
    <x v="0"/>
    <d v="2025-03-18T00:00:00"/>
    <d v="2025-03-21T00:00:00"/>
    <n v="3"/>
    <x v="1"/>
    <n v="0"/>
    <x v="2"/>
    <x v="1"/>
    <n v="6535.72"/>
    <x v="3"/>
    <n v="2025"/>
    <x v="1"/>
    <m/>
    <m/>
    <m/>
    <m/>
    <m/>
  </r>
  <r>
    <x v="355"/>
    <n v="65"/>
    <x v="0"/>
    <x v="4"/>
    <d v="2025-06-13T00:00:00"/>
    <d v="2025-06-18T00:00:00"/>
    <n v="5"/>
    <x v="1"/>
    <n v="0"/>
    <x v="0"/>
    <x v="1"/>
    <n v="3736.18"/>
    <x v="9"/>
    <n v="2025"/>
    <x v="2"/>
    <m/>
    <m/>
    <m/>
    <m/>
    <m/>
  </r>
  <r>
    <x v="356"/>
    <n v="26"/>
    <x v="1"/>
    <x v="3"/>
    <d v="2025-09-22T00:00:00"/>
    <d v="2025-09-23T00:00:00"/>
    <n v="1"/>
    <x v="1"/>
    <n v="0"/>
    <x v="2"/>
    <x v="2"/>
    <n v="1752.59"/>
    <x v="7"/>
    <n v="2025"/>
    <x v="1"/>
    <m/>
    <m/>
    <m/>
    <m/>
    <m/>
  </r>
  <r>
    <x v="357"/>
    <n v="55"/>
    <x v="1"/>
    <x v="2"/>
    <d v="2025-08-22T00:00:00"/>
    <d v="2025-08-23T00:00:00"/>
    <n v="1"/>
    <x v="1"/>
    <n v="0"/>
    <x v="1"/>
    <x v="2"/>
    <n v="5839.97"/>
    <x v="11"/>
    <n v="2025"/>
    <x v="0"/>
    <m/>
    <m/>
    <m/>
    <m/>
    <m/>
  </r>
  <r>
    <x v="358"/>
    <n v="87"/>
    <x v="0"/>
    <x v="0"/>
    <d v="2025-09-10T00:00:00"/>
    <d v="2025-09-23T00:00:00"/>
    <n v="13"/>
    <x v="1"/>
    <n v="0"/>
    <x v="0"/>
    <x v="2"/>
    <n v="846.7"/>
    <x v="7"/>
    <n v="2025"/>
    <x v="2"/>
    <m/>
    <m/>
    <m/>
    <m/>
    <m/>
  </r>
  <r>
    <x v="359"/>
    <n v="19"/>
    <x v="1"/>
    <x v="1"/>
    <d v="2025-10-05T00:00:00"/>
    <d v="2025-10-11T00:00:00"/>
    <n v="6"/>
    <x v="1"/>
    <n v="0"/>
    <x v="3"/>
    <x v="0"/>
    <n v="11044.62"/>
    <x v="1"/>
    <n v="2025"/>
    <x v="1"/>
    <m/>
    <m/>
    <m/>
    <m/>
    <m/>
  </r>
  <r>
    <x v="360"/>
    <n v="48"/>
    <x v="1"/>
    <x v="5"/>
    <d v="2025-02-23T00:00:00"/>
    <d v="2025-02-27T00:00:00"/>
    <n v="4"/>
    <x v="1"/>
    <n v="0"/>
    <x v="0"/>
    <x v="1"/>
    <n v="10818.96"/>
    <x v="4"/>
    <n v="2025"/>
    <x v="0"/>
    <m/>
    <m/>
    <m/>
    <m/>
    <m/>
  </r>
  <r>
    <x v="361"/>
    <n v="84"/>
    <x v="1"/>
    <x v="2"/>
    <d v="2025-02-17T00:00:00"/>
    <d v="2025-02-18T00:00:00"/>
    <n v="1"/>
    <x v="1"/>
    <n v="0"/>
    <x v="2"/>
    <x v="2"/>
    <n v="14631.04"/>
    <x v="4"/>
    <n v="2025"/>
    <x v="2"/>
    <m/>
    <m/>
    <m/>
    <m/>
    <m/>
  </r>
  <r>
    <x v="362"/>
    <n v="35"/>
    <x v="1"/>
    <x v="1"/>
    <d v="2025-02-13T00:00:00"/>
    <d v="2025-02-23T00:00:00"/>
    <n v="10"/>
    <x v="0"/>
    <n v="19"/>
    <x v="0"/>
    <x v="2"/>
    <n v="10105.44"/>
    <x v="4"/>
    <n v="2025"/>
    <x v="0"/>
    <m/>
    <m/>
    <m/>
    <m/>
    <m/>
  </r>
  <r>
    <x v="363"/>
    <n v="58"/>
    <x v="1"/>
    <x v="2"/>
    <d v="2025-03-08T00:00:00"/>
    <d v="2025-03-12T00:00:00"/>
    <n v="4"/>
    <x v="0"/>
    <n v="27"/>
    <x v="2"/>
    <x v="2"/>
    <n v="7064.99"/>
    <x v="3"/>
    <n v="2025"/>
    <x v="0"/>
    <m/>
    <m/>
    <m/>
    <m/>
    <m/>
  </r>
  <r>
    <x v="364"/>
    <n v="35"/>
    <x v="0"/>
    <x v="0"/>
    <d v="2025-04-30T00:00:00"/>
    <d v="2025-05-02T00:00:00"/>
    <n v="2"/>
    <x v="1"/>
    <n v="0"/>
    <x v="0"/>
    <x v="1"/>
    <n v="7018.72"/>
    <x v="8"/>
    <n v="2025"/>
    <x v="0"/>
    <m/>
    <m/>
    <m/>
    <m/>
    <m/>
  </r>
  <r>
    <x v="365"/>
    <n v="63"/>
    <x v="0"/>
    <x v="5"/>
    <d v="2025-06-10T00:00:00"/>
    <d v="2025-06-17T00:00:00"/>
    <n v="7"/>
    <x v="0"/>
    <n v="10"/>
    <x v="3"/>
    <x v="2"/>
    <n v="12860.99"/>
    <x v="9"/>
    <n v="2025"/>
    <x v="2"/>
    <m/>
    <m/>
    <m/>
    <m/>
    <m/>
  </r>
  <r>
    <x v="366"/>
    <n v="56"/>
    <x v="0"/>
    <x v="0"/>
    <d v="2025-02-16T00:00:00"/>
    <d v="2025-02-19T00:00:00"/>
    <n v="3"/>
    <x v="1"/>
    <n v="0"/>
    <x v="2"/>
    <x v="1"/>
    <n v="1822.59"/>
    <x v="4"/>
    <n v="2025"/>
    <x v="0"/>
    <m/>
    <m/>
    <m/>
    <m/>
    <m/>
  </r>
  <r>
    <x v="367"/>
    <n v="24"/>
    <x v="1"/>
    <x v="3"/>
    <d v="2025-05-08T00:00:00"/>
    <d v="2025-05-14T00:00:00"/>
    <n v="6"/>
    <x v="1"/>
    <n v="0"/>
    <x v="1"/>
    <x v="1"/>
    <n v="14305.4"/>
    <x v="6"/>
    <n v="2025"/>
    <x v="1"/>
    <m/>
    <m/>
    <m/>
    <m/>
    <m/>
  </r>
  <r>
    <x v="368"/>
    <n v="49"/>
    <x v="0"/>
    <x v="5"/>
    <d v="2025-08-20T00:00:00"/>
    <d v="2025-08-29T00:00:00"/>
    <n v="9"/>
    <x v="1"/>
    <n v="0"/>
    <x v="0"/>
    <x v="1"/>
    <n v="2261.0700000000002"/>
    <x v="11"/>
    <n v="2025"/>
    <x v="0"/>
    <m/>
    <m/>
    <m/>
    <m/>
    <m/>
  </r>
  <r>
    <x v="369"/>
    <n v="46"/>
    <x v="0"/>
    <x v="0"/>
    <d v="2025-02-01T00:00:00"/>
    <d v="2025-02-15T00:00:00"/>
    <n v="14"/>
    <x v="1"/>
    <n v="0"/>
    <x v="3"/>
    <x v="2"/>
    <n v="10451.14"/>
    <x v="4"/>
    <n v="2025"/>
    <x v="0"/>
    <m/>
    <m/>
    <m/>
    <m/>
    <m/>
  </r>
  <r>
    <x v="370"/>
    <n v="51"/>
    <x v="0"/>
    <x v="1"/>
    <d v="2025-11-27T00:00:00"/>
    <d v="2025-11-29T00:00:00"/>
    <n v="2"/>
    <x v="1"/>
    <n v="0"/>
    <x v="0"/>
    <x v="1"/>
    <n v="13586.19"/>
    <x v="0"/>
    <n v="2025"/>
    <x v="0"/>
    <m/>
    <m/>
    <m/>
    <m/>
    <m/>
  </r>
  <r>
    <x v="371"/>
    <n v="60"/>
    <x v="0"/>
    <x v="1"/>
    <d v="2025-08-16T00:00:00"/>
    <d v="2025-08-29T00:00:00"/>
    <n v="13"/>
    <x v="0"/>
    <n v="15"/>
    <x v="0"/>
    <x v="1"/>
    <n v="13899.91"/>
    <x v="11"/>
    <n v="2025"/>
    <x v="2"/>
    <m/>
    <m/>
    <m/>
    <m/>
    <m/>
  </r>
  <r>
    <x v="372"/>
    <n v="81"/>
    <x v="0"/>
    <x v="5"/>
    <d v="2025-08-10T00:00:00"/>
    <d v="2025-08-24T00:00:00"/>
    <n v="14"/>
    <x v="1"/>
    <n v="0"/>
    <x v="3"/>
    <x v="1"/>
    <n v="5632.18"/>
    <x v="11"/>
    <n v="2025"/>
    <x v="2"/>
    <m/>
    <m/>
    <m/>
    <m/>
    <m/>
  </r>
  <r>
    <x v="373"/>
    <n v="37"/>
    <x v="0"/>
    <x v="4"/>
    <d v="2025-04-06T00:00:00"/>
    <d v="2025-04-11T00:00:00"/>
    <n v="5"/>
    <x v="0"/>
    <n v="20"/>
    <x v="1"/>
    <x v="0"/>
    <n v="4779.0200000000004"/>
    <x v="8"/>
    <n v="2025"/>
    <x v="0"/>
    <m/>
    <m/>
    <m/>
    <m/>
    <m/>
  </r>
  <r>
    <x v="374"/>
    <n v="29"/>
    <x v="1"/>
    <x v="5"/>
    <d v="2025-07-30T00:00:00"/>
    <d v="2025-08-08T00:00:00"/>
    <n v="9"/>
    <x v="1"/>
    <n v="0"/>
    <x v="1"/>
    <x v="2"/>
    <n v="3392.14"/>
    <x v="5"/>
    <n v="2025"/>
    <x v="1"/>
    <m/>
    <m/>
    <m/>
    <m/>
    <m/>
  </r>
  <r>
    <x v="375"/>
    <n v="87"/>
    <x v="0"/>
    <x v="5"/>
    <d v="2025-09-27T00:00:00"/>
    <d v="2025-10-01T00:00:00"/>
    <n v="4"/>
    <x v="1"/>
    <n v="0"/>
    <x v="2"/>
    <x v="2"/>
    <n v="8395.51"/>
    <x v="7"/>
    <n v="2025"/>
    <x v="2"/>
    <m/>
    <m/>
    <m/>
    <m/>
    <m/>
  </r>
  <r>
    <x v="376"/>
    <n v="82"/>
    <x v="1"/>
    <x v="5"/>
    <d v="2025-09-06T00:00:00"/>
    <d v="2025-09-12T00:00:00"/>
    <n v="6"/>
    <x v="1"/>
    <n v="0"/>
    <x v="2"/>
    <x v="1"/>
    <n v="877.91"/>
    <x v="7"/>
    <n v="2025"/>
    <x v="2"/>
    <m/>
    <m/>
    <m/>
    <m/>
    <m/>
  </r>
  <r>
    <x v="377"/>
    <n v="53"/>
    <x v="0"/>
    <x v="5"/>
    <d v="2025-11-02T00:00:00"/>
    <d v="2025-11-06T00:00:00"/>
    <n v="4"/>
    <x v="0"/>
    <n v="17"/>
    <x v="2"/>
    <x v="0"/>
    <n v="14994.28"/>
    <x v="0"/>
    <n v="2025"/>
    <x v="0"/>
    <m/>
    <m/>
    <m/>
    <m/>
    <m/>
  </r>
  <r>
    <x v="378"/>
    <n v="48"/>
    <x v="1"/>
    <x v="4"/>
    <d v="2025-03-23T00:00:00"/>
    <d v="2025-03-25T00:00:00"/>
    <n v="2"/>
    <x v="0"/>
    <n v="27"/>
    <x v="0"/>
    <x v="1"/>
    <n v="8847.5400000000009"/>
    <x v="3"/>
    <n v="2025"/>
    <x v="0"/>
    <m/>
    <m/>
    <m/>
    <m/>
    <m/>
  </r>
  <r>
    <x v="379"/>
    <n v="40"/>
    <x v="0"/>
    <x v="0"/>
    <d v="2025-07-18T00:00:00"/>
    <d v="2025-07-24T00:00:00"/>
    <n v="6"/>
    <x v="1"/>
    <n v="0"/>
    <x v="2"/>
    <x v="0"/>
    <n v="10615.59"/>
    <x v="5"/>
    <n v="2025"/>
    <x v="0"/>
    <m/>
    <m/>
    <m/>
    <m/>
    <m/>
  </r>
  <r>
    <x v="380"/>
    <n v="63"/>
    <x v="0"/>
    <x v="4"/>
    <d v="2025-10-30T00:00:00"/>
    <d v="2025-10-31T00:00:00"/>
    <n v="1"/>
    <x v="1"/>
    <n v="0"/>
    <x v="1"/>
    <x v="2"/>
    <n v="8360.81"/>
    <x v="1"/>
    <n v="2025"/>
    <x v="2"/>
    <m/>
    <m/>
    <m/>
    <m/>
    <m/>
  </r>
  <r>
    <x v="381"/>
    <n v="25"/>
    <x v="0"/>
    <x v="4"/>
    <d v="2025-03-31T00:00:00"/>
    <d v="2025-04-08T00:00:00"/>
    <n v="8"/>
    <x v="0"/>
    <n v="8"/>
    <x v="0"/>
    <x v="0"/>
    <n v="7430.84"/>
    <x v="3"/>
    <n v="2025"/>
    <x v="1"/>
    <m/>
    <m/>
    <m/>
    <m/>
    <m/>
  </r>
  <r>
    <x v="382"/>
    <n v="34"/>
    <x v="1"/>
    <x v="2"/>
    <d v="2025-06-19T00:00:00"/>
    <d v="2025-06-29T00:00:00"/>
    <n v="10"/>
    <x v="0"/>
    <n v="6"/>
    <x v="2"/>
    <x v="1"/>
    <n v="817.74"/>
    <x v="9"/>
    <n v="2025"/>
    <x v="0"/>
    <m/>
    <m/>
    <m/>
    <m/>
    <m/>
  </r>
  <r>
    <x v="383"/>
    <n v="32"/>
    <x v="1"/>
    <x v="1"/>
    <d v="2025-10-28T00:00:00"/>
    <d v="2025-11-09T00:00:00"/>
    <n v="12"/>
    <x v="1"/>
    <n v="0"/>
    <x v="2"/>
    <x v="0"/>
    <n v="14157.89"/>
    <x v="1"/>
    <n v="2025"/>
    <x v="0"/>
    <m/>
    <m/>
    <m/>
    <m/>
    <m/>
  </r>
  <r>
    <x v="384"/>
    <n v="56"/>
    <x v="1"/>
    <x v="0"/>
    <d v="2025-07-22T00:00:00"/>
    <d v="2025-08-01T00:00:00"/>
    <n v="10"/>
    <x v="0"/>
    <n v="6"/>
    <x v="3"/>
    <x v="0"/>
    <n v="14429.6"/>
    <x v="5"/>
    <n v="2025"/>
    <x v="0"/>
    <m/>
    <m/>
    <m/>
    <m/>
    <m/>
  </r>
  <r>
    <x v="385"/>
    <n v="89"/>
    <x v="1"/>
    <x v="0"/>
    <d v="2025-11-29T00:00:00"/>
    <d v="2025-12-05T00:00:00"/>
    <n v="6"/>
    <x v="0"/>
    <n v="22"/>
    <x v="1"/>
    <x v="2"/>
    <n v="4948.9399999999996"/>
    <x v="0"/>
    <n v="2025"/>
    <x v="2"/>
    <m/>
    <m/>
    <m/>
    <m/>
    <m/>
  </r>
  <r>
    <x v="386"/>
    <n v="18"/>
    <x v="1"/>
    <x v="4"/>
    <d v="2025-12-19T00:00:00"/>
    <d v="2025-12-24T00:00:00"/>
    <n v="5"/>
    <x v="0"/>
    <n v="2"/>
    <x v="1"/>
    <x v="0"/>
    <n v="5114.1499999999996"/>
    <x v="10"/>
    <n v="2025"/>
    <x v="1"/>
    <m/>
    <m/>
    <m/>
    <m/>
    <m/>
  </r>
  <r>
    <x v="387"/>
    <n v="31"/>
    <x v="1"/>
    <x v="0"/>
    <d v="2025-11-10T00:00:00"/>
    <d v="2025-11-14T00:00:00"/>
    <n v="4"/>
    <x v="1"/>
    <n v="0"/>
    <x v="2"/>
    <x v="0"/>
    <n v="1628.2"/>
    <x v="0"/>
    <n v="2025"/>
    <x v="0"/>
    <m/>
    <m/>
    <m/>
    <m/>
    <m/>
  </r>
  <r>
    <x v="388"/>
    <n v="29"/>
    <x v="1"/>
    <x v="5"/>
    <d v="2025-06-27T00:00:00"/>
    <d v="2025-07-03T00:00:00"/>
    <n v="6"/>
    <x v="0"/>
    <n v="1"/>
    <x v="2"/>
    <x v="1"/>
    <n v="4118.34"/>
    <x v="9"/>
    <n v="2025"/>
    <x v="1"/>
    <m/>
    <m/>
    <m/>
    <m/>
    <m/>
  </r>
  <r>
    <x v="389"/>
    <n v="31"/>
    <x v="0"/>
    <x v="1"/>
    <d v="2025-02-04T00:00:00"/>
    <d v="2025-02-10T00:00:00"/>
    <n v="6"/>
    <x v="0"/>
    <n v="13"/>
    <x v="3"/>
    <x v="0"/>
    <n v="6584.97"/>
    <x v="4"/>
    <n v="2025"/>
    <x v="0"/>
    <m/>
    <m/>
    <m/>
    <m/>
    <m/>
  </r>
  <r>
    <x v="390"/>
    <n v="66"/>
    <x v="1"/>
    <x v="4"/>
    <d v="2025-03-27T00:00:00"/>
    <d v="2025-04-03T00:00:00"/>
    <n v="7"/>
    <x v="1"/>
    <n v="0"/>
    <x v="3"/>
    <x v="1"/>
    <n v="12517.7"/>
    <x v="3"/>
    <n v="2025"/>
    <x v="2"/>
    <m/>
    <m/>
    <m/>
    <m/>
    <m/>
  </r>
  <r>
    <x v="391"/>
    <n v="46"/>
    <x v="0"/>
    <x v="5"/>
    <d v="2025-10-23T00:00:00"/>
    <d v="2025-11-03T00:00:00"/>
    <n v="11"/>
    <x v="1"/>
    <n v="0"/>
    <x v="0"/>
    <x v="1"/>
    <n v="4776.17"/>
    <x v="1"/>
    <n v="2025"/>
    <x v="0"/>
    <m/>
    <m/>
    <m/>
    <m/>
    <m/>
  </r>
  <r>
    <x v="392"/>
    <n v="27"/>
    <x v="1"/>
    <x v="0"/>
    <d v="2025-06-13T00:00:00"/>
    <d v="2025-06-18T00:00:00"/>
    <n v="5"/>
    <x v="1"/>
    <n v="0"/>
    <x v="3"/>
    <x v="1"/>
    <n v="11113.78"/>
    <x v="9"/>
    <n v="2025"/>
    <x v="1"/>
    <m/>
    <m/>
    <m/>
    <m/>
    <m/>
  </r>
  <r>
    <x v="393"/>
    <n v="79"/>
    <x v="0"/>
    <x v="5"/>
    <d v="2025-10-08T00:00:00"/>
    <d v="2025-10-10T00:00:00"/>
    <n v="2"/>
    <x v="1"/>
    <n v="0"/>
    <x v="1"/>
    <x v="0"/>
    <n v="13401.42"/>
    <x v="1"/>
    <n v="2025"/>
    <x v="2"/>
    <m/>
    <m/>
    <m/>
    <m/>
    <m/>
  </r>
  <r>
    <x v="394"/>
    <n v="44"/>
    <x v="0"/>
    <x v="5"/>
    <d v="2025-03-22T00:00:00"/>
    <d v="2025-03-23T00:00:00"/>
    <n v="1"/>
    <x v="0"/>
    <n v="23"/>
    <x v="2"/>
    <x v="0"/>
    <n v="4582.08"/>
    <x v="3"/>
    <n v="2025"/>
    <x v="0"/>
    <m/>
    <m/>
    <m/>
    <m/>
    <m/>
  </r>
  <r>
    <x v="395"/>
    <n v="88"/>
    <x v="1"/>
    <x v="0"/>
    <d v="2025-05-02T00:00:00"/>
    <d v="2025-05-04T00:00:00"/>
    <n v="2"/>
    <x v="0"/>
    <n v="2"/>
    <x v="2"/>
    <x v="1"/>
    <n v="6700.29"/>
    <x v="6"/>
    <n v="2025"/>
    <x v="2"/>
    <m/>
    <m/>
    <m/>
    <m/>
    <m/>
  </r>
  <r>
    <x v="396"/>
    <n v="79"/>
    <x v="0"/>
    <x v="1"/>
    <d v="2025-05-31T00:00:00"/>
    <d v="2025-06-14T00:00:00"/>
    <n v="14"/>
    <x v="1"/>
    <n v="0"/>
    <x v="0"/>
    <x v="1"/>
    <n v="2977.07"/>
    <x v="6"/>
    <n v="2025"/>
    <x v="2"/>
    <m/>
    <m/>
    <m/>
    <m/>
    <m/>
  </r>
  <r>
    <x v="397"/>
    <n v="32"/>
    <x v="1"/>
    <x v="5"/>
    <d v="2025-05-30T00:00:00"/>
    <d v="2025-06-01T00:00:00"/>
    <n v="2"/>
    <x v="1"/>
    <n v="0"/>
    <x v="3"/>
    <x v="2"/>
    <n v="13475.72"/>
    <x v="6"/>
    <n v="2025"/>
    <x v="0"/>
    <m/>
    <m/>
    <m/>
    <m/>
    <m/>
  </r>
  <r>
    <x v="398"/>
    <n v="67"/>
    <x v="0"/>
    <x v="3"/>
    <d v="2025-05-16T00:00:00"/>
    <d v="2025-05-18T00:00:00"/>
    <n v="2"/>
    <x v="1"/>
    <n v="0"/>
    <x v="3"/>
    <x v="2"/>
    <n v="3205.45"/>
    <x v="6"/>
    <n v="2025"/>
    <x v="2"/>
    <m/>
    <m/>
    <m/>
    <m/>
    <m/>
  </r>
  <r>
    <x v="399"/>
    <n v="51"/>
    <x v="0"/>
    <x v="3"/>
    <d v="2025-01-23T00:00:00"/>
    <d v="2025-01-28T00:00:00"/>
    <n v="5"/>
    <x v="1"/>
    <n v="0"/>
    <x v="0"/>
    <x v="1"/>
    <n v="11407.41"/>
    <x v="2"/>
    <n v="2025"/>
    <x v="0"/>
    <m/>
    <m/>
    <m/>
    <m/>
    <m/>
  </r>
  <r>
    <x v="400"/>
    <n v="62"/>
    <x v="1"/>
    <x v="4"/>
    <d v="2025-12-08T00:00:00"/>
    <d v="2025-12-10T00:00:00"/>
    <n v="2"/>
    <x v="0"/>
    <n v="8"/>
    <x v="0"/>
    <x v="2"/>
    <n v="12366.88"/>
    <x v="10"/>
    <n v="2025"/>
    <x v="2"/>
    <m/>
    <m/>
    <m/>
    <m/>
    <m/>
  </r>
  <r>
    <x v="401"/>
    <n v="78"/>
    <x v="0"/>
    <x v="5"/>
    <d v="2025-08-03T00:00:00"/>
    <d v="2025-08-12T00:00:00"/>
    <n v="9"/>
    <x v="1"/>
    <n v="0"/>
    <x v="2"/>
    <x v="1"/>
    <n v="6224.66"/>
    <x v="11"/>
    <n v="2025"/>
    <x v="2"/>
    <m/>
    <m/>
    <m/>
    <m/>
    <m/>
  </r>
  <r>
    <x v="402"/>
    <n v="84"/>
    <x v="0"/>
    <x v="1"/>
    <d v="2025-01-18T00:00:00"/>
    <d v="2025-01-27T00:00:00"/>
    <n v="9"/>
    <x v="1"/>
    <n v="0"/>
    <x v="3"/>
    <x v="1"/>
    <n v="14261.39"/>
    <x v="2"/>
    <n v="2025"/>
    <x v="2"/>
    <m/>
    <m/>
    <m/>
    <m/>
    <m/>
  </r>
  <r>
    <x v="403"/>
    <n v="34"/>
    <x v="0"/>
    <x v="5"/>
    <d v="2025-03-27T00:00:00"/>
    <d v="2025-03-31T00:00:00"/>
    <n v="4"/>
    <x v="1"/>
    <n v="0"/>
    <x v="0"/>
    <x v="0"/>
    <n v="6813.2"/>
    <x v="3"/>
    <n v="2025"/>
    <x v="0"/>
    <m/>
    <m/>
    <m/>
    <m/>
    <m/>
  </r>
  <r>
    <x v="404"/>
    <n v="51"/>
    <x v="1"/>
    <x v="2"/>
    <d v="2025-11-18T00:00:00"/>
    <d v="2025-11-21T00:00:00"/>
    <n v="3"/>
    <x v="1"/>
    <n v="0"/>
    <x v="0"/>
    <x v="1"/>
    <n v="6127.44"/>
    <x v="0"/>
    <n v="2025"/>
    <x v="0"/>
    <m/>
    <m/>
    <m/>
    <m/>
    <m/>
  </r>
  <r>
    <x v="405"/>
    <n v="53"/>
    <x v="1"/>
    <x v="1"/>
    <d v="2025-07-23T00:00:00"/>
    <d v="2025-08-01T00:00:00"/>
    <n v="9"/>
    <x v="1"/>
    <n v="0"/>
    <x v="3"/>
    <x v="1"/>
    <n v="6509.41"/>
    <x v="5"/>
    <n v="2025"/>
    <x v="0"/>
    <m/>
    <m/>
    <m/>
    <m/>
    <m/>
  </r>
  <r>
    <x v="406"/>
    <n v="30"/>
    <x v="0"/>
    <x v="4"/>
    <d v="2025-03-17T00:00:00"/>
    <d v="2025-03-27T00:00:00"/>
    <n v="10"/>
    <x v="1"/>
    <n v="0"/>
    <x v="0"/>
    <x v="2"/>
    <n v="13078.39"/>
    <x v="3"/>
    <n v="2025"/>
    <x v="0"/>
    <m/>
    <m/>
    <m/>
    <m/>
    <m/>
  </r>
  <r>
    <x v="407"/>
    <n v="80"/>
    <x v="1"/>
    <x v="1"/>
    <d v="2025-06-26T00:00:00"/>
    <d v="2025-07-03T00:00:00"/>
    <n v="7"/>
    <x v="0"/>
    <n v="6"/>
    <x v="2"/>
    <x v="2"/>
    <n v="2585.86"/>
    <x v="9"/>
    <n v="2025"/>
    <x v="2"/>
    <m/>
    <m/>
    <m/>
    <m/>
    <m/>
  </r>
  <r>
    <x v="408"/>
    <n v="22"/>
    <x v="1"/>
    <x v="3"/>
    <d v="2025-11-08T00:00:00"/>
    <d v="2025-11-19T00:00:00"/>
    <n v="11"/>
    <x v="1"/>
    <n v="0"/>
    <x v="1"/>
    <x v="1"/>
    <n v="11313.37"/>
    <x v="0"/>
    <n v="2025"/>
    <x v="1"/>
    <m/>
    <m/>
    <m/>
    <m/>
    <m/>
  </r>
  <r>
    <x v="409"/>
    <n v="56"/>
    <x v="1"/>
    <x v="3"/>
    <d v="2025-05-18T00:00:00"/>
    <d v="2025-05-24T00:00:00"/>
    <n v="6"/>
    <x v="0"/>
    <n v="27"/>
    <x v="3"/>
    <x v="0"/>
    <n v="10430.35"/>
    <x v="6"/>
    <n v="2025"/>
    <x v="0"/>
    <m/>
    <m/>
    <m/>
    <m/>
    <m/>
  </r>
  <r>
    <x v="410"/>
    <n v="74"/>
    <x v="1"/>
    <x v="3"/>
    <d v="2025-04-27T00:00:00"/>
    <d v="2025-04-30T00:00:00"/>
    <n v="3"/>
    <x v="1"/>
    <n v="0"/>
    <x v="3"/>
    <x v="0"/>
    <n v="9860.5400000000009"/>
    <x v="8"/>
    <n v="2025"/>
    <x v="2"/>
    <m/>
    <m/>
    <m/>
    <m/>
    <m/>
  </r>
  <r>
    <x v="411"/>
    <n v="70"/>
    <x v="1"/>
    <x v="4"/>
    <d v="2025-04-07T00:00:00"/>
    <d v="2025-04-15T00:00:00"/>
    <n v="8"/>
    <x v="0"/>
    <n v="28"/>
    <x v="2"/>
    <x v="1"/>
    <n v="7971.41"/>
    <x v="8"/>
    <n v="2025"/>
    <x v="2"/>
    <m/>
    <m/>
    <m/>
    <m/>
    <m/>
  </r>
  <r>
    <x v="412"/>
    <n v="82"/>
    <x v="1"/>
    <x v="0"/>
    <d v="2025-03-23T00:00:00"/>
    <d v="2025-03-25T00:00:00"/>
    <n v="2"/>
    <x v="1"/>
    <n v="0"/>
    <x v="0"/>
    <x v="1"/>
    <n v="3295.07"/>
    <x v="3"/>
    <n v="2025"/>
    <x v="2"/>
    <m/>
    <m/>
    <m/>
    <m/>
    <m/>
  </r>
  <r>
    <x v="413"/>
    <n v="22"/>
    <x v="1"/>
    <x v="1"/>
    <d v="2025-04-13T00:00:00"/>
    <d v="2025-04-27T00:00:00"/>
    <n v="14"/>
    <x v="0"/>
    <n v="30"/>
    <x v="2"/>
    <x v="0"/>
    <n v="3387.09"/>
    <x v="8"/>
    <n v="2025"/>
    <x v="1"/>
    <m/>
    <m/>
    <m/>
    <m/>
    <m/>
  </r>
  <r>
    <x v="414"/>
    <n v="68"/>
    <x v="0"/>
    <x v="2"/>
    <d v="2025-07-08T00:00:00"/>
    <d v="2025-07-22T00:00:00"/>
    <n v="14"/>
    <x v="1"/>
    <n v="0"/>
    <x v="0"/>
    <x v="1"/>
    <n v="5900.77"/>
    <x v="5"/>
    <n v="2025"/>
    <x v="2"/>
    <m/>
    <m/>
    <m/>
    <m/>
    <m/>
  </r>
  <r>
    <x v="415"/>
    <n v="78"/>
    <x v="1"/>
    <x v="3"/>
    <d v="2025-11-01T00:00:00"/>
    <d v="2025-11-09T00:00:00"/>
    <n v="8"/>
    <x v="0"/>
    <n v="6"/>
    <x v="2"/>
    <x v="0"/>
    <n v="12547.62"/>
    <x v="0"/>
    <n v="2025"/>
    <x v="2"/>
    <m/>
    <m/>
    <m/>
    <m/>
    <m/>
  </r>
  <r>
    <x v="416"/>
    <n v="24"/>
    <x v="0"/>
    <x v="4"/>
    <d v="2025-02-16T00:00:00"/>
    <d v="2025-02-21T00:00:00"/>
    <n v="5"/>
    <x v="0"/>
    <n v="25"/>
    <x v="1"/>
    <x v="1"/>
    <n v="9887.01"/>
    <x v="4"/>
    <n v="2025"/>
    <x v="1"/>
    <m/>
    <m/>
    <m/>
    <m/>
    <m/>
  </r>
  <r>
    <x v="417"/>
    <n v="70"/>
    <x v="0"/>
    <x v="2"/>
    <d v="2025-12-13T00:00:00"/>
    <d v="2025-12-17T00:00:00"/>
    <n v="4"/>
    <x v="0"/>
    <n v="1"/>
    <x v="3"/>
    <x v="1"/>
    <n v="9886.89"/>
    <x v="10"/>
    <n v="2025"/>
    <x v="2"/>
    <m/>
    <m/>
    <m/>
    <m/>
    <m/>
  </r>
  <r>
    <x v="418"/>
    <n v="50"/>
    <x v="1"/>
    <x v="2"/>
    <d v="2025-11-04T00:00:00"/>
    <d v="2025-11-17T00:00:00"/>
    <n v="13"/>
    <x v="0"/>
    <n v="23"/>
    <x v="2"/>
    <x v="2"/>
    <n v="13484.5"/>
    <x v="0"/>
    <n v="2025"/>
    <x v="0"/>
    <m/>
    <m/>
    <m/>
    <m/>
    <m/>
  </r>
  <r>
    <x v="419"/>
    <n v="77"/>
    <x v="1"/>
    <x v="2"/>
    <d v="2025-06-28T00:00:00"/>
    <d v="2025-07-06T00:00:00"/>
    <n v="8"/>
    <x v="0"/>
    <n v="17"/>
    <x v="3"/>
    <x v="0"/>
    <n v="1983.53"/>
    <x v="9"/>
    <n v="2025"/>
    <x v="2"/>
    <m/>
    <m/>
    <m/>
    <m/>
    <m/>
  </r>
  <r>
    <x v="420"/>
    <n v="65"/>
    <x v="1"/>
    <x v="3"/>
    <d v="2025-09-19T00:00:00"/>
    <d v="2025-09-30T00:00:00"/>
    <n v="11"/>
    <x v="1"/>
    <n v="0"/>
    <x v="0"/>
    <x v="2"/>
    <n v="1425.64"/>
    <x v="7"/>
    <n v="2025"/>
    <x v="2"/>
    <m/>
    <m/>
    <m/>
    <m/>
    <m/>
  </r>
  <r>
    <x v="421"/>
    <n v="53"/>
    <x v="1"/>
    <x v="2"/>
    <d v="2025-05-22T00:00:00"/>
    <d v="2025-06-02T00:00:00"/>
    <n v="11"/>
    <x v="1"/>
    <n v="0"/>
    <x v="2"/>
    <x v="1"/>
    <n v="2673.97"/>
    <x v="6"/>
    <n v="2025"/>
    <x v="0"/>
    <m/>
    <m/>
    <m/>
    <m/>
    <m/>
  </r>
  <r>
    <x v="422"/>
    <n v="69"/>
    <x v="1"/>
    <x v="2"/>
    <d v="2025-05-04T00:00:00"/>
    <d v="2025-05-05T00:00:00"/>
    <n v="1"/>
    <x v="1"/>
    <n v="0"/>
    <x v="1"/>
    <x v="0"/>
    <n v="869.1"/>
    <x v="6"/>
    <n v="2025"/>
    <x v="2"/>
    <m/>
    <m/>
    <m/>
    <m/>
    <m/>
  </r>
  <r>
    <x v="423"/>
    <n v="71"/>
    <x v="1"/>
    <x v="5"/>
    <d v="2025-09-12T00:00:00"/>
    <d v="2025-09-17T00:00:00"/>
    <n v="5"/>
    <x v="0"/>
    <n v="24"/>
    <x v="0"/>
    <x v="0"/>
    <n v="10767"/>
    <x v="7"/>
    <n v="2025"/>
    <x v="2"/>
    <m/>
    <m/>
    <m/>
    <m/>
    <m/>
  </r>
  <r>
    <x v="424"/>
    <n v="46"/>
    <x v="1"/>
    <x v="2"/>
    <d v="2025-10-20T00:00:00"/>
    <d v="2025-11-03T00:00:00"/>
    <n v="14"/>
    <x v="0"/>
    <n v="12"/>
    <x v="2"/>
    <x v="1"/>
    <n v="12689.26"/>
    <x v="1"/>
    <n v="2025"/>
    <x v="0"/>
    <m/>
    <m/>
    <m/>
    <m/>
    <m/>
  </r>
  <r>
    <x v="425"/>
    <n v="78"/>
    <x v="0"/>
    <x v="2"/>
    <d v="2025-10-13T00:00:00"/>
    <d v="2025-10-16T00:00:00"/>
    <n v="3"/>
    <x v="0"/>
    <n v="9"/>
    <x v="1"/>
    <x v="0"/>
    <n v="13544.07"/>
    <x v="1"/>
    <n v="2025"/>
    <x v="2"/>
    <m/>
    <m/>
    <m/>
    <m/>
    <m/>
  </r>
  <r>
    <x v="426"/>
    <n v="46"/>
    <x v="1"/>
    <x v="5"/>
    <d v="2025-12-02T00:00:00"/>
    <d v="2025-12-04T00:00:00"/>
    <n v="2"/>
    <x v="0"/>
    <n v="26"/>
    <x v="2"/>
    <x v="2"/>
    <n v="4278.1099999999997"/>
    <x v="10"/>
    <n v="2025"/>
    <x v="0"/>
    <m/>
    <m/>
    <m/>
    <m/>
    <m/>
  </r>
  <r>
    <x v="427"/>
    <n v="78"/>
    <x v="0"/>
    <x v="2"/>
    <d v="2025-05-31T00:00:00"/>
    <d v="2025-06-08T00:00:00"/>
    <n v="8"/>
    <x v="1"/>
    <n v="0"/>
    <x v="0"/>
    <x v="2"/>
    <n v="13396.68"/>
    <x v="6"/>
    <n v="2025"/>
    <x v="2"/>
    <m/>
    <m/>
    <m/>
    <m/>
    <m/>
  </r>
  <r>
    <x v="428"/>
    <n v="66"/>
    <x v="1"/>
    <x v="5"/>
    <d v="2025-09-14T00:00:00"/>
    <d v="2025-09-16T00:00:00"/>
    <n v="2"/>
    <x v="1"/>
    <n v="0"/>
    <x v="0"/>
    <x v="1"/>
    <n v="2491.8000000000002"/>
    <x v="7"/>
    <n v="2025"/>
    <x v="2"/>
    <m/>
    <m/>
    <m/>
    <m/>
    <m/>
  </r>
  <r>
    <x v="429"/>
    <n v="90"/>
    <x v="1"/>
    <x v="0"/>
    <d v="2025-04-13T00:00:00"/>
    <d v="2025-04-19T00:00:00"/>
    <n v="6"/>
    <x v="1"/>
    <n v="0"/>
    <x v="2"/>
    <x v="0"/>
    <n v="3115.17"/>
    <x v="8"/>
    <n v="2025"/>
    <x v="2"/>
    <m/>
    <m/>
    <m/>
    <m/>
    <m/>
  </r>
  <r>
    <x v="430"/>
    <n v="40"/>
    <x v="1"/>
    <x v="2"/>
    <d v="2025-02-11T00:00:00"/>
    <d v="2025-02-19T00:00:00"/>
    <n v="8"/>
    <x v="1"/>
    <n v="0"/>
    <x v="0"/>
    <x v="1"/>
    <n v="7054.77"/>
    <x v="4"/>
    <n v="2025"/>
    <x v="0"/>
    <m/>
    <m/>
    <m/>
    <m/>
    <m/>
  </r>
  <r>
    <x v="431"/>
    <n v="38"/>
    <x v="1"/>
    <x v="1"/>
    <d v="2025-04-18T00:00:00"/>
    <d v="2025-05-01T00:00:00"/>
    <n v="13"/>
    <x v="1"/>
    <n v="0"/>
    <x v="1"/>
    <x v="0"/>
    <n v="6788.82"/>
    <x v="8"/>
    <n v="2025"/>
    <x v="0"/>
    <m/>
    <m/>
    <m/>
    <m/>
    <m/>
  </r>
  <r>
    <x v="432"/>
    <n v="79"/>
    <x v="1"/>
    <x v="1"/>
    <d v="2025-08-08T00:00:00"/>
    <d v="2025-08-15T00:00:00"/>
    <n v="7"/>
    <x v="1"/>
    <n v="0"/>
    <x v="0"/>
    <x v="0"/>
    <n v="3391.51"/>
    <x v="11"/>
    <n v="2025"/>
    <x v="2"/>
    <m/>
    <m/>
    <m/>
    <m/>
    <m/>
  </r>
  <r>
    <x v="433"/>
    <n v="85"/>
    <x v="0"/>
    <x v="1"/>
    <d v="2025-07-11T00:00:00"/>
    <d v="2025-07-12T00:00:00"/>
    <n v="1"/>
    <x v="1"/>
    <n v="0"/>
    <x v="0"/>
    <x v="0"/>
    <n v="11137.25"/>
    <x v="5"/>
    <n v="2025"/>
    <x v="2"/>
    <m/>
    <m/>
    <m/>
    <m/>
    <m/>
  </r>
  <r>
    <x v="434"/>
    <n v="57"/>
    <x v="0"/>
    <x v="1"/>
    <d v="2025-04-26T00:00:00"/>
    <d v="2025-05-08T00:00:00"/>
    <n v="12"/>
    <x v="1"/>
    <n v="0"/>
    <x v="3"/>
    <x v="0"/>
    <n v="9035.7199999999993"/>
    <x v="8"/>
    <n v="2025"/>
    <x v="0"/>
    <m/>
    <m/>
    <m/>
    <m/>
    <m/>
  </r>
  <r>
    <x v="435"/>
    <n v="56"/>
    <x v="1"/>
    <x v="5"/>
    <d v="2025-03-27T00:00:00"/>
    <d v="2025-03-29T00:00:00"/>
    <n v="2"/>
    <x v="1"/>
    <n v="0"/>
    <x v="2"/>
    <x v="2"/>
    <n v="13375.62"/>
    <x v="3"/>
    <n v="2025"/>
    <x v="0"/>
    <m/>
    <m/>
    <m/>
    <m/>
    <m/>
  </r>
  <r>
    <x v="436"/>
    <n v="80"/>
    <x v="1"/>
    <x v="0"/>
    <d v="2025-03-10T00:00:00"/>
    <d v="2025-03-16T00:00:00"/>
    <n v="6"/>
    <x v="1"/>
    <n v="0"/>
    <x v="1"/>
    <x v="2"/>
    <n v="777.31"/>
    <x v="3"/>
    <n v="2025"/>
    <x v="2"/>
    <m/>
    <m/>
    <m/>
    <m/>
    <m/>
  </r>
  <r>
    <x v="437"/>
    <n v="45"/>
    <x v="0"/>
    <x v="4"/>
    <d v="2025-04-25T00:00:00"/>
    <d v="2025-05-07T00:00:00"/>
    <n v="12"/>
    <x v="1"/>
    <n v="0"/>
    <x v="1"/>
    <x v="1"/>
    <n v="5815.58"/>
    <x v="8"/>
    <n v="2025"/>
    <x v="0"/>
    <m/>
    <m/>
    <m/>
    <m/>
    <m/>
  </r>
  <r>
    <x v="438"/>
    <n v="50"/>
    <x v="0"/>
    <x v="4"/>
    <d v="2025-11-30T00:00:00"/>
    <d v="2025-12-13T00:00:00"/>
    <n v="13"/>
    <x v="0"/>
    <n v="2"/>
    <x v="0"/>
    <x v="0"/>
    <n v="12623.74"/>
    <x v="0"/>
    <n v="2025"/>
    <x v="0"/>
    <m/>
    <m/>
    <m/>
    <m/>
    <m/>
  </r>
  <r>
    <x v="439"/>
    <n v="74"/>
    <x v="1"/>
    <x v="1"/>
    <d v="2025-01-25T00:00:00"/>
    <d v="2025-02-06T00:00:00"/>
    <n v="12"/>
    <x v="0"/>
    <n v="18"/>
    <x v="2"/>
    <x v="2"/>
    <n v="10677.09"/>
    <x v="2"/>
    <n v="2025"/>
    <x v="2"/>
    <m/>
    <m/>
    <m/>
    <m/>
    <m/>
  </r>
  <r>
    <x v="440"/>
    <n v="19"/>
    <x v="1"/>
    <x v="5"/>
    <d v="2025-04-16T00:00:00"/>
    <d v="2025-04-28T00:00:00"/>
    <n v="12"/>
    <x v="1"/>
    <n v="0"/>
    <x v="0"/>
    <x v="0"/>
    <n v="8044.48"/>
    <x v="8"/>
    <n v="2025"/>
    <x v="1"/>
    <m/>
    <m/>
    <m/>
    <m/>
    <m/>
  </r>
  <r>
    <x v="441"/>
    <n v="71"/>
    <x v="0"/>
    <x v="4"/>
    <d v="2025-11-15T00:00:00"/>
    <d v="2025-11-25T00:00:00"/>
    <n v="10"/>
    <x v="1"/>
    <n v="0"/>
    <x v="0"/>
    <x v="2"/>
    <n v="2153.1799999999998"/>
    <x v="0"/>
    <n v="2025"/>
    <x v="2"/>
    <m/>
    <m/>
    <m/>
    <m/>
    <m/>
  </r>
  <r>
    <x v="442"/>
    <n v="43"/>
    <x v="1"/>
    <x v="4"/>
    <d v="2025-02-24T00:00:00"/>
    <d v="2025-03-04T00:00:00"/>
    <n v="8"/>
    <x v="0"/>
    <n v="7"/>
    <x v="2"/>
    <x v="0"/>
    <n v="6441.47"/>
    <x v="4"/>
    <n v="2025"/>
    <x v="0"/>
    <m/>
    <m/>
    <m/>
    <m/>
    <m/>
  </r>
  <r>
    <x v="443"/>
    <n v="44"/>
    <x v="1"/>
    <x v="3"/>
    <d v="2025-03-24T00:00:00"/>
    <d v="2025-03-25T00:00:00"/>
    <n v="1"/>
    <x v="1"/>
    <n v="0"/>
    <x v="1"/>
    <x v="1"/>
    <n v="684.87"/>
    <x v="3"/>
    <n v="2025"/>
    <x v="0"/>
    <m/>
    <m/>
    <m/>
    <m/>
    <m/>
  </r>
  <r>
    <x v="444"/>
    <n v="81"/>
    <x v="0"/>
    <x v="1"/>
    <d v="2025-02-15T00:00:00"/>
    <d v="2025-02-17T00:00:00"/>
    <n v="2"/>
    <x v="1"/>
    <n v="0"/>
    <x v="0"/>
    <x v="0"/>
    <n v="10991.86"/>
    <x v="4"/>
    <n v="2025"/>
    <x v="2"/>
    <m/>
    <m/>
    <m/>
    <m/>
    <m/>
  </r>
  <r>
    <x v="445"/>
    <n v="55"/>
    <x v="1"/>
    <x v="5"/>
    <d v="2025-05-12T00:00:00"/>
    <d v="2025-05-23T00:00:00"/>
    <n v="11"/>
    <x v="0"/>
    <n v="2"/>
    <x v="0"/>
    <x v="1"/>
    <n v="13175.04"/>
    <x v="6"/>
    <n v="2025"/>
    <x v="0"/>
    <m/>
    <m/>
    <m/>
    <m/>
    <m/>
  </r>
  <r>
    <x v="446"/>
    <n v="58"/>
    <x v="1"/>
    <x v="2"/>
    <d v="2025-05-29T00:00:00"/>
    <d v="2025-06-04T00:00:00"/>
    <n v="6"/>
    <x v="1"/>
    <n v="0"/>
    <x v="0"/>
    <x v="1"/>
    <n v="12843.07"/>
    <x v="6"/>
    <n v="2025"/>
    <x v="0"/>
    <m/>
    <m/>
    <m/>
    <m/>
    <m/>
  </r>
  <r>
    <x v="447"/>
    <n v="39"/>
    <x v="1"/>
    <x v="3"/>
    <d v="2025-01-24T00:00:00"/>
    <d v="2025-01-25T00:00:00"/>
    <n v="1"/>
    <x v="1"/>
    <n v="0"/>
    <x v="3"/>
    <x v="0"/>
    <n v="4390.49"/>
    <x v="2"/>
    <n v="2025"/>
    <x v="0"/>
    <m/>
    <m/>
    <m/>
    <m/>
    <m/>
  </r>
  <r>
    <x v="448"/>
    <n v="41"/>
    <x v="0"/>
    <x v="5"/>
    <d v="2025-02-17T00:00:00"/>
    <d v="2025-02-23T00:00:00"/>
    <n v="6"/>
    <x v="1"/>
    <n v="0"/>
    <x v="3"/>
    <x v="2"/>
    <n v="4441.58"/>
    <x v="4"/>
    <n v="2025"/>
    <x v="0"/>
    <m/>
    <m/>
    <m/>
    <m/>
    <m/>
  </r>
  <r>
    <x v="449"/>
    <n v="71"/>
    <x v="0"/>
    <x v="1"/>
    <d v="2025-07-17T00:00:00"/>
    <d v="2025-07-29T00:00:00"/>
    <n v="12"/>
    <x v="1"/>
    <n v="0"/>
    <x v="1"/>
    <x v="0"/>
    <n v="11032.96"/>
    <x v="5"/>
    <n v="2025"/>
    <x v="2"/>
    <m/>
    <m/>
    <m/>
    <m/>
    <m/>
  </r>
  <r>
    <x v="450"/>
    <n v="79"/>
    <x v="1"/>
    <x v="0"/>
    <d v="2025-03-23T00:00:00"/>
    <d v="2025-03-25T00:00:00"/>
    <n v="2"/>
    <x v="1"/>
    <n v="0"/>
    <x v="3"/>
    <x v="2"/>
    <n v="9364.7000000000007"/>
    <x v="3"/>
    <n v="2025"/>
    <x v="2"/>
    <m/>
    <m/>
    <m/>
    <m/>
    <m/>
  </r>
  <r>
    <x v="451"/>
    <n v="34"/>
    <x v="1"/>
    <x v="5"/>
    <d v="2025-12-17T00:00:00"/>
    <d v="2025-12-31T00:00:00"/>
    <n v="14"/>
    <x v="1"/>
    <n v="0"/>
    <x v="0"/>
    <x v="2"/>
    <n v="6889.97"/>
    <x v="10"/>
    <n v="2025"/>
    <x v="0"/>
    <m/>
    <m/>
    <m/>
    <m/>
    <m/>
  </r>
  <r>
    <x v="452"/>
    <n v="19"/>
    <x v="0"/>
    <x v="2"/>
    <d v="2025-02-02T00:00:00"/>
    <d v="2025-02-07T00:00:00"/>
    <n v="5"/>
    <x v="1"/>
    <n v="0"/>
    <x v="2"/>
    <x v="0"/>
    <n v="8085"/>
    <x v="4"/>
    <n v="2025"/>
    <x v="1"/>
    <m/>
    <m/>
    <m/>
    <m/>
    <m/>
  </r>
  <r>
    <x v="453"/>
    <n v="49"/>
    <x v="1"/>
    <x v="3"/>
    <d v="2025-12-25T00:00:00"/>
    <d v="2026-01-04T00:00:00"/>
    <n v="10"/>
    <x v="0"/>
    <n v="22"/>
    <x v="3"/>
    <x v="1"/>
    <n v="12665.98"/>
    <x v="10"/>
    <n v="2025"/>
    <x v="0"/>
    <m/>
    <m/>
    <m/>
    <m/>
    <m/>
  </r>
  <r>
    <x v="454"/>
    <n v="38"/>
    <x v="1"/>
    <x v="5"/>
    <d v="2025-10-13T00:00:00"/>
    <d v="2025-10-23T00:00:00"/>
    <n v="10"/>
    <x v="0"/>
    <n v="28"/>
    <x v="1"/>
    <x v="1"/>
    <n v="11395.74"/>
    <x v="1"/>
    <n v="2025"/>
    <x v="0"/>
    <m/>
    <m/>
    <m/>
    <m/>
    <m/>
  </r>
  <r>
    <x v="455"/>
    <n v="53"/>
    <x v="0"/>
    <x v="4"/>
    <d v="2025-06-14T00:00:00"/>
    <d v="2025-06-18T00:00:00"/>
    <n v="4"/>
    <x v="1"/>
    <n v="0"/>
    <x v="1"/>
    <x v="0"/>
    <n v="9828.1"/>
    <x v="9"/>
    <n v="2025"/>
    <x v="0"/>
    <m/>
    <m/>
    <m/>
    <m/>
    <m/>
  </r>
  <r>
    <x v="456"/>
    <n v="76"/>
    <x v="1"/>
    <x v="4"/>
    <d v="2025-07-26T00:00:00"/>
    <d v="2025-08-09T00:00:00"/>
    <n v="14"/>
    <x v="0"/>
    <n v="15"/>
    <x v="0"/>
    <x v="2"/>
    <n v="6982.49"/>
    <x v="5"/>
    <n v="2025"/>
    <x v="2"/>
    <m/>
    <m/>
    <m/>
    <m/>
    <m/>
  </r>
  <r>
    <x v="457"/>
    <n v="20"/>
    <x v="0"/>
    <x v="5"/>
    <d v="2025-03-02T00:00:00"/>
    <d v="2025-03-10T00:00:00"/>
    <n v="8"/>
    <x v="1"/>
    <n v="0"/>
    <x v="3"/>
    <x v="1"/>
    <n v="8578.4"/>
    <x v="3"/>
    <n v="2025"/>
    <x v="1"/>
    <m/>
    <m/>
    <m/>
    <m/>
    <m/>
  </r>
  <r>
    <x v="458"/>
    <n v="56"/>
    <x v="0"/>
    <x v="2"/>
    <d v="2025-01-01T00:00:00"/>
    <d v="2025-01-15T00:00:00"/>
    <n v="14"/>
    <x v="0"/>
    <n v="22"/>
    <x v="3"/>
    <x v="2"/>
    <n v="5768.47"/>
    <x v="2"/>
    <n v="2025"/>
    <x v="0"/>
    <m/>
    <m/>
    <m/>
    <m/>
    <m/>
  </r>
  <r>
    <x v="459"/>
    <n v="76"/>
    <x v="1"/>
    <x v="4"/>
    <d v="2025-01-28T00:00:00"/>
    <d v="2025-02-11T00:00:00"/>
    <n v="14"/>
    <x v="0"/>
    <n v="25"/>
    <x v="3"/>
    <x v="0"/>
    <n v="10028.92"/>
    <x v="2"/>
    <n v="2025"/>
    <x v="2"/>
    <m/>
    <m/>
    <m/>
    <m/>
    <m/>
  </r>
  <r>
    <x v="460"/>
    <n v="46"/>
    <x v="0"/>
    <x v="3"/>
    <d v="2025-08-20T00:00:00"/>
    <d v="2025-08-22T00:00:00"/>
    <n v="2"/>
    <x v="0"/>
    <n v="12"/>
    <x v="2"/>
    <x v="0"/>
    <n v="8068.78"/>
    <x v="11"/>
    <n v="2025"/>
    <x v="0"/>
    <m/>
    <m/>
    <m/>
    <m/>
    <m/>
  </r>
  <r>
    <x v="461"/>
    <n v="39"/>
    <x v="1"/>
    <x v="0"/>
    <d v="2025-12-26T00:00:00"/>
    <d v="2025-12-28T00:00:00"/>
    <n v="2"/>
    <x v="0"/>
    <n v="27"/>
    <x v="3"/>
    <x v="1"/>
    <n v="4187.2"/>
    <x v="10"/>
    <n v="2025"/>
    <x v="0"/>
    <m/>
    <m/>
    <m/>
    <m/>
    <m/>
  </r>
  <r>
    <x v="462"/>
    <n v="68"/>
    <x v="0"/>
    <x v="5"/>
    <d v="2025-04-11T00:00:00"/>
    <d v="2025-04-15T00:00:00"/>
    <n v="4"/>
    <x v="0"/>
    <n v="27"/>
    <x v="1"/>
    <x v="0"/>
    <n v="5400.04"/>
    <x v="8"/>
    <n v="2025"/>
    <x v="2"/>
    <m/>
    <m/>
    <m/>
    <m/>
    <m/>
  </r>
  <r>
    <x v="463"/>
    <n v="33"/>
    <x v="1"/>
    <x v="5"/>
    <d v="2025-08-01T00:00:00"/>
    <d v="2025-08-02T00:00:00"/>
    <n v="1"/>
    <x v="1"/>
    <n v="0"/>
    <x v="1"/>
    <x v="2"/>
    <n v="562.9"/>
    <x v="11"/>
    <n v="2025"/>
    <x v="0"/>
    <m/>
    <m/>
    <m/>
    <m/>
    <m/>
  </r>
  <r>
    <x v="464"/>
    <n v="79"/>
    <x v="0"/>
    <x v="2"/>
    <d v="2025-01-25T00:00:00"/>
    <d v="2025-02-03T00:00:00"/>
    <n v="9"/>
    <x v="1"/>
    <n v="0"/>
    <x v="1"/>
    <x v="0"/>
    <n v="12321.04"/>
    <x v="2"/>
    <n v="2025"/>
    <x v="2"/>
    <m/>
    <m/>
    <m/>
    <m/>
    <m/>
  </r>
  <r>
    <x v="465"/>
    <n v="59"/>
    <x v="1"/>
    <x v="5"/>
    <d v="2025-02-23T00:00:00"/>
    <d v="2025-03-02T00:00:00"/>
    <n v="7"/>
    <x v="1"/>
    <n v="0"/>
    <x v="1"/>
    <x v="2"/>
    <n v="6269.11"/>
    <x v="4"/>
    <n v="2025"/>
    <x v="0"/>
    <m/>
    <m/>
    <m/>
    <m/>
    <m/>
  </r>
  <r>
    <x v="466"/>
    <n v="35"/>
    <x v="0"/>
    <x v="5"/>
    <d v="2025-06-25T00:00:00"/>
    <d v="2025-06-30T00:00:00"/>
    <n v="5"/>
    <x v="1"/>
    <n v="0"/>
    <x v="2"/>
    <x v="0"/>
    <n v="8443.19"/>
    <x v="9"/>
    <n v="2025"/>
    <x v="0"/>
    <m/>
    <m/>
    <m/>
    <m/>
    <m/>
  </r>
  <r>
    <x v="467"/>
    <n v="88"/>
    <x v="0"/>
    <x v="0"/>
    <d v="2025-06-10T00:00:00"/>
    <d v="2025-06-22T00:00:00"/>
    <n v="12"/>
    <x v="1"/>
    <n v="0"/>
    <x v="1"/>
    <x v="0"/>
    <n v="10858.58"/>
    <x v="9"/>
    <n v="2025"/>
    <x v="2"/>
    <m/>
    <m/>
    <m/>
    <m/>
    <m/>
  </r>
  <r>
    <x v="468"/>
    <n v="34"/>
    <x v="0"/>
    <x v="4"/>
    <d v="2025-12-18T00:00:00"/>
    <d v="2025-12-24T00:00:00"/>
    <n v="6"/>
    <x v="1"/>
    <n v="0"/>
    <x v="2"/>
    <x v="0"/>
    <n v="2173.38"/>
    <x v="10"/>
    <n v="2025"/>
    <x v="0"/>
    <m/>
    <m/>
    <m/>
    <m/>
    <m/>
  </r>
  <r>
    <x v="469"/>
    <n v="71"/>
    <x v="1"/>
    <x v="5"/>
    <d v="2025-06-30T00:00:00"/>
    <d v="2025-07-09T00:00:00"/>
    <n v="9"/>
    <x v="1"/>
    <n v="0"/>
    <x v="0"/>
    <x v="0"/>
    <n v="2043.82"/>
    <x v="9"/>
    <n v="2025"/>
    <x v="2"/>
    <m/>
    <m/>
    <m/>
    <m/>
    <m/>
  </r>
  <r>
    <x v="470"/>
    <n v="25"/>
    <x v="0"/>
    <x v="3"/>
    <d v="2025-07-15T00:00:00"/>
    <d v="2025-07-18T00:00:00"/>
    <n v="3"/>
    <x v="0"/>
    <n v="25"/>
    <x v="1"/>
    <x v="2"/>
    <n v="10409.16"/>
    <x v="5"/>
    <n v="2025"/>
    <x v="1"/>
    <m/>
    <m/>
    <m/>
    <m/>
    <m/>
  </r>
  <r>
    <x v="471"/>
    <n v="55"/>
    <x v="0"/>
    <x v="4"/>
    <d v="2025-03-16T00:00:00"/>
    <d v="2025-03-30T00:00:00"/>
    <n v="14"/>
    <x v="0"/>
    <n v="2"/>
    <x v="2"/>
    <x v="2"/>
    <n v="1985.96"/>
    <x v="3"/>
    <n v="2025"/>
    <x v="0"/>
    <m/>
    <m/>
    <m/>
    <m/>
    <m/>
  </r>
  <r>
    <x v="472"/>
    <n v="46"/>
    <x v="1"/>
    <x v="0"/>
    <d v="2025-12-12T00:00:00"/>
    <d v="2025-12-24T00:00:00"/>
    <n v="12"/>
    <x v="1"/>
    <n v="0"/>
    <x v="2"/>
    <x v="0"/>
    <n v="10135.16"/>
    <x v="10"/>
    <n v="2025"/>
    <x v="0"/>
    <m/>
    <m/>
    <m/>
    <m/>
    <m/>
  </r>
  <r>
    <x v="473"/>
    <n v="58"/>
    <x v="0"/>
    <x v="1"/>
    <d v="2025-07-15T00:00:00"/>
    <d v="2025-07-22T00:00:00"/>
    <n v="7"/>
    <x v="1"/>
    <n v="0"/>
    <x v="2"/>
    <x v="1"/>
    <n v="9498.14"/>
    <x v="5"/>
    <n v="2025"/>
    <x v="0"/>
    <m/>
    <m/>
    <m/>
    <m/>
    <m/>
  </r>
  <r>
    <x v="474"/>
    <n v="65"/>
    <x v="0"/>
    <x v="2"/>
    <d v="2025-08-15T00:00:00"/>
    <d v="2025-08-29T00:00:00"/>
    <n v="14"/>
    <x v="0"/>
    <n v="7"/>
    <x v="2"/>
    <x v="2"/>
    <n v="3072.68"/>
    <x v="11"/>
    <n v="2025"/>
    <x v="2"/>
    <m/>
    <m/>
    <m/>
    <m/>
    <m/>
  </r>
  <r>
    <x v="475"/>
    <n v="40"/>
    <x v="0"/>
    <x v="5"/>
    <d v="2025-12-16T00:00:00"/>
    <d v="2025-12-18T00:00:00"/>
    <n v="2"/>
    <x v="0"/>
    <n v="2"/>
    <x v="3"/>
    <x v="2"/>
    <n v="8570.68"/>
    <x v="10"/>
    <n v="2025"/>
    <x v="0"/>
    <m/>
    <m/>
    <m/>
    <m/>
    <m/>
  </r>
  <r>
    <x v="476"/>
    <n v="50"/>
    <x v="0"/>
    <x v="3"/>
    <d v="2025-03-08T00:00:00"/>
    <d v="2025-03-11T00:00:00"/>
    <n v="3"/>
    <x v="1"/>
    <n v="0"/>
    <x v="3"/>
    <x v="0"/>
    <n v="14093.67"/>
    <x v="3"/>
    <n v="2025"/>
    <x v="0"/>
    <m/>
    <m/>
    <m/>
    <m/>
    <m/>
  </r>
  <r>
    <x v="477"/>
    <n v="24"/>
    <x v="1"/>
    <x v="5"/>
    <d v="2025-01-21T00:00:00"/>
    <d v="2025-01-24T00:00:00"/>
    <n v="3"/>
    <x v="1"/>
    <n v="0"/>
    <x v="2"/>
    <x v="1"/>
    <n v="11868.46"/>
    <x v="2"/>
    <n v="2025"/>
    <x v="1"/>
    <m/>
    <m/>
    <m/>
    <m/>
    <m/>
  </r>
  <r>
    <x v="478"/>
    <n v="41"/>
    <x v="0"/>
    <x v="4"/>
    <d v="2025-06-12T00:00:00"/>
    <d v="2025-06-21T00:00:00"/>
    <n v="9"/>
    <x v="0"/>
    <n v="6"/>
    <x v="3"/>
    <x v="0"/>
    <n v="8287.02"/>
    <x v="9"/>
    <n v="2025"/>
    <x v="0"/>
    <m/>
    <m/>
    <m/>
    <m/>
    <m/>
  </r>
  <r>
    <x v="479"/>
    <n v="45"/>
    <x v="1"/>
    <x v="3"/>
    <d v="2025-02-17T00:00:00"/>
    <d v="2025-02-23T00:00:00"/>
    <n v="6"/>
    <x v="0"/>
    <n v="12"/>
    <x v="2"/>
    <x v="1"/>
    <n v="14279.47"/>
    <x v="4"/>
    <n v="2025"/>
    <x v="0"/>
    <m/>
    <m/>
    <m/>
    <m/>
    <m/>
  </r>
  <r>
    <x v="480"/>
    <n v="89"/>
    <x v="0"/>
    <x v="1"/>
    <d v="2025-11-13T00:00:00"/>
    <d v="2025-11-22T00:00:00"/>
    <n v="9"/>
    <x v="1"/>
    <n v="0"/>
    <x v="2"/>
    <x v="2"/>
    <n v="3985.04"/>
    <x v="0"/>
    <n v="2025"/>
    <x v="2"/>
    <m/>
    <m/>
    <m/>
    <m/>
    <m/>
  </r>
  <r>
    <x v="481"/>
    <n v="49"/>
    <x v="0"/>
    <x v="2"/>
    <d v="2025-11-25T00:00:00"/>
    <d v="2025-12-05T00:00:00"/>
    <n v="10"/>
    <x v="1"/>
    <n v="0"/>
    <x v="2"/>
    <x v="2"/>
    <n v="13781.02"/>
    <x v="0"/>
    <n v="2025"/>
    <x v="0"/>
    <m/>
    <m/>
    <m/>
    <m/>
    <m/>
  </r>
  <r>
    <x v="482"/>
    <n v="54"/>
    <x v="0"/>
    <x v="4"/>
    <d v="2025-02-28T00:00:00"/>
    <d v="2025-03-07T00:00:00"/>
    <n v="7"/>
    <x v="0"/>
    <n v="27"/>
    <x v="2"/>
    <x v="0"/>
    <n v="12140.84"/>
    <x v="4"/>
    <n v="2025"/>
    <x v="0"/>
    <m/>
    <m/>
    <m/>
    <m/>
    <m/>
  </r>
  <r>
    <x v="483"/>
    <n v="42"/>
    <x v="1"/>
    <x v="4"/>
    <d v="2025-08-17T00:00:00"/>
    <d v="2025-08-25T00:00:00"/>
    <n v="8"/>
    <x v="0"/>
    <n v="3"/>
    <x v="0"/>
    <x v="1"/>
    <n v="14588.62"/>
    <x v="11"/>
    <n v="2025"/>
    <x v="0"/>
    <m/>
    <m/>
    <m/>
    <m/>
    <m/>
  </r>
  <r>
    <x v="484"/>
    <n v="26"/>
    <x v="0"/>
    <x v="2"/>
    <d v="2025-10-03T00:00:00"/>
    <d v="2025-10-12T00:00:00"/>
    <n v="9"/>
    <x v="0"/>
    <n v="21"/>
    <x v="1"/>
    <x v="0"/>
    <n v="6651.04"/>
    <x v="1"/>
    <n v="2025"/>
    <x v="1"/>
    <m/>
    <m/>
    <m/>
    <m/>
    <m/>
  </r>
  <r>
    <x v="485"/>
    <n v="73"/>
    <x v="0"/>
    <x v="2"/>
    <d v="2025-02-23T00:00:00"/>
    <d v="2025-02-27T00:00:00"/>
    <n v="4"/>
    <x v="1"/>
    <n v="0"/>
    <x v="1"/>
    <x v="1"/>
    <n v="7158.77"/>
    <x v="4"/>
    <n v="2025"/>
    <x v="2"/>
    <m/>
    <m/>
    <m/>
    <m/>
    <m/>
  </r>
  <r>
    <x v="486"/>
    <n v="24"/>
    <x v="0"/>
    <x v="3"/>
    <d v="2025-06-19T00:00:00"/>
    <d v="2025-06-20T00:00:00"/>
    <n v="1"/>
    <x v="0"/>
    <n v="18"/>
    <x v="0"/>
    <x v="0"/>
    <n v="12413.48"/>
    <x v="9"/>
    <n v="2025"/>
    <x v="1"/>
    <m/>
    <m/>
    <m/>
    <m/>
    <m/>
  </r>
  <r>
    <x v="487"/>
    <n v="69"/>
    <x v="1"/>
    <x v="3"/>
    <d v="2025-05-13T00:00:00"/>
    <d v="2025-05-20T00:00:00"/>
    <n v="7"/>
    <x v="1"/>
    <n v="0"/>
    <x v="0"/>
    <x v="2"/>
    <n v="10262.83"/>
    <x v="6"/>
    <n v="2025"/>
    <x v="2"/>
    <m/>
    <m/>
    <m/>
    <m/>
    <m/>
  </r>
  <r>
    <x v="488"/>
    <n v="26"/>
    <x v="0"/>
    <x v="2"/>
    <d v="2025-10-01T00:00:00"/>
    <d v="2025-10-02T00:00:00"/>
    <n v="1"/>
    <x v="1"/>
    <n v="0"/>
    <x v="0"/>
    <x v="2"/>
    <n v="13956.69"/>
    <x v="1"/>
    <n v="2025"/>
    <x v="1"/>
    <m/>
    <m/>
    <m/>
    <m/>
    <m/>
  </r>
  <r>
    <x v="489"/>
    <n v="56"/>
    <x v="0"/>
    <x v="3"/>
    <d v="2025-02-24T00:00:00"/>
    <d v="2025-03-01T00:00:00"/>
    <n v="5"/>
    <x v="1"/>
    <n v="0"/>
    <x v="3"/>
    <x v="2"/>
    <n v="6229.14"/>
    <x v="4"/>
    <n v="2025"/>
    <x v="0"/>
    <m/>
    <m/>
    <m/>
    <m/>
    <m/>
  </r>
  <r>
    <x v="490"/>
    <n v="86"/>
    <x v="0"/>
    <x v="0"/>
    <d v="2025-12-05T00:00:00"/>
    <d v="2025-12-06T00:00:00"/>
    <n v="1"/>
    <x v="1"/>
    <n v="0"/>
    <x v="3"/>
    <x v="0"/>
    <n v="4777.1899999999996"/>
    <x v="10"/>
    <n v="2025"/>
    <x v="2"/>
    <m/>
    <m/>
    <m/>
    <m/>
    <m/>
  </r>
  <r>
    <x v="491"/>
    <n v="65"/>
    <x v="0"/>
    <x v="4"/>
    <d v="2025-11-21T00:00:00"/>
    <d v="2025-11-24T00:00:00"/>
    <n v="3"/>
    <x v="0"/>
    <n v="28"/>
    <x v="1"/>
    <x v="1"/>
    <n v="1105.71"/>
    <x v="0"/>
    <n v="2025"/>
    <x v="2"/>
    <m/>
    <m/>
    <m/>
    <m/>
    <m/>
  </r>
  <r>
    <x v="492"/>
    <n v="88"/>
    <x v="0"/>
    <x v="3"/>
    <d v="2025-10-21T00:00:00"/>
    <d v="2025-10-31T00:00:00"/>
    <n v="10"/>
    <x v="1"/>
    <n v="0"/>
    <x v="1"/>
    <x v="0"/>
    <n v="11250.74"/>
    <x v="1"/>
    <n v="2025"/>
    <x v="2"/>
    <m/>
    <m/>
    <m/>
    <m/>
    <m/>
  </r>
  <r>
    <x v="493"/>
    <n v="83"/>
    <x v="0"/>
    <x v="0"/>
    <d v="2025-06-26T00:00:00"/>
    <d v="2025-06-30T00:00:00"/>
    <n v="4"/>
    <x v="1"/>
    <n v="0"/>
    <x v="1"/>
    <x v="1"/>
    <n v="9444.83"/>
    <x v="9"/>
    <n v="2025"/>
    <x v="2"/>
    <m/>
    <m/>
    <m/>
    <m/>
    <m/>
  </r>
  <r>
    <x v="494"/>
    <n v="90"/>
    <x v="0"/>
    <x v="4"/>
    <d v="2025-05-10T00:00:00"/>
    <d v="2025-05-14T00:00:00"/>
    <n v="4"/>
    <x v="0"/>
    <n v="15"/>
    <x v="0"/>
    <x v="2"/>
    <n v="10239.44"/>
    <x v="6"/>
    <n v="2025"/>
    <x v="2"/>
    <m/>
    <m/>
    <m/>
    <m/>
    <m/>
  </r>
  <r>
    <x v="495"/>
    <n v="80"/>
    <x v="1"/>
    <x v="3"/>
    <d v="2025-05-09T00:00:00"/>
    <d v="2025-05-11T00:00:00"/>
    <n v="2"/>
    <x v="0"/>
    <n v="5"/>
    <x v="1"/>
    <x v="1"/>
    <n v="4634.49"/>
    <x v="6"/>
    <n v="2025"/>
    <x v="2"/>
    <m/>
    <m/>
    <m/>
    <m/>
    <m/>
  </r>
  <r>
    <x v="496"/>
    <n v="75"/>
    <x v="1"/>
    <x v="4"/>
    <d v="2025-02-05T00:00:00"/>
    <d v="2025-02-09T00:00:00"/>
    <n v="4"/>
    <x v="1"/>
    <n v="0"/>
    <x v="2"/>
    <x v="0"/>
    <n v="8970.4599999999991"/>
    <x v="4"/>
    <n v="2025"/>
    <x v="2"/>
    <m/>
    <m/>
    <m/>
    <m/>
    <m/>
  </r>
  <r>
    <x v="497"/>
    <n v="58"/>
    <x v="1"/>
    <x v="0"/>
    <d v="2025-10-17T00:00:00"/>
    <d v="2025-10-27T00:00:00"/>
    <n v="10"/>
    <x v="1"/>
    <n v="0"/>
    <x v="0"/>
    <x v="2"/>
    <n v="4069.54"/>
    <x v="1"/>
    <n v="2025"/>
    <x v="0"/>
    <m/>
    <m/>
    <m/>
    <m/>
    <m/>
  </r>
  <r>
    <x v="498"/>
    <n v="73"/>
    <x v="1"/>
    <x v="3"/>
    <d v="2025-04-24T00:00:00"/>
    <d v="2025-05-06T00:00:00"/>
    <n v="12"/>
    <x v="1"/>
    <n v="0"/>
    <x v="1"/>
    <x v="0"/>
    <n v="11128.11"/>
    <x v="8"/>
    <n v="2025"/>
    <x v="2"/>
    <m/>
    <m/>
    <m/>
    <m/>
    <m/>
  </r>
  <r>
    <x v="499"/>
    <n v="57"/>
    <x v="1"/>
    <x v="4"/>
    <d v="2025-09-03T00:00:00"/>
    <d v="2025-09-11T00:00:00"/>
    <n v="8"/>
    <x v="1"/>
    <n v="0"/>
    <x v="0"/>
    <x v="1"/>
    <n v="9860.5"/>
    <x v="7"/>
    <n v="2025"/>
    <x v="0"/>
    <m/>
    <m/>
    <m/>
    <m/>
    <m/>
  </r>
  <r>
    <x v="500"/>
    <n v="35"/>
    <x v="0"/>
    <x v="3"/>
    <d v="2025-02-11T00:00:00"/>
    <d v="2025-02-25T00:00:00"/>
    <n v="14"/>
    <x v="0"/>
    <n v="24"/>
    <x v="0"/>
    <x v="0"/>
    <n v="1593.3"/>
    <x v="4"/>
    <n v="2025"/>
    <x v="0"/>
    <m/>
    <m/>
    <m/>
    <m/>
    <m/>
  </r>
  <r>
    <x v="501"/>
    <n v="21"/>
    <x v="1"/>
    <x v="4"/>
    <d v="2025-01-10T00:00:00"/>
    <d v="2025-01-24T00:00:00"/>
    <n v="14"/>
    <x v="1"/>
    <n v="0"/>
    <x v="1"/>
    <x v="1"/>
    <n v="8498.11"/>
    <x v="2"/>
    <n v="2025"/>
    <x v="1"/>
    <m/>
    <m/>
    <m/>
    <m/>
    <m/>
  </r>
  <r>
    <x v="502"/>
    <n v="37"/>
    <x v="1"/>
    <x v="5"/>
    <d v="2025-10-06T00:00:00"/>
    <d v="2025-10-15T00:00:00"/>
    <n v="9"/>
    <x v="1"/>
    <n v="0"/>
    <x v="1"/>
    <x v="0"/>
    <n v="11131.79"/>
    <x v="1"/>
    <n v="2025"/>
    <x v="0"/>
    <m/>
    <m/>
    <m/>
    <m/>
    <m/>
  </r>
  <r>
    <x v="503"/>
    <n v="83"/>
    <x v="0"/>
    <x v="5"/>
    <d v="2025-05-29T00:00:00"/>
    <d v="2025-06-01T00:00:00"/>
    <n v="3"/>
    <x v="1"/>
    <n v="0"/>
    <x v="2"/>
    <x v="0"/>
    <n v="653.58000000000004"/>
    <x v="6"/>
    <n v="2025"/>
    <x v="2"/>
    <m/>
    <m/>
    <m/>
    <m/>
    <m/>
  </r>
  <r>
    <x v="504"/>
    <n v="39"/>
    <x v="0"/>
    <x v="5"/>
    <d v="2025-05-03T00:00:00"/>
    <d v="2025-05-17T00:00:00"/>
    <n v="14"/>
    <x v="1"/>
    <n v="0"/>
    <x v="1"/>
    <x v="1"/>
    <n v="8712.18"/>
    <x v="6"/>
    <n v="2025"/>
    <x v="0"/>
    <m/>
    <m/>
    <m/>
    <m/>
    <m/>
  </r>
  <r>
    <x v="505"/>
    <n v="36"/>
    <x v="1"/>
    <x v="3"/>
    <d v="2025-10-17T00:00:00"/>
    <d v="2025-10-28T00:00:00"/>
    <n v="11"/>
    <x v="1"/>
    <n v="0"/>
    <x v="0"/>
    <x v="1"/>
    <n v="11541.35"/>
    <x v="1"/>
    <n v="2025"/>
    <x v="0"/>
    <m/>
    <m/>
    <m/>
    <m/>
    <m/>
  </r>
  <r>
    <x v="506"/>
    <n v="47"/>
    <x v="0"/>
    <x v="2"/>
    <d v="2025-04-29T00:00:00"/>
    <d v="2025-05-01T00:00:00"/>
    <n v="2"/>
    <x v="0"/>
    <n v="7"/>
    <x v="2"/>
    <x v="2"/>
    <n v="7310.28"/>
    <x v="8"/>
    <n v="2025"/>
    <x v="0"/>
    <m/>
    <m/>
    <m/>
    <m/>
    <m/>
  </r>
  <r>
    <x v="507"/>
    <n v="59"/>
    <x v="0"/>
    <x v="2"/>
    <d v="2025-08-21T00:00:00"/>
    <d v="2025-08-22T00:00:00"/>
    <n v="1"/>
    <x v="0"/>
    <n v="17"/>
    <x v="2"/>
    <x v="0"/>
    <n v="4318.08"/>
    <x v="11"/>
    <n v="2025"/>
    <x v="0"/>
    <m/>
    <m/>
    <m/>
    <m/>
    <m/>
  </r>
  <r>
    <x v="508"/>
    <n v="66"/>
    <x v="1"/>
    <x v="4"/>
    <d v="2025-10-06T00:00:00"/>
    <d v="2025-10-16T00:00:00"/>
    <n v="10"/>
    <x v="0"/>
    <n v="21"/>
    <x v="0"/>
    <x v="0"/>
    <n v="4148"/>
    <x v="1"/>
    <n v="2025"/>
    <x v="2"/>
    <m/>
    <m/>
    <m/>
    <m/>
    <m/>
  </r>
  <r>
    <x v="509"/>
    <n v="62"/>
    <x v="1"/>
    <x v="5"/>
    <d v="2025-04-25T00:00:00"/>
    <d v="2025-05-04T00:00:00"/>
    <n v="9"/>
    <x v="1"/>
    <n v="0"/>
    <x v="0"/>
    <x v="0"/>
    <n v="13289.5"/>
    <x v="8"/>
    <n v="2025"/>
    <x v="2"/>
    <m/>
    <m/>
    <m/>
    <m/>
    <m/>
  </r>
  <r>
    <x v="510"/>
    <n v="83"/>
    <x v="1"/>
    <x v="0"/>
    <d v="2025-08-14T00:00:00"/>
    <d v="2025-08-17T00:00:00"/>
    <n v="3"/>
    <x v="0"/>
    <n v="5"/>
    <x v="1"/>
    <x v="1"/>
    <n v="5752.23"/>
    <x v="11"/>
    <n v="2025"/>
    <x v="2"/>
    <m/>
    <m/>
    <m/>
    <m/>
    <m/>
  </r>
  <r>
    <x v="511"/>
    <n v="60"/>
    <x v="0"/>
    <x v="5"/>
    <d v="2025-03-02T00:00:00"/>
    <d v="2025-03-13T00:00:00"/>
    <n v="11"/>
    <x v="0"/>
    <n v="22"/>
    <x v="3"/>
    <x v="2"/>
    <n v="3555.21"/>
    <x v="3"/>
    <n v="2025"/>
    <x v="2"/>
    <m/>
    <m/>
    <m/>
    <m/>
    <m/>
  </r>
  <r>
    <x v="512"/>
    <n v="20"/>
    <x v="0"/>
    <x v="1"/>
    <d v="2025-03-24T00:00:00"/>
    <d v="2025-04-04T00:00:00"/>
    <n v="11"/>
    <x v="1"/>
    <n v="0"/>
    <x v="1"/>
    <x v="0"/>
    <n v="9089.0400000000009"/>
    <x v="3"/>
    <n v="2025"/>
    <x v="1"/>
    <m/>
    <m/>
    <m/>
    <m/>
    <m/>
  </r>
  <r>
    <x v="513"/>
    <n v="36"/>
    <x v="0"/>
    <x v="0"/>
    <d v="2025-03-10T00:00:00"/>
    <d v="2025-03-21T00:00:00"/>
    <n v="11"/>
    <x v="1"/>
    <n v="0"/>
    <x v="2"/>
    <x v="1"/>
    <n v="7991.29"/>
    <x v="3"/>
    <n v="2025"/>
    <x v="0"/>
    <m/>
    <m/>
    <m/>
    <m/>
    <m/>
  </r>
  <r>
    <x v="514"/>
    <n v="20"/>
    <x v="1"/>
    <x v="1"/>
    <d v="2025-07-27T00:00:00"/>
    <d v="2025-08-06T00:00:00"/>
    <n v="10"/>
    <x v="1"/>
    <n v="0"/>
    <x v="1"/>
    <x v="2"/>
    <n v="9294.6299999999992"/>
    <x v="5"/>
    <n v="2025"/>
    <x v="1"/>
    <m/>
    <m/>
    <m/>
    <m/>
    <m/>
  </r>
  <r>
    <x v="515"/>
    <n v="46"/>
    <x v="1"/>
    <x v="4"/>
    <d v="2025-08-30T00:00:00"/>
    <d v="2025-09-13T00:00:00"/>
    <n v="14"/>
    <x v="1"/>
    <n v="0"/>
    <x v="1"/>
    <x v="0"/>
    <n v="12396.57"/>
    <x v="11"/>
    <n v="2025"/>
    <x v="0"/>
    <m/>
    <m/>
    <m/>
    <m/>
    <m/>
  </r>
  <r>
    <x v="516"/>
    <n v="51"/>
    <x v="0"/>
    <x v="2"/>
    <d v="2025-04-04T00:00:00"/>
    <d v="2025-04-14T00:00:00"/>
    <n v="10"/>
    <x v="1"/>
    <n v="0"/>
    <x v="2"/>
    <x v="2"/>
    <n v="9149.73"/>
    <x v="8"/>
    <n v="2025"/>
    <x v="0"/>
    <m/>
    <m/>
    <m/>
    <m/>
    <m/>
  </r>
  <r>
    <x v="517"/>
    <n v="34"/>
    <x v="0"/>
    <x v="1"/>
    <d v="2025-02-05T00:00:00"/>
    <d v="2025-02-09T00:00:00"/>
    <n v="4"/>
    <x v="1"/>
    <n v="0"/>
    <x v="1"/>
    <x v="0"/>
    <n v="12964.08"/>
    <x v="4"/>
    <n v="2025"/>
    <x v="0"/>
    <m/>
    <m/>
    <m/>
    <m/>
    <m/>
  </r>
  <r>
    <x v="518"/>
    <n v="37"/>
    <x v="0"/>
    <x v="0"/>
    <d v="2025-09-16T00:00:00"/>
    <d v="2025-09-27T00:00:00"/>
    <n v="11"/>
    <x v="1"/>
    <n v="0"/>
    <x v="3"/>
    <x v="0"/>
    <n v="9197.2999999999993"/>
    <x v="7"/>
    <n v="2025"/>
    <x v="0"/>
    <m/>
    <m/>
    <m/>
    <m/>
    <m/>
  </r>
  <r>
    <x v="519"/>
    <n v="29"/>
    <x v="1"/>
    <x v="2"/>
    <d v="2025-09-30T00:00:00"/>
    <d v="2025-10-09T00:00:00"/>
    <n v="9"/>
    <x v="1"/>
    <n v="0"/>
    <x v="1"/>
    <x v="0"/>
    <n v="8319.65"/>
    <x v="7"/>
    <n v="2025"/>
    <x v="1"/>
    <m/>
    <m/>
    <m/>
    <m/>
    <m/>
  </r>
  <r>
    <x v="520"/>
    <n v="73"/>
    <x v="1"/>
    <x v="3"/>
    <d v="2025-01-01T00:00:00"/>
    <d v="2025-01-14T00:00:00"/>
    <n v="13"/>
    <x v="1"/>
    <n v="0"/>
    <x v="0"/>
    <x v="0"/>
    <n v="8182.34"/>
    <x v="2"/>
    <n v="2025"/>
    <x v="2"/>
    <m/>
    <m/>
    <m/>
    <m/>
    <m/>
  </r>
  <r>
    <x v="521"/>
    <n v="66"/>
    <x v="1"/>
    <x v="4"/>
    <d v="2025-04-28T00:00:00"/>
    <d v="2025-05-11T00:00:00"/>
    <n v="13"/>
    <x v="1"/>
    <n v="0"/>
    <x v="0"/>
    <x v="2"/>
    <n v="2441.31"/>
    <x v="8"/>
    <n v="2025"/>
    <x v="2"/>
    <m/>
    <m/>
    <m/>
    <m/>
    <m/>
  </r>
  <r>
    <x v="522"/>
    <n v="28"/>
    <x v="1"/>
    <x v="4"/>
    <d v="2025-09-02T00:00:00"/>
    <d v="2025-09-15T00:00:00"/>
    <n v="13"/>
    <x v="0"/>
    <n v="29"/>
    <x v="3"/>
    <x v="2"/>
    <n v="3240.8"/>
    <x v="7"/>
    <n v="2025"/>
    <x v="1"/>
    <m/>
    <m/>
    <m/>
    <m/>
    <m/>
  </r>
  <r>
    <x v="523"/>
    <n v="84"/>
    <x v="0"/>
    <x v="4"/>
    <d v="2025-12-30T00:00:00"/>
    <d v="2026-01-11T00:00:00"/>
    <n v="12"/>
    <x v="1"/>
    <n v="0"/>
    <x v="0"/>
    <x v="2"/>
    <n v="9990.92"/>
    <x v="10"/>
    <n v="2025"/>
    <x v="2"/>
    <m/>
    <m/>
    <m/>
    <m/>
    <m/>
  </r>
  <r>
    <x v="524"/>
    <n v="64"/>
    <x v="0"/>
    <x v="0"/>
    <d v="2025-12-19T00:00:00"/>
    <d v="2026-01-01T00:00:00"/>
    <n v="13"/>
    <x v="1"/>
    <n v="0"/>
    <x v="3"/>
    <x v="0"/>
    <n v="8987.8700000000008"/>
    <x v="10"/>
    <n v="2025"/>
    <x v="2"/>
    <m/>
    <m/>
    <m/>
    <m/>
    <m/>
  </r>
  <r>
    <x v="525"/>
    <n v="90"/>
    <x v="1"/>
    <x v="4"/>
    <d v="2025-05-14T00:00:00"/>
    <d v="2025-05-28T00:00:00"/>
    <n v="14"/>
    <x v="1"/>
    <n v="0"/>
    <x v="2"/>
    <x v="0"/>
    <n v="6263.09"/>
    <x v="6"/>
    <n v="2025"/>
    <x v="2"/>
    <m/>
    <m/>
    <m/>
    <m/>
    <m/>
  </r>
  <r>
    <x v="526"/>
    <n v="89"/>
    <x v="1"/>
    <x v="0"/>
    <d v="2025-04-15T00:00:00"/>
    <d v="2025-04-22T00:00:00"/>
    <n v="7"/>
    <x v="1"/>
    <n v="0"/>
    <x v="2"/>
    <x v="0"/>
    <n v="8546.2099999999991"/>
    <x v="8"/>
    <n v="2025"/>
    <x v="2"/>
    <m/>
    <m/>
    <m/>
    <m/>
    <m/>
  </r>
  <r>
    <x v="527"/>
    <n v="68"/>
    <x v="0"/>
    <x v="2"/>
    <d v="2025-05-10T00:00:00"/>
    <d v="2025-05-15T00:00:00"/>
    <n v="5"/>
    <x v="1"/>
    <n v="0"/>
    <x v="0"/>
    <x v="0"/>
    <n v="3831.68"/>
    <x v="6"/>
    <n v="2025"/>
    <x v="2"/>
    <m/>
    <m/>
    <m/>
    <m/>
    <m/>
  </r>
  <r>
    <x v="528"/>
    <n v="83"/>
    <x v="1"/>
    <x v="3"/>
    <d v="2025-12-25T00:00:00"/>
    <d v="2025-12-28T00:00:00"/>
    <n v="3"/>
    <x v="0"/>
    <n v="26"/>
    <x v="0"/>
    <x v="1"/>
    <n v="6142"/>
    <x v="10"/>
    <n v="2025"/>
    <x v="2"/>
    <m/>
    <m/>
    <m/>
    <m/>
    <m/>
  </r>
  <r>
    <x v="529"/>
    <n v="36"/>
    <x v="1"/>
    <x v="4"/>
    <d v="2025-11-22T00:00:00"/>
    <d v="2025-11-23T00:00:00"/>
    <n v="1"/>
    <x v="1"/>
    <n v="0"/>
    <x v="3"/>
    <x v="1"/>
    <n v="1429.17"/>
    <x v="0"/>
    <n v="2025"/>
    <x v="0"/>
    <m/>
    <m/>
    <m/>
    <m/>
    <m/>
  </r>
  <r>
    <x v="530"/>
    <n v="22"/>
    <x v="1"/>
    <x v="5"/>
    <d v="2025-04-24T00:00:00"/>
    <d v="2025-04-30T00:00:00"/>
    <n v="6"/>
    <x v="0"/>
    <n v="20"/>
    <x v="2"/>
    <x v="0"/>
    <n v="14471.18"/>
    <x v="8"/>
    <n v="2025"/>
    <x v="1"/>
    <m/>
    <m/>
    <m/>
    <m/>
    <m/>
  </r>
  <r>
    <x v="531"/>
    <n v="81"/>
    <x v="1"/>
    <x v="1"/>
    <d v="2025-01-30T00:00:00"/>
    <d v="2025-02-12T00:00:00"/>
    <n v="13"/>
    <x v="1"/>
    <n v="0"/>
    <x v="1"/>
    <x v="0"/>
    <n v="13996"/>
    <x v="2"/>
    <n v="2025"/>
    <x v="2"/>
    <m/>
    <m/>
    <m/>
    <m/>
    <m/>
  </r>
  <r>
    <x v="532"/>
    <n v="83"/>
    <x v="0"/>
    <x v="4"/>
    <d v="2025-09-23T00:00:00"/>
    <d v="2025-09-28T00:00:00"/>
    <n v="5"/>
    <x v="0"/>
    <n v="6"/>
    <x v="0"/>
    <x v="2"/>
    <n v="3969.22"/>
    <x v="7"/>
    <n v="2025"/>
    <x v="2"/>
    <m/>
    <m/>
    <m/>
    <m/>
    <m/>
  </r>
  <r>
    <x v="533"/>
    <n v="53"/>
    <x v="1"/>
    <x v="3"/>
    <d v="2025-01-01T00:00:00"/>
    <d v="2025-01-04T00:00:00"/>
    <n v="3"/>
    <x v="0"/>
    <n v="22"/>
    <x v="3"/>
    <x v="2"/>
    <n v="8998.16"/>
    <x v="2"/>
    <n v="2025"/>
    <x v="0"/>
    <m/>
    <m/>
    <m/>
    <m/>
    <m/>
  </r>
  <r>
    <x v="534"/>
    <n v="26"/>
    <x v="0"/>
    <x v="4"/>
    <d v="2025-09-23T00:00:00"/>
    <d v="2025-09-24T00:00:00"/>
    <n v="1"/>
    <x v="1"/>
    <n v="0"/>
    <x v="2"/>
    <x v="0"/>
    <n v="12531.59"/>
    <x v="7"/>
    <n v="2025"/>
    <x v="1"/>
    <m/>
    <m/>
    <m/>
    <m/>
    <m/>
  </r>
  <r>
    <x v="535"/>
    <n v="53"/>
    <x v="0"/>
    <x v="4"/>
    <d v="2025-10-26T00:00:00"/>
    <d v="2025-11-01T00:00:00"/>
    <n v="6"/>
    <x v="1"/>
    <n v="0"/>
    <x v="1"/>
    <x v="2"/>
    <n v="13980.85"/>
    <x v="1"/>
    <n v="2025"/>
    <x v="0"/>
    <m/>
    <m/>
    <m/>
    <m/>
    <m/>
  </r>
  <r>
    <x v="536"/>
    <n v="70"/>
    <x v="0"/>
    <x v="4"/>
    <d v="2025-10-22T00:00:00"/>
    <d v="2025-10-23T00:00:00"/>
    <n v="1"/>
    <x v="0"/>
    <n v="3"/>
    <x v="2"/>
    <x v="2"/>
    <n v="14231.72"/>
    <x v="1"/>
    <n v="2025"/>
    <x v="2"/>
    <m/>
    <m/>
    <m/>
    <m/>
    <m/>
  </r>
  <r>
    <x v="537"/>
    <n v="50"/>
    <x v="1"/>
    <x v="5"/>
    <d v="2025-09-20T00:00:00"/>
    <d v="2025-09-25T00:00:00"/>
    <n v="5"/>
    <x v="1"/>
    <n v="0"/>
    <x v="3"/>
    <x v="1"/>
    <n v="11483.36"/>
    <x v="7"/>
    <n v="2025"/>
    <x v="0"/>
    <m/>
    <m/>
    <m/>
    <m/>
    <m/>
  </r>
  <r>
    <x v="538"/>
    <n v="21"/>
    <x v="1"/>
    <x v="1"/>
    <d v="2025-08-23T00:00:00"/>
    <d v="2025-09-03T00:00:00"/>
    <n v="11"/>
    <x v="1"/>
    <n v="0"/>
    <x v="2"/>
    <x v="1"/>
    <n v="6048.76"/>
    <x v="11"/>
    <n v="2025"/>
    <x v="1"/>
    <m/>
    <m/>
    <m/>
    <m/>
    <m/>
  </r>
  <r>
    <x v="539"/>
    <n v="58"/>
    <x v="1"/>
    <x v="3"/>
    <d v="2025-04-23T00:00:00"/>
    <d v="2025-05-04T00:00:00"/>
    <n v="11"/>
    <x v="1"/>
    <n v="0"/>
    <x v="0"/>
    <x v="0"/>
    <n v="12566.57"/>
    <x v="8"/>
    <n v="2025"/>
    <x v="0"/>
    <m/>
    <m/>
    <m/>
    <m/>
    <m/>
  </r>
  <r>
    <x v="540"/>
    <n v="61"/>
    <x v="0"/>
    <x v="4"/>
    <d v="2025-05-08T00:00:00"/>
    <d v="2025-05-13T00:00:00"/>
    <n v="5"/>
    <x v="0"/>
    <n v="30"/>
    <x v="1"/>
    <x v="2"/>
    <n v="5051.16"/>
    <x v="6"/>
    <n v="2025"/>
    <x v="2"/>
    <m/>
    <m/>
    <m/>
    <m/>
    <m/>
  </r>
  <r>
    <x v="541"/>
    <n v="42"/>
    <x v="1"/>
    <x v="2"/>
    <d v="2025-04-22T00:00:00"/>
    <d v="2025-05-02T00:00:00"/>
    <n v="10"/>
    <x v="0"/>
    <n v="7"/>
    <x v="1"/>
    <x v="0"/>
    <n v="4009.82"/>
    <x v="8"/>
    <n v="2025"/>
    <x v="0"/>
    <m/>
    <m/>
    <m/>
    <m/>
    <m/>
  </r>
  <r>
    <x v="542"/>
    <n v="49"/>
    <x v="1"/>
    <x v="0"/>
    <d v="2025-05-16T00:00:00"/>
    <d v="2025-05-20T00:00:00"/>
    <n v="4"/>
    <x v="0"/>
    <n v="25"/>
    <x v="0"/>
    <x v="1"/>
    <n v="13842.73"/>
    <x v="6"/>
    <n v="2025"/>
    <x v="0"/>
    <m/>
    <m/>
    <m/>
    <m/>
    <m/>
  </r>
  <r>
    <x v="543"/>
    <n v="18"/>
    <x v="0"/>
    <x v="5"/>
    <d v="2025-12-13T00:00:00"/>
    <d v="2025-12-24T00:00:00"/>
    <n v="11"/>
    <x v="1"/>
    <n v="0"/>
    <x v="2"/>
    <x v="0"/>
    <n v="5073.55"/>
    <x v="10"/>
    <n v="2025"/>
    <x v="1"/>
    <m/>
    <m/>
    <m/>
    <m/>
    <m/>
  </r>
  <r>
    <x v="544"/>
    <n v="41"/>
    <x v="1"/>
    <x v="5"/>
    <d v="2025-10-22T00:00:00"/>
    <d v="2025-11-05T00:00:00"/>
    <n v="14"/>
    <x v="0"/>
    <n v="8"/>
    <x v="1"/>
    <x v="1"/>
    <n v="8123.16"/>
    <x v="1"/>
    <n v="2025"/>
    <x v="0"/>
    <m/>
    <m/>
    <m/>
    <m/>
    <m/>
  </r>
  <r>
    <x v="545"/>
    <n v="22"/>
    <x v="1"/>
    <x v="5"/>
    <d v="2025-08-05T00:00:00"/>
    <d v="2025-08-13T00:00:00"/>
    <n v="8"/>
    <x v="1"/>
    <n v="0"/>
    <x v="1"/>
    <x v="2"/>
    <n v="14659.35"/>
    <x v="11"/>
    <n v="2025"/>
    <x v="1"/>
    <m/>
    <m/>
    <m/>
    <m/>
    <m/>
  </r>
  <r>
    <x v="546"/>
    <n v="19"/>
    <x v="0"/>
    <x v="2"/>
    <d v="2025-12-24T00:00:00"/>
    <d v="2026-01-02T00:00:00"/>
    <n v="9"/>
    <x v="1"/>
    <n v="0"/>
    <x v="1"/>
    <x v="2"/>
    <n v="8924.6200000000008"/>
    <x v="10"/>
    <n v="2025"/>
    <x v="1"/>
    <m/>
    <m/>
    <m/>
    <m/>
    <m/>
  </r>
  <r>
    <x v="547"/>
    <n v="51"/>
    <x v="0"/>
    <x v="4"/>
    <d v="2025-06-16T00:00:00"/>
    <d v="2025-06-22T00:00:00"/>
    <n v="6"/>
    <x v="1"/>
    <n v="0"/>
    <x v="2"/>
    <x v="1"/>
    <n v="4406.42"/>
    <x v="9"/>
    <n v="2025"/>
    <x v="0"/>
    <m/>
    <m/>
    <m/>
    <m/>
    <m/>
  </r>
  <r>
    <x v="548"/>
    <n v="81"/>
    <x v="1"/>
    <x v="0"/>
    <d v="2025-11-10T00:00:00"/>
    <d v="2025-11-16T00:00:00"/>
    <n v="6"/>
    <x v="1"/>
    <n v="0"/>
    <x v="3"/>
    <x v="0"/>
    <n v="11406.84"/>
    <x v="0"/>
    <n v="2025"/>
    <x v="2"/>
    <m/>
    <m/>
    <m/>
    <m/>
    <m/>
  </r>
  <r>
    <x v="549"/>
    <n v="75"/>
    <x v="0"/>
    <x v="4"/>
    <d v="2025-07-06T00:00:00"/>
    <d v="2025-07-20T00:00:00"/>
    <n v="14"/>
    <x v="1"/>
    <n v="0"/>
    <x v="1"/>
    <x v="0"/>
    <n v="10447.17"/>
    <x v="5"/>
    <n v="2025"/>
    <x v="2"/>
    <m/>
    <m/>
    <m/>
    <m/>
    <m/>
  </r>
  <r>
    <x v="550"/>
    <n v="48"/>
    <x v="1"/>
    <x v="5"/>
    <d v="2025-02-21T00:00:00"/>
    <d v="2025-03-05T00:00:00"/>
    <n v="12"/>
    <x v="0"/>
    <n v="7"/>
    <x v="1"/>
    <x v="0"/>
    <n v="2668.45"/>
    <x v="4"/>
    <n v="2025"/>
    <x v="0"/>
    <m/>
    <m/>
    <m/>
    <m/>
    <m/>
  </r>
  <r>
    <x v="551"/>
    <n v="35"/>
    <x v="1"/>
    <x v="5"/>
    <d v="2025-01-05T00:00:00"/>
    <d v="2025-01-08T00:00:00"/>
    <n v="3"/>
    <x v="1"/>
    <n v="0"/>
    <x v="2"/>
    <x v="2"/>
    <n v="8651.01"/>
    <x v="2"/>
    <n v="2025"/>
    <x v="0"/>
    <m/>
    <m/>
    <m/>
    <m/>
    <m/>
  </r>
  <r>
    <x v="552"/>
    <n v="38"/>
    <x v="0"/>
    <x v="0"/>
    <d v="2025-10-18T00:00:00"/>
    <d v="2025-10-19T00:00:00"/>
    <n v="1"/>
    <x v="1"/>
    <n v="0"/>
    <x v="2"/>
    <x v="2"/>
    <n v="12665.09"/>
    <x v="1"/>
    <n v="2025"/>
    <x v="0"/>
    <m/>
    <m/>
    <m/>
    <m/>
    <m/>
  </r>
  <r>
    <x v="553"/>
    <n v="51"/>
    <x v="1"/>
    <x v="3"/>
    <d v="2025-02-19T00:00:00"/>
    <d v="2025-02-27T00:00:00"/>
    <n v="8"/>
    <x v="1"/>
    <n v="0"/>
    <x v="2"/>
    <x v="2"/>
    <n v="787.61"/>
    <x v="4"/>
    <n v="2025"/>
    <x v="0"/>
    <m/>
    <m/>
    <m/>
    <m/>
    <m/>
  </r>
  <r>
    <x v="554"/>
    <n v="43"/>
    <x v="0"/>
    <x v="3"/>
    <d v="2025-03-04T00:00:00"/>
    <d v="2025-03-10T00:00:00"/>
    <n v="6"/>
    <x v="1"/>
    <n v="0"/>
    <x v="2"/>
    <x v="2"/>
    <n v="10261.299999999999"/>
    <x v="3"/>
    <n v="2025"/>
    <x v="0"/>
    <m/>
    <m/>
    <m/>
    <m/>
    <m/>
  </r>
  <r>
    <x v="555"/>
    <n v="28"/>
    <x v="1"/>
    <x v="4"/>
    <d v="2025-09-07T00:00:00"/>
    <d v="2025-09-20T00:00:00"/>
    <n v="13"/>
    <x v="1"/>
    <n v="0"/>
    <x v="2"/>
    <x v="2"/>
    <n v="9659.83"/>
    <x v="7"/>
    <n v="2025"/>
    <x v="1"/>
    <m/>
    <m/>
    <m/>
    <m/>
    <m/>
  </r>
  <r>
    <x v="556"/>
    <n v="61"/>
    <x v="1"/>
    <x v="2"/>
    <d v="2025-03-16T00:00:00"/>
    <d v="2025-03-30T00:00:00"/>
    <n v="14"/>
    <x v="0"/>
    <n v="20"/>
    <x v="3"/>
    <x v="1"/>
    <n v="1647.12"/>
    <x v="3"/>
    <n v="2025"/>
    <x v="2"/>
    <m/>
    <m/>
    <m/>
    <m/>
    <m/>
  </r>
  <r>
    <x v="557"/>
    <n v="55"/>
    <x v="1"/>
    <x v="4"/>
    <d v="2025-06-25T00:00:00"/>
    <d v="2025-06-29T00:00:00"/>
    <n v="4"/>
    <x v="1"/>
    <n v="0"/>
    <x v="3"/>
    <x v="2"/>
    <n v="13371.53"/>
    <x v="9"/>
    <n v="2025"/>
    <x v="0"/>
    <m/>
    <m/>
    <m/>
    <m/>
    <m/>
  </r>
  <r>
    <x v="558"/>
    <n v="75"/>
    <x v="1"/>
    <x v="0"/>
    <d v="2025-07-05T00:00:00"/>
    <d v="2025-07-17T00:00:00"/>
    <n v="12"/>
    <x v="1"/>
    <n v="0"/>
    <x v="1"/>
    <x v="1"/>
    <n v="2313.08"/>
    <x v="5"/>
    <n v="2025"/>
    <x v="2"/>
    <m/>
    <m/>
    <m/>
    <m/>
    <m/>
  </r>
  <r>
    <x v="559"/>
    <n v="28"/>
    <x v="0"/>
    <x v="0"/>
    <d v="2025-05-01T00:00:00"/>
    <d v="2025-05-12T00:00:00"/>
    <n v="11"/>
    <x v="0"/>
    <n v="13"/>
    <x v="0"/>
    <x v="1"/>
    <n v="1424.99"/>
    <x v="6"/>
    <n v="2025"/>
    <x v="1"/>
    <m/>
    <m/>
    <m/>
    <m/>
    <m/>
  </r>
  <r>
    <x v="560"/>
    <n v="68"/>
    <x v="0"/>
    <x v="1"/>
    <d v="2025-08-31T00:00:00"/>
    <d v="2025-09-09T00:00:00"/>
    <n v="9"/>
    <x v="0"/>
    <n v="9"/>
    <x v="1"/>
    <x v="1"/>
    <n v="9995.07"/>
    <x v="11"/>
    <n v="2025"/>
    <x v="2"/>
    <m/>
    <m/>
    <m/>
    <m/>
    <m/>
  </r>
  <r>
    <x v="561"/>
    <n v="54"/>
    <x v="1"/>
    <x v="2"/>
    <d v="2025-07-19T00:00:00"/>
    <d v="2025-07-24T00:00:00"/>
    <n v="5"/>
    <x v="0"/>
    <n v="5"/>
    <x v="1"/>
    <x v="0"/>
    <n v="12658.51"/>
    <x v="5"/>
    <n v="2025"/>
    <x v="0"/>
    <m/>
    <m/>
    <m/>
    <m/>
    <m/>
  </r>
  <r>
    <x v="562"/>
    <n v="59"/>
    <x v="1"/>
    <x v="5"/>
    <d v="2025-01-15T00:00:00"/>
    <d v="2025-01-16T00:00:00"/>
    <n v="1"/>
    <x v="1"/>
    <n v="0"/>
    <x v="2"/>
    <x v="0"/>
    <n v="6950.25"/>
    <x v="2"/>
    <n v="2025"/>
    <x v="0"/>
    <m/>
    <m/>
    <m/>
    <m/>
    <m/>
  </r>
  <r>
    <x v="563"/>
    <n v="76"/>
    <x v="1"/>
    <x v="4"/>
    <d v="2025-12-24T00:00:00"/>
    <d v="2026-01-02T00:00:00"/>
    <n v="9"/>
    <x v="0"/>
    <n v="21"/>
    <x v="2"/>
    <x v="2"/>
    <n v="7483.95"/>
    <x v="10"/>
    <n v="2025"/>
    <x v="2"/>
    <m/>
    <m/>
    <m/>
    <m/>
    <m/>
  </r>
  <r>
    <x v="564"/>
    <n v="57"/>
    <x v="1"/>
    <x v="5"/>
    <d v="2025-04-27T00:00:00"/>
    <d v="2025-05-10T00:00:00"/>
    <n v="13"/>
    <x v="0"/>
    <n v="9"/>
    <x v="1"/>
    <x v="2"/>
    <n v="653.05999999999995"/>
    <x v="8"/>
    <n v="2025"/>
    <x v="0"/>
    <m/>
    <m/>
    <m/>
    <m/>
    <m/>
  </r>
  <r>
    <x v="565"/>
    <n v="35"/>
    <x v="1"/>
    <x v="3"/>
    <d v="2025-09-25T00:00:00"/>
    <d v="2025-10-09T00:00:00"/>
    <n v="14"/>
    <x v="1"/>
    <n v="0"/>
    <x v="3"/>
    <x v="0"/>
    <n v="620.6"/>
    <x v="7"/>
    <n v="2025"/>
    <x v="0"/>
    <m/>
    <m/>
    <m/>
    <m/>
    <m/>
  </r>
  <r>
    <x v="566"/>
    <n v="19"/>
    <x v="1"/>
    <x v="3"/>
    <d v="2025-09-09T00:00:00"/>
    <d v="2025-09-22T00:00:00"/>
    <n v="13"/>
    <x v="1"/>
    <n v="0"/>
    <x v="1"/>
    <x v="1"/>
    <n v="8449.08"/>
    <x v="7"/>
    <n v="2025"/>
    <x v="1"/>
    <m/>
    <m/>
    <m/>
    <m/>
    <m/>
  </r>
  <r>
    <x v="567"/>
    <n v="73"/>
    <x v="1"/>
    <x v="0"/>
    <d v="2025-04-07T00:00:00"/>
    <d v="2025-04-14T00:00:00"/>
    <n v="7"/>
    <x v="1"/>
    <n v="0"/>
    <x v="1"/>
    <x v="0"/>
    <n v="11188.21"/>
    <x v="8"/>
    <n v="2025"/>
    <x v="2"/>
    <m/>
    <m/>
    <m/>
    <m/>
    <m/>
  </r>
  <r>
    <x v="568"/>
    <n v="51"/>
    <x v="0"/>
    <x v="5"/>
    <d v="2025-07-19T00:00:00"/>
    <d v="2025-08-02T00:00:00"/>
    <n v="14"/>
    <x v="1"/>
    <n v="0"/>
    <x v="1"/>
    <x v="0"/>
    <n v="11585.81"/>
    <x v="5"/>
    <n v="2025"/>
    <x v="0"/>
    <m/>
    <m/>
    <m/>
    <m/>
    <m/>
  </r>
  <r>
    <x v="569"/>
    <n v="52"/>
    <x v="1"/>
    <x v="2"/>
    <d v="2025-11-10T00:00:00"/>
    <d v="2025-11-23T00:00:00"/>
    <n v="13"/>
    <x v="1"/>
    <n v="0"/>
    <x v="2"/>
    <x v="2"/>
    <n v="3226.01"/>
    <x v="0"/>
    <n v="2025"/>
    <x v="0"/>
    <m/>
    <m/>
    <m/>
    <m/>
    <m/>
  </r>
  <r>
    <x v="570"/>
    <n v="32"/>
    <x v="1"/>
    <x v="4"/>
    <d v="2025-02-05T00:00:00"/>
    <d v="2025-02-08T00:00:00"/>
    <n v="3"/>
    <x v="0"/>
    <n v="15"/>
    <x v="2"/>
    <x v="0"/>
    <n v="9529.93"/>
    <x v="4"/>
    <n v="2025"/>
    <x v="0"/>
    <m/>
    <m/>
    <m/>
    <m/>
    <m/>
  </r>
  <r>
    <x v="571"/>
    <n v="24"/>
    <x v="0"/>
    <x v="0"/>
    <d v="2025-04-07T00:00:00"/>
    <d v="2025-04-13T00:00:00"/>
    <n v="6"/>
    <x v="0"/>
    <n v="4"/>
    <x v="2"/>
    <x v="2"/>
    <n v="2313.0700000000002"/>
    <x v="8"/>
    <n v="2025"/>
    <x v="1"/>
    <m/>
    <m/>
    <m/>
    <m/>
    <m/>
  </r>
  <r>
    <x v="572"/>
    <n v="29"/>
    <x v="0"/>
    <x v="1"/>
    <d v="2025-08-13T00:00:00"/>
    <d v="2025-08-25T00:00:00"/>
    <n v="12"/>
    <x v="0"/>
    <n v="16"/>
    <x v="1"/>
    <x v="2"/>
    <n v="6593.52"/>
    <x v="11"/>
    <n v="2025"/>
    <x v="1"/>
    <m/>
    <m/>
    <m/>
    <m/>
    <m/>
  </r>
  <r>
    <x v="573"/>
    <n v="22"/>
    <x v="1"/>
    <x v="1"/>
    <d v="2025-09-13T00:00:00"/>
    <d v="2025-09-19T00:00:00"/>
    <n v="6"/>
    <x v="1"/>
    <n v="0"/>
    <x v="1"/>
    <x v="1"/>
    <n v="4364.3"/>
    <x v="7"/>
    <n v="2025"/>
    <x v="1"/>
    <m/>
    <m/>
    <m/>
    <m/>
    <m/>
  </r>
  <r>
    <x v="574"/>
    <n v="41"/>
    <x v="0"/>
    <x v="3"/>
    <d v="2025-07-20T00:00:00"/>
    <d v="2025-07-22T00:00:00"/>
    <n v="2"/>
    <x v="1"/>
    <n v="0"/>
    <x v="3"/>
    <x v="1"/>
    <n v="2268.44"/>
    <x v="5"/>
    <n v="2025"/>
    <x v="0"/>
    <m/>
    <m/>
    <m/>
    <m/>
    <m/>
  </r>
  <r>
    <x v="575"/>
    <n v="74"/>
    <x v="0"/>
    <x v="2"/>
    <d v="2025-05-08T00:00:00"/>
    <d v="2025-05-15T00:00:00"/>
    <n v="7"/>
    <x v="1"/>
    <n v="0"/>
    <x v="0"/>
    <x v="1"/>
    <n v="7182.1"/>
    <x v="6"/>
    <n v="2025"/>
    <x v="2"/>
    <m/>
    <m/>
    <m/>
    <m/>
    <m/>
  </r>
  <r>
    <x v="576"/>
    <n v="44"/>
    <x v="1"/>
    <x v="5"/>
    <d v="2025-02-18T00:00:00"/>
    <d v="2025-02-27T00:00:00"/>
    <n v="9"/>
    <x v="1"/>
    <n v="0"/>
    <x v="2"/>
    <x v="2"/>
    <n v="2799.87"/>
    <x v="4"/>
    <n v="2025"/>
    <x v="0"/>
    <m/>
    <m/>
    <m/>
    <m/>
    <m/>
  </r>
  <r>
    <x v="577"/>
    <n v="84"/>
    <x v="0"/>
    <x v="3"/>
    <d v="2025-01-22T00:00:00"/>
    <d v="2025-02-03T00:00:00"/>
    <n v="12"/>
    <x v="1"/>
    <n v="0"/>
    <x v="3"/>
    <x v="0"/>
    <n v="4832.79"/>
    <x v="2"/>
    <n v="2025"/>
    <x v="2"/>
    <m/>
    <m/>
    <m/>
    <m/>
    <m/>
  </r>
  <r>
    <x v="578"/>
    <n v="45"/>
    <x v="0"/>
    <x v="0"/>
    <d v="2025-07-04T00:00:00"/>
    <d v="2025-07-05T00:00:00"/>
    <n v="1"/>
    <x v="1"/>
    <n v="0"/>
    <x v="3"/>
    <x v="2"/>
    <n v="718.48"/>
    <x v="5"/>
    <n v="2025"/>
    <x v="0"/>
    <m/>
    <m/>
    <m/>
    <m/>
    <m/>
  </r>
  <r>
    <x v="579"/>
    <n v="49"/>
    <x v="0"/>
    <x v="1"/>
    <d v="2025-05-22T00:00:00"/>
    <d v="2025-06-01T00:00:00"/>
    <n v="10"/>
    <x v="0"/>
    <n v="19"/>
    <x v="3"/>
    <x v="0"/>
    <n v="9145.08"/>
    <x v="6"/>
    <n v="2025"/>
    <x v="0"/>
    <m/>
    <m/>
    <m/>
    <m/>
    <m/>
  </r>
  <r>
    <x v="580"/>
    <n v="38"/>
    <x v="1"/>
    <x v="1"/>
    <d v="2025-07-10T00:00:00"/>
    <d v="2025-07-23T00:00:00"/>
    <n v="13"/>
    <x v="0"/>
    <n v="22"/>
    <x v="2"/>
    <x v="0"/>
    <n v="1370.76"/>
    <x v="5"/>
    <n v="2025"/>
    <x v="0"/>
    <m/>
    <m/>
    <m/>
    <m/>
    <m/>
  </r>
  <r>
    <x v="581"/>
    <n v="86"/>
    <x v="0"/>
    <x v="0"/>
    <d v="2025-07-02T00:00:00"/>
    <d v="2025-07-13T00:00:00"/>
    <n v="11"/>
    <x v="0"/>
    <n v="16"/>
    <x v="1"/>
    <x v="2"/>
    <n v="14734.3"/>
    <x v="5"/>
    <n v="2025"/>
    <x v="2"/>
    <m/>
    <m/>
    <m/>
    <m/>
    <m/>
  </r>
  <r>
    <x v="582"/>
    <n v="74"/>
    <x v="0"/>
    <x v="1"/>
    <d v="2025-11-27T00:00:00"/>
    <d v="2025-12-10T00:00:00"/>
    <n v="13"/>
    <x v="1"/>
    <n v="0"/>
    <x v="3"/>
    <x v="2"/>
    <n v="11003.79"/>
    <x v="0"/>
    <n v="2025"/>
    <x v="2"/>
    <m/>
    <m/>
    <m/>
    <m/>
    <m/>
  </r>
  <r>
    <x v="583"/>
    <n v="74"/>
    <x v="1"/>
    <x v="4"/>
    <d v="2025-05-09T00:00:00"/>
    <d v="2025-05-10T00:00:00"/>
    <n v="1"/>
    <x v="1"/>
    <n v="0"/>
    <x v="3"/>
    <x v="1"/>
    <n v="8717.18"/>
    <x v="6"/>
    <n v="2025"/>
    <x v="2"/>
    <m/>
    <m/>
    <m/>
    <m/>
    <m/>
  </r>
  <r>
    <x v="584"/>
    <n v="77"/>
    <x v="1"/>
    <x v="4"/>
    <d v="2025-10-06T00:00:00"/>
    <d v="2025-10-12T00:00:00"/>
    <n v="6"/>
    <x v="1"/>
    <n v="0"/>
    <x v="1"/>
    <x v="1"/>
    <n v="8201.49"/>
    <x v="1"/>
    <n v="2025"/>
    <x v="2"/>
    <m/>
    <m/>
    <m/>
    <m/>
    <m/>
  </r>
  <r>
    <x v="585"/>
    <n v="87"/>
    <x v="1"/>
    <x v="5"/>
    <d v="2025-08-19T00:00:00"/>
    <d v="2025-08-24T00:00:00"/>
    <n v="5"/>
    <x v="1"/>
    <n v="0"/>
    <x v="0"/>
    <x v="0"/>
    <n v="7836.39"/>
    <x v="11"/>
    <n v="2025"/>
    <x v="2"/>
    <m/>
    <m/>
    <m/>
    <m/>
    <m/>
  </r>
  <r>
    <x v="586"/>
    <n v="64"/>
    <x v="0"/>
    <x v="3"/>
    <d v="2025-04-05T00:00:00"/>
    <d v="2025-04-06T00:00:00"/>
    <n v="1"/>
    <x v="1"/>
    <n v="0"/>
    <x v="0"/>
    <x v="0"/>
    <n v="14523.87"/>
    <x v="8"/>
    <n v="2025"/>
    <x v="2"/>
    <m/>
    <m/>
    <m/>
    <m/>
    <m/>
  </r>
  <r>
    <x v="587"/>
    <n v="81"/>
    <x v="0"/>
    <x v="4"/>
    <d v="2025-07-18T00:00:00"/>
    <d v="2025-07-22T00:00:00"/>
    <n v="4"/>
    <x v="1"/>
    <n v="0"/>
    <x v="2"/>
    <x v="2"/>
    <n v="6442.17"/>
    <x v="5"/>
    <n v="2025"/>
    <x v="2"/>
    <m/>
    <m/>
    <m/>
    <m/>
    <m/>
  </r>
  <r>
    <x v="588"/>
    <n v="26"/>
    <x v="0"/>
    <x v="0"/>
    <d v="2025-06-14T00:00:00"/>
    <d v="2025-06-16T00:00:00"/>
    <n v="2"/>
    <x v="0"/>
    <n v="6"/>
    <x v="0"/>
    <x v="1"/>
    <n v="2052.3000000000002"/>
    <x v="9"/>
    <n v="2025"/>
    <x v="1"/>
    <m/>
    <m/>
    <m/>
    <m/>
    <m/>
  </r>
  <r>
    <x v="589"/>
    <n v="67"/>
    <x v="1"/>
    <x v="4"/>
    <d v="2025-04-09T00:00:00"/>
    <d v="2025-04-11T00:00:00"/>
    <n v="2"/>
    <x v="0"/>
    <n v="20"/>
    <x v="2"/>
    <x v="1"/>
    <n v="5812.13"/>
    <x v="8"/>
    <n v="2025"/>
    <x v="2"/>
    <m/>
    <m/>
    <m/>
    <m/>
    <m/>
  </r>
  <r>
    <x v="590"/>
    <n v="44"/>
    <x v="1"/>
    <x v="1"/>
    <d v="2025-11-07T00:00:00"/>
    <d v="2025-11-19T00:00:00"/>
    <n v="12"/>
    <x v="0"/>
    <n v="15"/>
    <x v="0"/>
    <x v="2"/>
    <n v="8591.2900000000009"/>
    <x v="0"/>
    <n v="2025"/>
    <x v="0"/>
    <m/>
    <m/>
    <m/>
    <m/>
    <m/>
  </r>
  <r>
    <x v="591"/>
    <n v="25"/>
    <x v="1"/>
    <x v="4"/>
    <d v="2025-08-01T00:00:00"/>
    <d v="2025-08-15T00:00:00"/>
    <n v="14"/>
    <x v="1"/>
    <n v="0"/>
    <x v="0"/>
    <x v="0"/>
    <n v="1520.63"/>
    <x v="11"/>
    <n v="2025"/>
    <x v="1"/>
    <m/>
    <m/>
    <m/>
    <m/>
    <m/>
  </r>
  <r>
    <x v="592"/>
    <n v="84"/>
    <x v="0"/>
    <x v="1"/>
    <d v="2025-06-05T00:00:00"/>
    <d v="2025-06-07T00:00:00"/>
    <n v="2"/>
    <x v="1"/>
    <n v="0"/>
    <x v="1"/>
    <x v="0"/>
    <n v="6087.3"/>
    <x v="9"/>
    <n v="2025"/>
    <x v="2"/>
    <m/>
    <m/>
    <m/>
    <m/>
    <m/>
  </r>
  <r>
    <x v="593"/>
    <n v="90"/>
    <x v="0"/>
    <x v="4"/>
    <d v="2025-04-09T00:00:00"/>
    <d v="2025-04-18T00:00:00"/>
    <n v="9"/>
    <x v="1"/>
    <n v="0"/>
    <x v="3"/>
    <x v="0"/>
    <n v="2029.96"/>
    <x v="8"/>
    <n v="2025"/>
    <x v="2"/>
    <m/>
    <m/>
    <m/>
    <m/>
    <m/>
  </r>
  <r>
    <x v="594"/>
    <n v="76"/>
    <x v="1"/>
    <x v="1"/>
    <d v="2025-11-23T00:00:00"/>
    <d v="2025-12-03T00:00:00"/>
    <n v="10"/>
    <x v="1"/>
    <n v="0"/>
    <x v="1"/>
    <x v="1"/>
    <n v="8474.5"/>
    <x v="0"/>
    <n v="2025"/>
    <x v="2"/>
    <m/>
    <m/>
    <m/>
    <m/>
    <m/>
  </r>
  <r>
    <x v="595"/>
    <n v="86"/>
    <x v="1"/>
    <x v="3"/>
    <d v="2025-09-16T00:00:00"/>
    <d v="2025-09-22T00:00:00"/>
    <n v="6"/>
    <x v="1"/>
    <n v="0"/>
    <x v="2"/>
    <x v="0"/>
    <n v="14876.21"/>
    <x v="7"/>
    <n v="2025"/>
    <x v="2"/>
    <m/>
    <m/>
    <m/>
    <m/>
    <m/>
  </r>
  <r>
    <x v="596"/>
    <n v="73"/>
    <x v="1"/>
    <x v="4"/>
    <d v="2025-06-16T00:00:00"/>
    <d v="2025-06-30T00:00:00"/>
    <n v="14"/>
    <x v="1"/>
    <n v="0"/>
    <x v="1"/>
    <x v="0"/>
    <n v="8411.58"/>
    <x v="9"/>
    <n v="2025"/>
    <x v="2"/>
    <m/>
    <m/>
    <m/>
    <m/>
    <m/>
  </r>
  <r>
    <x v="597"/>
    <n v="50"/>
    <x v="1"/>
    <x v="5"/>
    <d v="2025-07-12T00:00:00"/>
    <d v="2025-07-25T00:00:00"/>
    <n v="13"/>
    <x v="1"/>
    <n v="0"/>
    <x v="3"/>
    <x v="2"/>
    <n v="502.84"/>
    <x v="5"/>
    <n v="2025"/>
    <x v="0"/>
    <m/>
    <m/>
    <m/>
    <m/>
    <m/>
  </r>
  <r>
    <x v="598"/>
    <n v="84"/>
    <x v="0"/>
    <x v="3"/>
    <d v="2025-01-18T00:00:00"/>
    <d v="2025-01-23T00:00:00"/>
    <n v="5"/>
    <x v="1"/>
    <n v="0"/>
    <x v="0"/>
    <x v="2"/>
    <n v="14773.72"/>
    <x v="2"/>
    <n v="2025"/>
    <x v="2"/>
    <m/>
    <m/>
    <m/>
    <m/>
    <m/>
  </r>
  <r>
    <x v="599"/>
    <n v="53"/>
    <x v="0"/>
    <x v="1"/>
    <d v="2025-04-20T00:00:00"/>
    <d v="2025-05-04T00:00:00"/>
    <n v="14"/>
    <x v="1"/>
    <n v="0"/>
    <x v="0"/>
    <x v="2"/>
    <n v="5657.01"/>
    <x v="8"/>
    <n v="2025"/>
    <x v="0"/>
    <m/>
    <m/>
    <m/>
    <m/>
    <m/>
  </r>
  <r>
    <x v="600"/>
    <n v="49"/>
    <x v="0"/>
    <x v="3"/>
    <d v="2025-03-12T00:00:00"/>
    <d v="2025-03-17T00:00:00"/>
    <n v="5"/>
    <x v="1"/>
    <n v="0"/>
    <x v="2"/>
    <x v="1"/>
    <n v="8772.06"/>
    <x v="3"/>
    <n v="2025"/>
    <x v="0"/>
    <m/>
    <m/>
    <m/>
    <m/>
    <m/>
  </r>
  <r>
    <x v="601"/>
    <n v="59"/>
    <x v="1"/>
    <x v="0"/>
    <d v="2025-10-19T00:00:00"/>
    <d v="2025-10-23T00:00:00"/>
    <n v="4"/>
    <x v="1"/>
    <n v="0"/>
    <x v="3"/>
    <x v="0"/>
    <n v="10691.29"/>
    <x v="1"/>
    <n v="2025"/>
    <x v="0"/>
    <m/>
    <m/>
    <m/>
    <m/>
    <m/>
  </r>
  <r>
    <x v="602"/>
    <n v="22"/>
    <x v="1"/>
    <x v="1"/>
    <d v="2025-02-18T00:00:00"/>
    <d v="2025-02-28T00:00:00"/>
    <n v="10"/>
    <x v="1"/>
    <n v="0"/>
    <x v="0"/>
    <x v="2"/>
    <n v="5544.99"/>
    <x v="4"/>
    <n v="2025"/>
    <x v="1"/>
    <m/>
    <m/>
    <m/>
    <m/>
    <m/>
  </r>
  <r>
    <x v="603"/>
    <n v="33"/>
    <x v="0"/>
    <x v="2"/>
    <d v="2025-08-11T00:00:00"/>
    <d v="2025-08-18T00:00:00"/>
    <n v="7"/>
    <x v="1"/>
    <n v="0"/>
    <x v="0"/>
    <x v="0"/>
    <n v="11772.57"/>
    <x v="11"/>
    <n v="2025"/>
    <x v="0"/>
    <m/>
    <m/>
    <m/>
    <m/>
    <m/>
  </r>
  <r>
    <x v="604"/>
    <n v="23"/>
    <x v="1"/>
    <x v="4"/>
    <d v="2025-07-15T00:00:00"/>
    <d v="2025-07-16T00:00:00"/>
    <n v="1"/>
    <x v="1"/>
    <n v="0"/>
    <x v="1"/>
    <x v="2"/>
    <n v="7784.82"/>
    <x v="5"/>
    <n v="2025"/>
    <x v="1"/>
    <m/>
    <m/>
    <m/>
    <m/>
    <m/>
  </r>
  <r>
    <x v="605"/>
    <n v="68"/>
    <x v="1"/>
    <x v="4"/>
    <d v="2025-04-24T00:00:00"/>
    <d v="2025-04-27T00:00:00"/>
    <n v="3"/>
    <x v="0"/>
    <n v="19"/>
    <x v="0"/>
    <x v="1"/>
    <n v="6763.07"/>
    <x v="8"/>
    <n v="2025"/>
    <x v="2"/>
    <m/>
    <m/>
    <m/>
    <m/>
    <m/>
  </r>
  <r>
    <x v="606"/>
    <n v="28"/>
    <x v="1"/>
    <x v="4"/>
    <d v="2025-07-21T00:00:00"/>
    <d v="2025-07-24T00:00:00"/>
    <n v="3"/>
    <x v="0"/>
    <n v="24"/>
    <x v="0"/>
    <x v="0"/>
    <n v="6288.27"/>
    <x v="5"/>
    <n v="2025"/>
    <x v="1"/>
    <m/>
    <m/>
    <m/>
    <m/>
    <m/>
  </r>
  <r>
    <x v="607"/>
    <n v="34"/>
    <x v="0"/>
    <x v="5"/>
    <d v="2025-02-13T00:00:00"/>
    <d v="2025-02-20T00:00:00"/>
    <n v="7"/>
    <x v="1"/>
    <n v="0"/>
    <x v="1"/>
    <x v="2"/>
    <n v="6232.12"/>
    <x v="4"/>
    <n v="2025"/>
    <x v="0"/>
    <m/>
    <m/>
    <m/>
    <m/>
    <m/>
  </r>
  <r>
    <x v="608"/>
    <n v="85"/>
    <x v="0"/>
    <x v="0"/>
    <d v="2025-10-20T00:00:00"/>
    <d v="2025-10-24T00:00:00"/>
    <n v="4"/>
    <x v="1"/>
    <n v="0"/>
    <x v="0"/>
    <x v="2"/>
    <n v="11763.19"/>
    <x v="1"/>
    <n v="2025"/>
    <x v="2"/>
    <m/>
    <m/>
    <m/>
    <m/>
    <m/>
  </r>
  <r>
    <x v="609"/>
    <n v="29"/>
    <x v="0"/>
    <x v="2"/>
    <d v="2025-06-15T00:00:00"/>
    <d v="2025-06-26T00:00:00"/>
    <n v="11"/>
    <x v="1"/>
    <n v="0"/>
    <x v="3"/>
    <x v="2"/>
    <n v="5796.38"/>
    <x v="9"/>
    <n v="2025"/>
    <x v="1"/>
    <m/>
    <m/>
    <m/>
    <m/>
    <m/>
  </r>
  <r>
    <x v="610"/>
    <n v="21"/>
    <x v="1"/>
    <x v="0"/>
    <d v="2025-04-08T00:00:00"/>
    <d v="2025-04-14T00:00:00"/>
    <n v="6"/>
    <x v="1"/>
    <n v="0"/>
    <x v="2"/>
    <x v="0"/>
    <n v="12412.97"/>
    <x v="8"/>
    <n v="2025"/>
    <x v="1"/>
    <m/>
    <m/>
    <m/>
    <m/>
    <m/>
  </r>
  <r>
    <x v="611"/>
    <n v="23"/>
    <x v="0"/>
    <x v="0"/>
    <d v="2025-08-15T00:00:00"/>
    <d v="2025-08-25T00:00:00"/>
    <n v="10"/>
    <x v="0"/>
    <n v="22"/>
    <x v="2"/>
    <x v="1"/>
    <n v="11487.14"/>
    <x v="11"/>
    <n v="2025"/>
    <x v="1"/>
    <m/>
    <m/>
    <m/>
    <m/>
    <m/>
  </r>
  <r>
    <x v="612"/>
    <n v="49"/>
    <x v="0"/>
    <x v="3"/>
    <d v="2025-02-13T00:00:00"/>
    <d v="2025-02-15T00:00:00"/>
    <n v="2"/>
    <x v="1"/>
    <n v="0"/>
    <x v="0"/>
    <x v="2"/>
    <n v="10560.03"/>
    <x v="4"/>
    <n v="2025"/>
    <x v="0"/>
    <m/>
    <m/>
    <m/>
    <m/>
    <m/>
  </r>
  <r>
    <x v="613"/>
    <n v="20"/>
    <x v="1"/>
    <x v="0"/>
    <d v="2025-02-26T00:00:00"/>
    <d v="2025-03-03T00:00:00"/>
    <n v="5"/>
    <x v="1"/>
    <n v="0"/>
    <x v="1"/>
    <x v="1"/>
    <n v="8423.15"/>
    <x v="4"/>
    <n v="2025"/>
    <x v="1"/>
    <m/>
    <m/>
    <m/>
    <m/>
    <m/>
  </r>
  <r>
    <x v="614"/>
    <n v="36"/>
    <x v="0"/>
    <x v="5"/>
    <d v="2025-05-13T00:00:00"/>
    <d v="2025-05-22T00:00:00"/>
    <n v="9"/>
    <x v="1"/>
    <n v="0"/>
    <x v="0"/>
    <x v="2"/>
    <n v="2969.63"/>
    <x v="6"/>
    <n v="2025"/>
    <x v="0"/>
    <m/>
    <m/>
    <m/>
    <m/>
    <m/>
  </r>
  <r>
    <x v="615"/>
    <n v="52"/>
    <x v="0"/>
    <x v="5"/>
    <d v="2025-05-26T00:00:00"/>
    <d v="2025-05-30T00:00:00"/>
    <n v="4"/>
    <x v="1"/>
    <n v="0"/>
    <x v="0"/>
    <x v="1"/>
    <n v="6135.35"/>
    <x v="6"/>
    <n v="2025"/>
    <x v="0"/>
    <m/>
    <m/>
    <m/>
    <m/>
    <m/>
  </r>
  <r>
    <x v="616"/>
    <n v="64"/>
    <x v="0"/>
    <x v="1"/>
    <d v="2025-05-19T00:00:00"/>
    <d v="2025-05-30T00:00:00"/>
    <n v="11"/>
    <x v="1"/>
    <n v="0"/>
    <x v="2"/>
    <x v="0"/>
    <n v="6104.59"/>
    <x v="6"/>
    <n v="2025"/>
    <x v="2"/>
    <m/>
    <m/>
    <m/>
    <m/>
    <m/>
  </r>
  <r>
    <x v="617"/>
    <n v="30"/>
    <x v="1"/>
    <x v="5"/>
    <d v="2025-07-14T00:00:00"/>
    <d v="2025-07-23T00:00:00"/>
    <n v="9"/>
    <x v="1"/>
    <n v="0"/>
    <x v="0"/>
    <x v="1"/>
    <n v="3383.69"/>
    <x v="5"/>
    <n v="2025"/>
    <x v="0"/>
    <m/>
    <m/>
    <m/>
    <m/>
    <m/>
  </r>
  <r>
    <x v="618"/>
    <n v="20"/>
    <x v="0"/>
    <x v="0"/>
    <d v="2025-08-23T00:00:00"/>
    <d v="2025-09-01T00:00:00"/>
    <n v="9"/>
    <x v="1"/>
    <n v="0"/>
    <x v="2"/>
    <x v="2"/>
    <n v="7604.03"/>
    <x v="11"/>
    <n v="2025"/>
    <x v="1"/>
    <m/>
    <m/>
    <m/>
    <m/>
    <m/>
  </r>
  <r>
    <x v="619"/>
    <n v="63"/>
    <x v="1"/>
    <x v="2"/>
    <d v="2025-03-22T00:00:00"/>
    <d v="2025-03-23T00:00:00"/>
    <n v="1"/>
    <x v="1"/>
    <n v="0"/>
    <x v="2"/>
    <x v="1"/>
    <n v="14941.92"/>
    <x v="3"/>
    <n v="2025"/>
    <x v="2"/>
    <m/>
    <m/>
    <m/>
    <m/>
    <m/>
  </r>
  <r>
    <x v="620"/>
    <n v="50"/>
    <x v="1"/>
    <x v="1"/>
    <d v="2025-09-14T00:00:00"/>
    <d v="2025-09-19T00:00:00"/>
    <n v="5"/>
    <x v="1"/>
    <n v="0"/>
    <x v="2"/>
    <x v="1"/>
    <n v="2699.77"/>
    <x v="7"/>
    <n v="2025"/>
    <x v="0"/>
    <m/>
    <m/>
    <m/>
    <m/>
    <m/>
  </r>
  <r>
    <x v="621"/>
    <n v="66"/>
    <x v="0"/>
    <x v="5"/>
    <d v="2025-07-21T00:00:00"/>
    <d v="2025-08-01T00:00:00"/>
    <n v="11"/>
    <x v="0"/>
    <n v="8"/>
    <x v="1"/>
    <x v="2"/>
    <n v="14572.79"/>
    <x v="5"/>
    <n v="2025"/>
    <x v="2"/>
    <m/>
    <m/>
    <m/>
    <m/>
    <m/>
  </r>
  <r>
    <x v="622"/>
    <n v="34"/>
    <x v="0"/>
    <x v="2"/>
    <d v="2025-11-06T00:00:00"/>
    <d v="2025-11-12T00:00:00"/>
    <n v="6"/>
    <x v="1"/>
    <n v="0"/>
    <x v="1"/>
    <x v="0"/>
    <n v="8349.6299999999992"/>
    <x v="0"/>
    <n v="2025"/>
    <x v="0"/>
    <m/>
    <m/>
    <m/>
    <m/>
    <m/>
  </r>
  <r>
    <x v="623"/>
    <n v="85"/>
    <x v="0"/>
    <x v="5"/>
    <d v="2025-04-14T00:00:00"/>
    <d v="2025-04-28T00:00:00"/>
    <n v="14"/>
    <x v="0"/>
    <n v="30"/>
    <x v="1"/>
    <x v="0"/>
    <n v="14028.93"/>
    <x v="8"/>
    <n v="2025"/>
    <x v="2"/>
    <m/>
    <m/>
    <m/>
    <m/>
    <m/>
  </r>
  <r>
    <x v="624"/>
    <n v="86"/>
    <x v="0"/>
    <x v="0"/>
    <d v="2025-03-22T00:00:00"/>
    <d v="2025-03-28T00:00:00"/>
    <n v="6"/>
    <x v="0"/>
    <n v="11"/>
    <x v="1"/>
    <x v="0"/>
    <n v="927.51"/>
    <x v="3"/>
    <n v="2025"/>
    <x v="2"/>
    <m/>
    <m/>
    <m/>
    <m/>
    <m/>
  </r>
  <r>
    <x v="625"/>
    <n v="56"/>
    <x v="1"/>
    <x v="2"/>
    <d v="2025-06-13T00:00:00"/>
    <d v="2025-06-20T00:00:00"/>
    <n v="7"/>
    <x v="1"/>
    <n v="0"/>
    <x v="2"/>
    <x v="1"/>
    <n v="11797.06"/>
    <x v="9"/>
    <n v="2025"/>
    <x v="0"/>
    <m/>
    <m/>
    <m/>
    <m/>
    <m/>
  </r>
  <r>
    <x v="626"/>
    <n v="52"/>
    <x v="0"/>
    <x v="4"/>
    <d v="2025-02-24T00:00:00"/>
    <d v="2025-02-27T00:00:00"/>
    <n v="3"/>
    <x v="0"/>
    <n v="8"/>
    <x v="1"/>
    <x v="0"/>
    <n v="878.23"/>
    <x v="4"/>
    <n v="2025"/>
    <x v="0"/>
    <m/>
    <m/>
    <m/>
    <m/>
    <m/>
  </r>
  <r>
    <x v="627"/>
    <n v="35"/>
    <x v="1"/>
    <x v="2"/>
    <d v="2025-02-10T00:00:00"/>
    <d v="2025-02-22T00:00:00"/>
    <n v="12"/>
    <x v="1"/>
    <n v="0"/>
    <x v="2"/>
    <x v="1"/>
    <n v="12855.88"/>
    <x v="4"/>
    <n v="2025"/>
    <x v="0"/>
    <m/>
    <m/>
    <m/>
    <m/>
    <m/>
  </r>
  <r>
    <x v="628"/>
    <n v="42"/>
    <x v="0"/>
    <x v="1"/>
    <d v="2025-09-09T00:00:00"/>
    <d v="2025-09-17T00:00:00"/>
    <n v="8"/>
    <x v="0"/>
    <n v="14"/>
    <x v="0"/>
    <x v="2"/>
    <n v="14277.87"/>
    <x v="7"/>
    <n v="2025"/>
    <x v="0"/>
    <m/>
    <m/>
    <m/>
    <m/>
    <m/>
  </r>
  <r>
    <x v="629"/>
    <n v="43"/>
    <x v="0"/>
    <x v="1"/>
    <d v="2025-04-24T00:00:00"/>
    <d v="2025-05-06T00:00:00"/>
    <n v="12"/>
    <x v="1"/>
    <n v="0"/>
    <x v="1"/>
    <x v="2"/>
    <n v="13073.37"/>
    <x v="8"/>
    <n v="2025"/>
    <x v="0"/>
    <m/>
    <m/>
    <m/>
    <m/>
    <m/>
  </r>
  <r>
    <x v="630"/>
    <n v="76"/>
    <x v="0"/>
    <x v="5"/>
    <d v="2025-09-08T00:00:00"/>
    <d v="2025-09-20T00:00:00"/>
    <n v="12"/>
    <x v="1"/>
    <n v="0"/>
    <x v="3"/>
    <x v="1"/>
    <n v="9314.98"/>
    <x v="7"/>
    <n v="2025"/>
    <x v="2"/>
    <m/>
    <m/>
    <m/>
    <m/>
    <m/>
  </r>
  <r>
    <x v="631"/>
    <n v="86"/>
    <x v="0"/>
    <x v="4"/>
    <d v="2025-07-14T00:00:00"/>
    <d v="2025-07-26T00:00:00"/>
    <n v="12"/>
    <x v="1"/>
    <n v="0"/>
    <x v="0"/>
    <x v="2"/>
    <n v="7125.06"/>
    <x v="5"/>
    <n v="2025"/>
    <x v="2"/>
    <m/>
    <m/>
    <m/>
    <m/>
    <m/>
  </r>
  <r>
    <x v="632"/>
    <n v="68"/>
    <x v="0"/>
    <x v="4"/>
    <d v="2025-01-22T00:00:00"/>
    <d v="2025-01-26T00:00:00"/>
    <n v="4"/>
    <x v="1"/>
    <n v="0"/>
    <x v="3"/>
    <x v="0"/>
    <n v="11594.82"/>
    <x v="2"/>
    <n v="2025"/>
    <x v="2"/>
    <m/>
    <m/>
    <m/>
    <m/>
    <m/>
  </r>
  <r>
    <x v="633"/>
    <n v="68"/>
    <x v="1"/>
    <x v="3"/>
    <d v="2025-01-26T00:00:00"/>
    <d v="2025-01-30T00:00:00"/>
    <n v="4"/>
    <x v="0"/>
    <n v="15"/>
    <x v="1"/>
    <x v="2"/>
    <n v="4769.09"/>
    <x v="2"/>
    <n v="2025"/>
    <x v="2"/>
    <m/>
    <m/>
    <m/>
    <m/>
    <m/>
  </r>
  <r>
    <x v="634"/>
    <n v="36"/>
    <x v="1"/>
    <x v="2"/>
    <d v="2025-01-28T00:00:00"/>
    <d v="2025-02-09T00:00:00"/>
    <n v="12"/>
    <x v="1"/>
    <n v="0"/>
    <x v="3"/>
    <x v="1"/>
    <n v="10978.38"/>
    <x v="2"/>
    <n v="2025"/>
    <x v="0"/>
    <m/>
    <m/>
    <m/>
    <m/>
    <m/>
  </r>
  <r>
    <x v="635"/>
    <n v="87"/>
    <x v="0"/>
    <x v="5"/>
    <d v="2025-02-27T00:00:00"/>
    <d v="2025-03-02T00:00:00"/>
    <n v="3"/>
    <x v="1"/>
    <n v="0"/>
    <x v="3"/>
    <x v="2"/>
    <n v="7037.84"/>
    <x v="4"/>
    <n v="2025"/>
    <x v="2"/>
    <m/>
    <m/>
    <m/>
    <m/>
    <m/>
  </r>
  <r>
    <x v="636"/>
    <n v="43"/>
    <x v="1"/>
    <x v="1"/>
    <d v="2025-04-02T00:00:00"/>
    <d v="2025-04-10T00:00:00"/>
    <n v="8"/>
    <x v="1"/>
    <n v="0"/>
    <x v="2"/>
    <x v="2"/>
    <n v="10529.9"/>
    <x v="8"/>
    <n v="2025"/>
    <x v="0"/>
    <m/>
    <m/>
    <m/>
    <m/>
    <m/>
  </r>
  <r>
    <x v="637"/>
    <n v="33"/>
    <x v="0"/>
    <x v="1"/>
    <d v="2025-12-31T00:00:00"/>
    <d v="2026-01-13T00:00:00"/>
    <n v="13"/>
    <x v="0"/>
    <n v="23"/>
    <x v="3"/>
    <x v="0"/>
    <n v="5762.68"/>
    <x v="10"/>
    <n v="2025"/>
    <x v="0"/>
    <m/>
    <m/>
    <m/>
    <m/>
    <m/>
  </r>
  <r>
    <x v="638"/>
    <n v="83"/>
    <x v="0"/>
    <x v="5"/>
    <d v="2025-09-26T00:00:00"/>
    <d v="2025-10-08T00:00:00"/>
    <n v="12"/>
    <x v="1"/>
    <n v="0"/>
    <x v="3"/>
    <x v="1"/>
    <n v="11639.77"/>
    <x v="7"/>
    <n v="2025"/>
    <x v="2"/>
    <m/>
    <m/>
    <m/>
    <m/>
    <m/>
  </r>
  <r>
    <x v="639"/>
    <n v="37"/>
    <x v="0"/>
    <x v="0"/>
    <d v="2025-06-21T00:00:00"/>
    <d v="2025-07-01T00:00:00"/>
    <n v="10"/>
    <x v="1"/>
    <n v="0"/>
    <x v="1"/>
    <x v="0"/>
    <n v="1244"/>
    <x v="9"/>
    <n v="2025"/>
    <x v="0"/>
    <m/>
    <m/>
    <m/>
    <m/>
    <m/>
  </r>
  <r>
    <x v="640"/>
    <n v="75"/>
    <x v="1"/>
    <x v="2"/>
    <d v="2025-06-07T00:00:00"/>
    <d v="2025-06-12T00:00:00"/>
    <n v="5"/>
    <x v="1"/>
    <n v="0"/>
    <x v="1"/>
    <x v="1"/>
    <n v="13528.86"/>
    <x v="9"/>
    <n v="2025"/>
    <x v="2"/>
    <m/>
    <m/>
    <m/>
    <m/>
    <m/>
  </r>
  <r>
    <x v="641"/>
    <n v="50"/>
    <x v="0"/>
    <x v="5"/>
    <d v="2025-04-14T00:00:00"/>
    <d v="2025-04-15T00:00:00"/>
    <n v="1"/>
    <x v="1"/>
    <n v="0"/>
    <x v="3"/>
    <x v="2"/>
    <n v="8380.77"/>
    <x v="8"/>
    <n v="2025"/>
    <x v="0"/>
    <m/>
    <m/>
    <m/>
    <m/>
    <m/>
  </r>
  <r>
    <x v="642"/>
    <n v="48"/>
    <x v="0"/>
    <x v="4"/>
    <d v="2025-01-03T00:00:00"/>
    <d v="2025-01-13T00:00:00"/>
    <n v="10"/>
    <x v="1"/>
    <n v="0"/>
    <x v="3"/>
    <x v="2"/>
    <n v="6447.19"/>
    <x v="2"/>
    <n v="2025"/>
    <x v="0"/>
    <m/>
    <m/>
    <m/>
    <m/>
    <m/>
  </r>
  <r>
    <x v="643"/>
    <n v="49"/>
    <x v="1"/>
    <x v="4"/>
    <d v="2025-02-10T00:00:00"/>
    <d v="2025-02-20T00:00:00"/>
    <n v="10"/>
    <x v="1"/>
    <n v="0"/>
    <x v="1"/>
    <x v="1"/>
    <n v="3180.18"/>
    <x v="4"/>
    <n v="2025"/>
    <x v="0"/>
    <m/>
    <m/>
    <m/>
    <m/>
    <m/>
  </r>
  <r>
    <x v="644"/>
    <n v="36"/>
    <x v="0"/>
    <x v="2"/>
    <d v="2025-01-29T00:00:00"/>
    <d v="2025-02-09T00:00:00"/>
    <n v="11"/>
    <x v="1"/>
    <n v="0"/>
    <x v="2"/>
    <x v="2"/>
    <n v="13845.58"/>
    <x v="2"/>
    <n v="2025"/>
    <x v="0"/>
    <m/>
    <m/>
    <m/>
    <m/>
    <m/>
  </r>
  <r>
    <x v="645"/>
    <n v="40"/>
    <x v="0"/>
    <x v="2"/>
    <d v="2025-01-26T00:00:00"/>
    <d v="2025-01-28T00:00:00"/>
    <n v="2"/>
    <x v="1"/>
    <n v="0"/>
    <x v="2"/>
    <x v="0"/>
    <n v="10083.41"/>
    <x v="2"/>
    <n v="2025"/>
    <x v="0"/>
    <m/>
    <m/>
    <m/>
    <m/>
    <m/>
  </r>
  <r>
    <x v="646"/>
    <n v="89"/>
    <x v="0"/>
    <x v="5"/>
    <d v="2025-12-25T00:00:00"/>
    <d v="2026-01-04T00:00:00"/>
    <n v="10"/>
    <x v="1"/>
    <n v="0"/>
    <x v="2"/>
    <x v="1"/>
    <n v="1850.33"/>
    <x v="10"/>
    <n v="2025"/>
    <x v="2"/>
    <m/>
    <m/>
    <m/>
    <m/>
    <m/>
  </r>
  <r>
    <x v="647"/>
    <n v="66"/>
    <x v="0"/>
    <x v="5"/>
    <d v="2025-06-03T00:00:00"/>
    <d v="2025-06-09T00:00:00"/>
    <n v="6"/>
    <x v="1"/>
    <n v="0"/>
    <x v="0"/>
    <x v="2"/>
    <n v="7326.84"/>
    <x v="9"/>
    <n v="2025"/>
    <x v="2"/>
    <m/>
    <m/>
    <m/>
    <m/>
    <m/>
  </r>
  <r>
    <x v="648"/>
    <n v="60"/>
    <x v="1"/>
    <x v="4"/>
    <d v="2025-03-04T00:00:00"/>
    <d v="2025-03-16T00:00:00"/>
    <n v="12"/>
    <x v="1"/>
    <n v="0"/>
    <x v="1"/>
    <x v="0"/>
    <n v="3531.24"/>
    <x v="3"/>
    <n v="2025"/>
    <x v="2"/>
    <m/>
    <m/>
    <m/>
    <m/>
    <m/>
  </r>
  <r>
    <x v="649"/>
    <n v="85"/>
    <x v="0"/>
    <x v="5"/>
    <d v="2025-01-30T00:00:00"/>
    <d v="2025-02-01T00:00:00"/>
    <n v="2"/>
    <x v="1"/>
    <n v="0"/>
    <x v="2"/>
    <x v="2"/>
    <n v="9328.25"/>
    <x v="2"/>
    <n v="2025"/>
    <x v="2"/>
    <m/>
    <m/>
    <m/>
    <m/>
    <m/>
  </r>
  <r>
    <x v="650"/>
    <n v="63"/>
    <x v="0"/>
    <x v="4"/>
    <d v="2025-06-12T00:00:00"/>
    <d v="2025-06-17T00:00:00"/>
    <n v="5"/>
    <x v="1"/>
    <n v="0"/>
    <x v="3"/>
    <x v="0"/>
    <n v="11073.18"/>
    <x v="9"/>
    <n v="2025"/>
    <x v="2"/>
    <m/>
    <m/>
    <m/>
    <m/>
    <m/>
  </r>
  <r>
    <x v="651"/>
    <n v="47"/>
    <x v="1"/>
    <x v="0"/>
    <d v="2025-09-12T00:00:00"/>
    <d v="2025-09-20T00:00:00"/>
    <n v="8"/>
    <x v="1"/>
    <n v="0"/>
    <x v="0"/>
    <x v="1"/>
    <n v="847.81"/>
    <x v="7"/>
    <n v="2025"/>
    <x v="0"/>
    <m/>
    <m/>
    <m/>
    <m/>
    <m/>
  </r>
  <r>
    <x v="652"/>
    <n v="44"/>
    <x v="1"/>
    <x v="5"/>
    <d v="2025-11-17T00:00:00"/>
    <d v="2025-11-30T00:00:00"/>
    <n v="13"/>
    <x v="0"/>
    <n v="2"/>
    <x v="2"/>
    <x v="2"/>
    <n v="8626.02"/>
    <x v="0"/>
    <n v="2025"/>
    <x v="0"/>
    <m/>
    <m/>
    <m/>
    <m/>
    <m/>
  </r>
  <r>
    <x v="653"/>
    <n v="43"/>
    <x v="1"/>
    <x v="3"/>
    <d v="2025-11-23T00:00:00"/>
    <d v="2025-11-27T00:00:00"/>
    <n v="4"/>
    <x v="0"/>
    <n v="26"/>
    <x v="0"/>
    <x v="2"/>
    <n v="4854.12"/>
    <x v="0"/>
    <n v="2025"/>
    <x v="0"/>
    <m/>
    <m/>
    <m/>
    <m/>
    <m/>
  </r>
  <r>
    <x v="654"/>
    <n v="32"/>
    <x v="1"/>
    <x v="3"/>
    <d v="2025-10-09T00:00:00"/>
    <d v="2025-10-15T00:00:00"/>
    <n v="6"/>
    <x v="1"/>
    <n v="0"/>
    <x v="3"/>
    <x v="0"/>
    <n v="8749.36"/>
    <x v="1"/>
    <n v="2025"/>
    <x v="0"/>
    <m/>
    <m/>
    <m/>
    <m/>
    <m/>
  </r>
  <r>
    <x v="655"/>
    <n v="60"/>
    <x v="1"/>
    <x v="2"/>
    <d v="2025-01-15T00:00:00"/>
    <d v="2025-01-29T00:00:00"/>
    <n v="14"/>
    <x v="0"/>
    <n v="16"/>
    <x v="3"/>
    <x v="1"/>
    <n v="9861.9599999999991"/>
    <x v="2"/>
    <n v="2025"/>
    <x v="2"/>
    <m/>
    <m/>
    <m/>
    <m/>
    <m/>
  </r>
  <r>
    <x v="656"/>
    <n v="86"/>
    <x v="1"/>
    <x v="5"/>
    <d v="2025-09-04T00:00:00"/>
    <d v="2025-09-07T00:00:00"/>
    <n v="3"/>
    <x v="1"/>
    <n v="0"/>
    <x v="3"/>
    <x v="0"/>
    <n v="1312.32"/>
    <x v="7"/>
    <n v="2025"/>
    <x v="2"/>
    <m/>
    <m/>
    <m/>
    <m/>
    <m/>
  </r>
  <r>
    <x v="657"/>
    <n v="58"/>
    <x v="0"/>
    <x v="0"/>
    <d v="2025-09-24T00:00:00"/>
    <d v="2025-09-29T00:00:00"/>
    <n v="5"/>
    <x v="1"/>
    <n v="0"/>
    <x v="2"/>
    <x v="2"/>
    <n v="1460.09"/>
    <x v="7"/>
    <n v="2025"/>
    <x v="0"/>
    <m/>
    <m/>
    <m/>
    <m/>
    <m/>
  </r>
  <r>
    <x v="658"/>
    <n v="61"/>
    <x v="1"/>
    <x v="2"/>
    <d v="2025-03-18T00:00:00"/>
    <d v="2025-03-23T00:00:00"/>
    <n v="5"/>
    <x v="1"/>
    <n v="0"/>
    <x v="1"/>
    <x v="0"/>
    <n v="9282.49"/>
    <x v="3"/>
    <n v="2025"/>
    <x v="2"/>
    <m/>
    <m/>
    <m/>
    <m/>
    <m/>
  </r>
  <r>
    <x v="659"/>
    <n v="57"/>
    <x v="1"/>
    <x v="2"/>
    <d v="2025-04-06T00:00:00"/>
    <d v="2025-04-16T00:00:00"/>
    <n v="10"/>
    <x v="0"/>
    <n v="2"/>
    <x v="2"/>
    <x v="2"/>
    <n v="1758.57"/>
    <x v="8"/>
    <n v="2025"/>
    <x v="0"/>
    <m/>
    <m/>
    <m/>
    <m/>
    <m/>
  </r>
  <r>
    <x v="660"/>
    <n v="56"/>
    <x v="0"/>
    <x v="4"/>
    <d v="2025-05-02T00:00:00"/>
    <d v="2025-05-08T00:00:00"/>
    <n v="6"/>
    <x v="1"/>
    <n v="0"/>
    <x v="2"/>
    <x v="1"/>
    <n v="2127.35"/>
    <x v="6"/>
    <n v="2025"/>
    <x v="0"/>
    <m/>
    <m/>
    <m/>
    <m/>
    <m/>
  </r>
  <r>
    <x v="661"/>
    <n v="29"/>
    <x v="1"/>
    <x v="4"/>
    <d v="2025-01-20T00:00:00"/>
    <d v="2025-02-02T00:00:00"/>
    <n v="13"/>
    <x v="0"/>
    <n v="1"/>
    <x v="3"/>
    <x v="0"/>
    <n v="2734.13"/>
    <x v="2"/>
    <n v="2025"/>
    <x v="1"/>
    <m/>
    <m/>
    <m/>
    <m/>
    <m/>
  </r>
  <r>
    <x v="662"/>
    <n v="85"/>
    <x v="1"/>
    <x v="3"/>
    <d v="2025-06-24T00:00:00"/>
    <d v="2025-07-02T00:00:00"/>
    <n v="8"/>
    <x v="1"/>
    <n v="0"/>
    <x v="1"/>
    <x v="1"/>
    <n v="12421.01"/>
    <x v="9"/>
    <n v="2025"/>
    <x v="2"/>
    <m/>
    <m/>
    <m/>
    <m/>
    <m/>
  </r>
  <r>
    <x v="663"/>
    <n v="44"/>
    <x v="0"/>
    <x v="5"/>
    <d v="2025-09-22T00:00:00"/>
    <d v="2025-10-03T00:00:00"/>
    <n v="11"/>
    <x v="1"/>
    <n v="0"/>
    <x v="3"/>
    <x v="0"/>
    <n v="13039.75"/>
    <x v="7"/>
    <n v="2025"/>
    <x v="0"/>
    <m/>
    <m/>
    <m/>
    <m/>
    <m/>
  </r>
  <r>
    <x v="664"/>
    <n v="23"/>
    <x v="0"/>
    <x v="3"/>
    <d v="2025-03-01T00:00:00"/>
    <d v="2025-03-02T00:00:00"/>
    <n v="1"/>
    <x v="1"/>
    <n v="0"/>
    <x v="3"/>
    <x v="1"/>
    <n v="1994.99"/>
    <x v="3"/>
    <n v="2025"/>
    <x v="1"/>
    <m/>
    <m/>
    <m/>
    <m/>
    <m/>
  </r>
  <r>
    <x v="665"/>
    <n v="57"/>
    <x v="0"/>
    <x v="3"/>
    <d v="2025-12-04T00:00:00"/>
    <d v="2025-12-16T00:00:00"/>
    <n v="12"/>
    <x v="1"/>
    <n v="0"/>
    <x v="1"/>
    <x v="1"/>
    <n v="4655.2299999999996"/>
    <x v="10"/>
    <n v="2025"/>
    <x v="0"/>
    <m/>
    <m/>
    <m/>
    <m/>
    <m/>
  </r>
  <r>
    <x v="666"/>
    <n v="33"/>
    <x v="1"/>
    <x v="0"/>
    <d v="2025-09-30T00:00:00"/>
    <d v="2025-10-06T00:00:00"/>
    <n v="6"/>
    <x v="1"/>
    <n v="0"/>
    <x v="1"/>
    <x v="2"/>
    <n v="2159.6799999999998"/>
    <x v="7"/>
    <n v="2025"/>
    <x v="0"/>
    <m/>
    <m/>
    <m/>
    <m/>
    <m/>
  </r>
  <r>
    <x v="667"/>
    <n v="44"/>
    <x v="1"/>
    <x v="4"/>
    <d v="2025-11-15T00:00:00"/>
    <d v="2025-11-24T00:00:00"/>
    <n v="9"/>
    <x v="1"/>
    <n v="0"/>
    <x v="2"/>
    <x v="2"/>
    <n v="2552.5700000000002"/>
    <x v="0"/>
    <n v="2025"/>
    <x v="0"/>
    <m/>
    <m/>
    <m/>
    <m/>
    <m/>
  </r>
  <r>
    <x v="668"/>
    <n v="49"/>
    <x v="0"/>
    <x v="1"/>
    <d v="2025-12-27T00:00:00"/>
    <d v="2026-01-09T00:00:00"/>
    <n v="13"/>
    <x v="0"/>
    <n v="10"/>
    <x v="2"/>
    <x v="0"/>
    <n v="6932.89"/>
    <x v="10"/>
    <n v="2025"/>
    <x v="0"/>
    <m/>
    <m/>
    <m/>
    <m/>
    <m/>
  </r>
  <r>
    <x v="669"/>
    <n v="24"/>
    <x v="0"/>
    <x v="5"/>
    <d v="2025-03-08T00:00:00"/>
    <d v="2025-03-09T00:00:00"/>
    <n v="1"/>
    <x v="1"/>
    <n v="0"/>
    <x v="0"/>
    <x v="1"/>
    <n v="6683.75"/>
    <x v="3"/>
    <n v="2025"/>
    <x v="1"/>
    <m/>
    <m/>
    <m/>
    <m/>
    <m/>
  </r>
  <r>
    <x v="670"/>
    <n v="75"/>
    <x v="1"/>
    <x v="3"/>
    <d v="2025-04-02T00:00:00"/>
    <d v="2025-04-14T00:00:00"/>
    <n v="12"/>
    <x v="1"/>
    <n v="0"/>
    <x v="2"/>
    <x v="1"/>
    <n v="10837.03"/>
    <x v="8"/>
    <n v="2025"/>
    <x v="2"/>
    <m/>
    <m/>
    <m/>
    <m/>
    <m/>
  </r>
  <r>
    <x v="671"/>
    <n v="77"/>
    <x v="0"/>
    <x v="1"/>
    <d v="2025-12-10T00:00:00"/>
    <d v="2025-12-23T00:00:00"/>
    <n v="13"/>
    <x v="1"/>
    <n v="0"/>
    <x v="3"/>
    <x v="1"/>
    <n v="7105.97"/>
    <x v="10"/>
    <n v="2025"/>
    <x v="2"/>
    <m/>
    <m/>
    <m/>
    <m/>
    <m/>
  </r>
  <r>
    <x v="672"/>
    <n v="77"/>
    <x v="1"/>
    <x v="0"/>
    <d v="2025-12-17T00:00:00"/>
    <d v="2025-12-28T00:00:00"/>
    <n v="11"/>
    <x v="1"/>
    <n v="0"/>
    <x v="1"/>
    <x v="1"/>
    <n v="12985.9"/>
    <x v="10"/>
    <n v="2025"/>
    <x v="2"/>
    <m/>
    <m/>
    <m/>
    <m/>
    <m/>
  </r>
  <r>
    <x v="673"/>
    <n v="68"/>
    <x v="0"/>
    <x v="2"/>
    <d v="2025-11-12T00:00:00"/>
    <d v="2025-11-17T00:00:00"/>
    <n v="5"/>
    <x v="1"/>
    <n v="0"/>
    <x v="2"/>
    <x v="2"/>
    <n v="7072.6"/>
    <x v="0"/>
    <n v="2025"/>
    <x v="2"/>
    <m/>
    <m/>
    <m/>
    <m/>
    <m/>
  </r>
  <r>
    <x v="674"/>
    <n v="62"/>
    <x v="1"/>
    <x v="5"/>
    <d v="2025-01-16T00:00:00"/>
    <d v="2025-01-18T00:00:00"/>
    <n v="2"/>
    <x v="1"/>
    <n v="0"/>
    <x v="1"/>
    <x v="2"/>
    <n v="11635.15"/>
    <x v="2"/>
    <n v="2025"/>
    <x v="2"/>
    <m/>
    <m/>
    <m/>
    <m/>
    <m/>
  </r>
  <r>
    <x v="675"/>
    <n v="31"/>
    <x v="1"/>
    <x v="2"/>
    <d v="2025-11-06T00:00:00"/>
    <d v="2025-11-16T00:00:00"/>
    <n v="10"/>
    <x v="0"/>
    <n v="26"/>
    <x v="0"/>
    <x v="2"/>
    <n v="8564.17"/>
    <x v="0"/>
    <n v="2025"/>
    <x v="0"/>
    <m/>
    <m/>
    <m/>
    <m/>
    <m/>
  </r>
  <r>
    <x v="676"/>
    <n v="77"/>
    <x v="1"/>
    <x v="4"/>
    <d v="2025-02-06T00:00:00"/>
    <d v="2025-02-19T00:00:00"/>
    <n v="13"/>
    <x v="1"/>
    <n v="0"/>
    <x v="3"/>
    <x v="1"/>
    <n v="9502.69"/>
    <x v="4"/>
    <n v="2025"/>
    <x v="2"/>
    <m/>
    <m/>
    <m/>
    <m/>
    <m/>
  </r>
  <r>
    <x v="677"/>
    <n v="67"/>
    <x v="0"/>
    <x v="3"/>
    <d v="2025-10-08T00:00:00"/>
    <d v="2025-10-11T00:00:00"/>
    <n v="3"/>
    <x v="1"/>
    <n v="0"/>
    <x v="1"/>
    <x v="0"/>
    <n v="9069.07"/>
    <x v="1"/>
    <n v="2025"/>
    <x v="2"/>
    <m/>
    <m/>
    <m/>
    <m/>
    <m/>
  </r>
  <r>
    <x v="678"/>
    <n v="87"/>
    <x v="0"/>
    <x v="0"/>
    <d v="2025-08-11T00:00:00"/>
    <d v="2025-08-21T00:00:00"/>
    <n v="10"/>
    <x v="1"/>
    <n v="0"/>
    <x v="0"/>
    <x v="0"/>
    <n v="13997.52"/>
    <x v="11"/>
    <n v="2025"/>
    <x v="2"/>
    <m/>
    <m/>
    <m/>
    <m/>
    <m/>
  </r>
  <r>
    <x v="679"/>
    <n v="77"/>
    <x v="1"/>
    <x v="4"/>
    <d v="2025-10-21T00:00:00"/>
    <d v="2025-11-04T00:00:00"/>
    <n v="14"/>
    <x v="1"/>
    <n v="0"/>
    <x v="0"/>
    <x v="2"/>
    <n v="3054.52"/>
    <x v="1"/>
    <n v="2025"/>
    <x v="2"/>
    <m/>
    <m/>
    <m/>
    <m/>
    <m/>
  </r>
  <r>
    <x v="680"/>
    <n v="66"/>
    <x v="1"/>
    <x v="5"/>
    <d v="2025-07-27T00:00:00"/>
    <d v="2025-07-29T00:00:00"/>
    <n v="2"/>
    <x v="1"/>
    <n v="0"/>
    <x v="0"/>
    <x v="1"/>
    <n v="3655.37"/>
    <x v="5"/>
    <n v="2025"/>
    <x v="2"/>
    <m/>
    <m/>
    <m/>
    <m/>
    <m/>
  </r>
  <r>
    <x v="681"/>
    <n v="18"/>
    <x v="0"/>
    <x v="2"/>
    <d v="2025-03-13T00:00:00"/>
    <d v="2025-03-23T00:00:00"/>
    <n v="10"/>
    <x v="1"/>
    <n v="0"/>
    <x v="1"/>
    <x v="2"/>
    <n v="8203.2099999999991"/>
    <x v="3"/>
    <n v="2025"/>
    <x v="1"/>
    <m/>
    <m/>
    <m/>
    <m/>
    <m/>
  </r>
  <r>
    <x v="682"/>
    <n v="43"/>
    <x v="0"/>
    <x v="2"/>
    <d v="2025-07-19T00:00:00"/>
    <d v="2025-07-29T00:00:00"/>
    <n v="10"/>
    <x v="1"/>
    <n v="0"/>
    <x v="2"/>
    <x v="2"/>
    <n v="8769.01"/>
    <x v="5"/>
    <n v="2025"/>
    <x v="0"/>
    <m/>
    <m/>
    <m/>
    <m/>
    <m/>
  </r>
  <r>
    <x v="683"/>
    <n v="73"/>
    <x v="1"/>
    <x v="1"/>
    <d v="2025-12-14T00:00:00"/>
    <d v="2025-12-19T00:00:00"/>
    <n v="5"/>
    <x v="1"/>
    <n v="0"/>
    <x v="0"/>
    <x v="0"/>
    <n v="14803.11"/>
    <x v="10"/>
    <n v="2025"/>
    <x v="2"/>
    <m/>
    <m/>
    <m/>
    <m/>
    <m/>
  </r>
  <r>
    <x v="684"/>
    <n v="55"/>
    <x v="0"/>
    <x v="3"/>
    <d v="2025-07-26T00:00:00"/>
    <d v="2025-08-09T00:00:00"/>
    <n v="14"/>
    <x v="0"/>
    <n v="29"/>
    <x v="0"/>
    <x v="1"/>
    <n v="10698.63"/>
    <x v="5"/>
    <n v="2025"/>
    <x v="0"/>
    <m/>
    <m/>
    <m/>
    <m/>
    <m/>
  </r>
  <r>
    <x v="685"/>
    <n v="21"/>
    <x v="0"/>
    <x v="5"/>
    <d v="2025-07-03T00:00:00"/>
    <d v="2025-07-05T00:00:00"/>
    <n v="2"/>
    <x v="1"/>
    <n v="0"/>
    <x v="3"/>
    <x v="0"/>
    <n v="5112.8500000000004"/>
    <x v="5"/>
    <n v="2025"/>
    <x v="1"/>
    <m/>
    <m/>
    <m/>
    <m/>
    <m/>
  </r>
  <r>
    <x v="686"/>
    <n v="87"/>
    <x v="0"/>
    <x v="2"/>
    <d v="2025-07-15T00:00:00"/>
    <d v="2025-07-22T00:00:00"/>
    <n v="7"/>
    <x v="1"/>
    <n v="0"/>
    <x v="1"/>
    <x v="2"/>
    <n v="2516.5"/>
    <x v="5"/>
    <n v="2025"/>
    <x v="2"/>
    <m/>
    <m/>
    <m/>
    <m/>
    <m/>
  </r>
  <r>
    <x v="687"/>
    <n v="64"/>
    <x v="1"/>
    <x v="0"/>
    <d v="2025-10-12T00:00:00"/>
    <d v="2025-10-19T00:00:00"/>
    <n v="7"/>
    <x v="1"/>
    <n v="0"/>
    <x v="2"/>
    <x v="0"/>
    <n v="2320.46"/>
    <x v="1"/>
    <n v="2025"/>
    <x v="2"/>
    <m/>
    <m/>
    <m/>
    <m/>
    <m/>
  </r>
  <r>
    <x v="688"/>
    <n v="36"/>
    <x v="1"/>
    <x v="2"/>
    <d v="2025-01-06T00:00:00"/>
    <d v="2025-01-08T00:00:00"/>
    <n v="2"/>
    <x v="1"/>
    <n v="0"/>
    <x v="3"/>
    <x v="1"/>
    <n v="1727.62"/>
    <x v="2"/>
    <n v="2025"/>
    <x v="0"/>
    <m/>
    <m/>
    <m/>
    <m/>
    <m/>
  </r>
  <r>
    <x v="689"/>
    <n v="76"/>
    <x v="1"/>
    <x v="4"/>
    <d v="2025-11-25T00:00:00"/>
    <d v="2025-12-08T00:00:00"/>
    <n v="13"/>
    <x v="1"/>
    <n v="0"/>
    <x v="1"/>
    <x v="2"/>
    <n v="7886.52"/>
    <x v="0"/>
    <n v="2025"/>
    <x v="2"/>
    <m/>
    <m/>
    <m/>
    <m/>
    <m/>
  </r>
  <r>
    <x v="690"/>
    <n v="63"/>
    <x v="0"/>
    <x v="0"/>
    <d v="2025-10-10T00:00:00"/>
    <d v="2025-10-24T00:00:00"/>
    <n v="14"/>
    <x v="1"/>
    <n v="0"/>
    <x v="3"/>
    <x v="0"/>
    <n v="607.73"/>
    <x v="1"/>
    <n v="2025"/>
    <x v="2"/>
    <m/>
    <m/>
    <m/>
    <m/>
    <m/>
  </r>
  <r>
    <x v="691"/>
    <n v="82"/>
    <x v="1"/>
    <x v="5"/>
    <d v="2025-09-13T00:00:00"/>
    <d v="2025-09-27T00:00:00"/>
    <n v="14"/>
    <x v="1"/>
    <n v="0"/>
    <x v="2"/>
    <x v="1"/>
    <n v="14684.39"/>
    <x v="7"/>
    <n v="2025"/>
    <x v="2"/>
    <m/>
    <m/>
    <m/>
    <m/>
    <m/>
  </r>
  <r>
    <x v="692"/>
    <n v="32"/>
    <x v="1"/>
    <x v="2"/>
    <d v="2025-10-18T00:00:00"/>
    <d v="2025-10-26T00:00:00"/>
    <n v="8"/>
    <x v="1"/>
    <n v="0"/>
    <x v="0"/>
    <x v="1"/>
    <n v="11087.69"/>
    <x v="1"/>
    <n v="2025"/>
    <x v="0"/>
    <m/>
    <m/>
    <m/>
    <m/>
    <m/>
  </r>
  <r>
    <x v="693"/>
    <n v="53"/>
    <x v="1"/>
    <x v="4"/>
    <d v="2025-09-27T00:00:00"/>
    <d v="2025-10-11T00:00:00"/>
    <n v="14"/>
    <x v="1"/>
    <n v="0"/>
    <x v="0"/>
    <x v="0"/>
    <n v="13403.77"/>
    <x v="7"/>
    <n v="2025"/>
    <x v="0"/>
    <m/>
    <m/>
    <m/>
    <m/>
    <m/>
  </r>
  <r>
    <x v="694"/>
    <n v="27"/>
    <x v="1"/>
    <x v="4"/>
    <d v="2025-02-15T00:00:00"/>
    <d v="2025-02-19T00:00:00"/>
    <n v="4"/>
    <x v="1"/>
    <n v="0"/>
    <x v="0"/>
    <x v="2"/>
    <n v="8257.98"/>
    <x v="4"/>
    <n v="2025"/>
    <x v="1"/>
    <m/>
    <m/>
    <m/>
    <m/>
    <m/>
  </r>
  <r>
    <x v="695"/>
    <n v="78"/>
    <x v="1"/>
    <x v="5"/>
    <d v="2025-01-06T00:00:00"/>
    <d v="2025-01-14T00:00:00"/>
    <n v="8"/>
    <x v="1"/>
    <n v="0"/>
    <x v="2"/>
    <x v="2"/>
    <n v="4693.5200000000004"/>
    <x v="2"/>
    <n v="2025"/>
    <x v="2"/>
    <m/>
    <m/>
    <m/>
    <m/>
    <m/>
  </r>
  <r>
    <x v="696"/>
    <n v="56"/>
    <x v="1"/>
    <x v="1"/>
    <d v="2025-01-19T00:00:00"/>
    <d v="2025-01-31T00:00:00"/>
    <n v="12"/>
    <x v="1"/>
    <n v="0"/>
    <x v="3"/>
    <x v="0"/>
    <n v="2951.65"/>
    <x v="2"/>
    <n v="2025"/>
    <x v="0"/>
    <m/>
    <m/>
    <m/>
    <m/>
    <m/>
  </r>
  <r>
    <x v="697"/>
    <n v="21"/>
    <x v="1"/>
    <x v="5"/>
    <d v="2025-01-27T00:00:00"/>
    <d v="2025-02-07T00:00:00"/>
    <n v="11"/>
    <x v="1"/>
    <n v="0"/>
    <x v="0"/>
    <x v="1"/>
    <n v="7831.14"/>
    <x v="2"/>
    <n v="2025"/>
    <x v="1"/>
    <m/>
    <m/>
    <m/>
    <m/>
    <m/>
  </r>
  <r>
    <x v="698"/>
    <n v="53"/>
    <x v="1"/>
    <x v="3"/>
    <d v="2025-05-23T00:00:00"/>
    <d v="2025-05-28T00:00:00"/>
    <n v="5"/>
    <x v="0"/>
    <n v="1"/>
    <x v="0"/>
    <x v="0"/>
    <n v="3031.9"/>
    <x v="6"/>
    <n v="2025"/>
    <x v="0"/>
    <m/>
    <m/>
    <m/>
    <m/>
    <m/>
  </r>
  <r>
    <x v="699"/>
    <n v="75"/>
    <x v="1"/>
    <x v="0"/>
    <d v="2025-10-30T00:00:00"/>
    <d v="2025-11-11T00:00:00"/>
    <n v="12"/>
    <x v="0"/>
    <n v="9"/>
    <x v="1"/>
    <x v="2"/>
    <n v="3121.73"/>
    <x v="1"/>
    <n v="2025"/>
    <x v="2"/>
    <m/>
    <m/>
    <m/>
    <m/>
    <m/>
  </r>
  <r>
    <x v="700"/>
    <n v="28"/>
    <x v="0"/>
    <x v="4"/>
    <d v="2025-09-28T00:00:00"/>
    <d v="2025-10-12T00:00:00"/>
    <n v="14"/>
    <x v="0"/>
    <n v="30"/>
    <x v="1"/>
    <x v="2"/>
    <n v="11415.04"/>
    <x v="7"/>
    <n v="2025"/>
    <x v="1"/>
    <m/>
    <m/>
    <m/>
    <m/>
    <m/>
  </r>
  <r>
    <x v="701"/>
    <n v="74"/>
    <x v="0"/>
    <x v="0"/>
    <d v="2025-07-31T00:00:00"/>
    <d v="2025-08-13T00:00:00"/>
    <n v="13"/>
    <x v="1"/>
    <n v="0"/>
    <x v="2"/>
    <x v="1"/>
    <n v="9812.7900000000009"/>
    <x v="5"/>
    <n v="2025"/>
    <x v="2"/>
    <m/>
    <m/>
    <m/>
    <m/>
    <m/>
  </r>
  <r>
    <x v="702"/>
    <n v="69"/>
    <x v="1"/>
    <x v="3"/>
    <d v="2025-03-01T00:00:00"/>
    <d v="2025-03-02T00:00:00"/>
    <n v="1"/>
    <x v="0"/>
    <n v="16"/>
    <x v="1"/>
    <x v="2"/>
    <n v="10410.89"/>
    <x v="3"/>
    <n v="2025"/>
    <x v="2"/>
    <m/>
    <m/>
    <m/>
    <m/>
    <m/>
  </r>
  <r>
    <x v="703"/>
    <n v="85"/>
    <x v="1"/>
    <x v="1"/>
    <d v="2025-07-19T00:00:00"/>
    <d v="2025-07-27T00:00:00"/>
    <n v="8"/>
    <x v="0"/>
    <n v="10"/>
    <x v="3"/>
    <x v="2"/>
    <n v="10338.15"/>
    <x v="5"/>
    <n v="2025"/>
    <x v="2"/>
    <m/>
    <m/>
    <m/>
    <m/>
    <m/>
  </r>
  <r>
    <x v="704"/>
    <n v="30"/>
    <x v="1"/>
    <x v="5"/>
    <d v="2025-09-29T00:00:00"/>
    <d v="2025-10-10T00:00:00"/>
    <n v="11"/>
    <x v="1"/>
    <n v="0"/>
    <x v="2"/>
    <x v="2"/>
    <n v="4419.7299999999996"/>
    <x v="7"/>
    <n v="2025"/>
    <x v="0"/>
    <m/>
    <m/>
    <m/>
    <m/>
    <m/>
  </r>
  <r>
    <x v="705"/>
    <n v="68"/>
    <x v="1"/>
    <x v="2"/>
    <d v="2025-02-20T00:00:00"/>
    <d v="2025-02-25T00:00:00"/>
    <n v="5"/>
    <x v="1"/>
    <n v="0"/>
    <x v="1"/>
    <x v="0"/>
    <n v="10242.4"/>
    <x v="4"/>
    <n v="2025"/>
    <x v="2"/>
    <m/>
    <m/>
    <m/>
    <m/>
    <m/>
  </r>
  <r>
    <x v="706"/>
    <n v="41"/>
    <x v="1"/>
    <x v="4"/>
    <d v="2025-04-10T00:00:00"/>
    <d v="2025-04-19T00:00:00"/>
    <n v="9"/>
    <x v="1"/>
    <n v="0"/>
    <x v="0"/>
    <x v="0"/>
    <n v="622.9"/>
    <x v="8"/>
    <n v="2025"/>
    <x v="0"/>
    <m/>
    <m/>
    <m/>
    <m/>
    <m/>
  </r>
  <r>
    <x v="707"/>
    <n v="85"/>
    <x v="0"/>
    <x v="2"/>
    <d v="2025-02-04T00:00:00"/>
    <d v="2025-02-05T00:00:00"/>
    <n v="1"/>
    <x v="1"/>
    <n v="0"/>
    <x v="3"/>
    <x v="2"/>
    <n v="3681.54"/>
    <x v="4"/>
    <n v="2025"/>
    <x v="2"/>
    <m/>
    <m/>
    <m/>
    <m/>
    <m/>
  </r>
  <r>
    <x v="708"/>
    <n v="21"/>
    <x v="0"/>
    <x v="1"/>
    <d v="2025-05-26T00:00:00"/>
    <d v="2025-05-31T00:00:00"/>
    <n v="5"/>
    <x v="0"/>
    <n v="20"/>
    <x v="1"/>
    <x v="0"/>
    <n v="9752.2000000000007"/>
    <x v="6"/>
    <n v="2025"/>
    <x v="1"/>
    <m/>
    <m/>
    <m/>
    <m/>
    <m/>
  </r>
  <r>
    <x v="709"/>
    <n v="34"/>
    <x v="1"/>
    <x v="2"/>
    <d v="2025-12-29T00:00:00"/>
    <d v="2025-12-31T00:00:00"/>
    <n v="2"/>
    <x v="0"/>
    <n v="25"/>
    <x v="1"/>
    <x v="1"/>
    <n v="10586.98"/>
    <x v="10"/>
    <n v="2025"/>
    <x v="0"/>
    <m/>
    <m/>
    <m/>
    <m/>
    <m/>
  </r>
  <r>
    <x v="710"/>
    <n v="27"/>
    <x v="1"/>
    <x v="3"/>
    <d v="2025-05-10T00:00:00"/>
    <d v="2025-05-15T00:00:00"/>
    <n v="5"/>
    <x v="1"/>
    <n v="0"/>
    <x v="3"/>
    <x v="0"/>
    <n v="13599.18"/>
    <x v="6"/>
    <n v="2025"/>
    <x v="1"/>
    <m/>
    <m/>
    <m/>
    <m/>
    <m/>
  </r>
  <r>
    <x v="711"/>
    <n v="27"/>
    <x v="1"/>
    <x v="1"/>
    <d v="2025-06-15T00:00:00"/>
    <d v="2025-06-20T00:00:00"/>
    <n v="5"/>
    <x v="0"/>
    <n v="13"/>
    <x v="3"/>
    <x v="2"/>
    <n v="14941.4"/>
    <x v="9"/>
    <n v="2025"/>
    <x v="1"/>
    <m/>
    <m/>
    <m/>
    <m/>
    <m/>
  </r>
  <r>
    <x v="712"/>
    <n v="74"/>
    <x v="0"/>
    <x v="5"/>
    <d v="2025-05-13T00:00:00"/>
    <d v="2025-05-27T00:00:00"/>
    <n v="14"/>
    <x v="0"/>
    <n v="30"/>
    <x v="1"/>
    <x v="0"/>
    <n v="6193.2"/>
    <x v="6"/>
    <n v="2025"/>
    <x v="2"/>
    <m/>
    <m/>
    <m/>
    <m/>
    <m/>
  </r>
  <r>
    <x v="713"/>
    <n v="87"/>
    <x v="1"/>
    <x v="0"/>
    <d v="2025-11-27T00:00:00"/>
    <d v="2025-12-05T00:00:00"/>
    <n v="8"/>
    <x v="0"/>
    <n v="20"/>
    <x v="0"/>
    <x v="2"/>
    <n v="10873.3"/>
    <x v="0"/>
    <n v="2025"/>
    <x v="2"/>
    <m/>
    <m/>
    <m/>
    <m/>
    <m/>
  </r>
  <r>
    <x v="714"/>
    <n v="50"/>
    <x v="1"/>
    <x v="1"/>
    <d v="2025-02-22T00:00:00"/>
    <d v="2025-02-23T00:00:00"/>
    <n v="1"/>
    <x v="0"/>
    <n v="29"/>
    <x v="3"/>
    <x v="1"/>
    <n v="9966.5499999999993"/>
    <x v="4"/>
    <n v="2025"/>
    <x v="0"/>
    <m/>
    <m/>
    <m/>
    <m/>
    <m/>
  </r>
  <r>
    <x v="715"/>
    <n v="52"/>
    <x v="0"/>
    <x v="2"/>
    <d v="2025-01-01T00:00:00"/>
    <d v="2025-01-02T00:00:00"/>
    <n v="1"/>
    <x v="1"/>
    <n v="0"/>
    <x v="2"/>
    <x v="2"/>
    <n v="8832.2800000000007"/>
    <x v="2"/>
    <n v="2025"/>
    <x v="0"/>
    <m/>
    <m/>
    <m/>
    <m/>
    <m/>
  </r>
  <r>
    <x v="716"/>
    <n v="80"/>
    <x v="1"/>
    <x v="5"/>
    <d v="2025-09-21T00:00:00"/>
    <d v="2025-10-03T00:00:00"/>
    <n v="12"/>
    <x v="1"/>
    <n v="0"/>
    <x v="3"/>
    <x v="0"/>
    <n v="11823.59"/>
    <x v="7"/>
    <n v="2025"/>
    <x v="2"/>
    <m/>
    <m/>
    <m/>
    <m/>
    <m/>
  </r>
  <r>
    <x v="717"/>
    <n v="67"/>
    <x v="1"/>
    <x v="1"/>
    <d v="2025-02-05T00:00:00"/>
    <d v="2025-02-14T00:00:00"/>
    <n v="9"/>
    <x v="0"/>
    <n v="19"/>
    <x v="2"/>
    <x v="2"/>
    <n v="10386.620000000001"/>
    <x v="4"/>
    <n v="2025"/>
    <x v="2"/>
    <m/>
    <m/>
    <m/>
    <m/>
    <m/>
  </r>
  <r>
    <x v="718"/>
    <n v="29"/>
    <x v="1"/>
    <x v="4"/>
    <d v="2025-07-25T00:00:00"/>
    <d v="2025-07-26T00:00:00"/>
    <n v="1"/>
    <x v="1"/>
    <n v="0"/>
    <x v="2"/>
    <x v="1"/>
    <n v="12697.13"/>
    <x v="5"/>
    <n v="2025"/>
    <x v="1"/>
    <m/>
    <m/>
    <m/>
    <m/>
    <m/>
  </r>
  <r>
    <x v="719"/>
    <n v="88"/>
    <x v="0"/>
    <x v="5"/>
    <d v="2025-05-29T00:00:00"/>
    <d v="2025-06-09T00:00:00"/>
    <n v="11"/>
    <x v="0"/>
    <n v="22"/>
    <x v="1"/>
    <x v="2"/>
    <n v="10590.29"/>
    <x v="6"/>
    <n v="2025"/>
    <x v="2"/>
    <m/>
    <m/>
    <m/>
    <m/>
    <m/>
  </r>
  <r>
    <x v="720"/>
    <n v="80"/>
    <x v="0"/>
    <x v="2"/>
    <d v="2025-02-24T00:00:00"/>
    <d v="2025-03-07T00:00:00"/>
    <n v="11"/>
    <x v="1"/>
    <n v="0"/>
    <x v="3"/>
    <x v="0"/>
    <n v="3247.24"/>
    <x v="4"/>
    <n v="2025"/>
    <x v="2"/>
    <m/>
    <m/>
    <m/>
    <m/>
    <m/>
  </r>
  <r>
    <x v="721"/>
    <n v="48"/>
    <x v="1"/>
    <x v="5"/>
    <d v="2025-01-19T00:00:00"/>
    <d v="2025-01-23T00:00:00"/>
    <n v="4"/>
    <x v="0"/>
    <n v="3"/>
    <x v="2"/>
    <x v="2"/>
    <n v="8242.1299999999992"/>
    <x v="2"/>
    <n v="2025"/>
    <x v="0"/>
    <m/>
    <m/>
    <m/>
    <m/>
    <m/>
  </r>
  <r>
    <x v="722"/>
    <n v="25"/>
    <x v="1"/>
    <x v="2"/>
    <d v="2025-08-19T00:00:00"/>
    <d v="2025-08-20T00:00:00"/>
    <n v="1"/>
    <x v="0"/>
    <n v="2"/>
    <x v="3"/>
    <x v="1"/>
    <n v="3569.33"/>
    <x v="11"/>
    <n v="2025"/>
    <x v="1"/>
    <m/>
    <m/>
    <m/>
    <m/>
    <m/>
  </r>
  <r>
    <x v="723"/>
    <n v="86"/>
    <x v="0"/>
    <x v="2"/>
    <d v="2025-12-01T00:00:00"/>
    <d v="2025-12-12T00:00:00"/>
    <n v="11"/>
    <x v="1"/>
    <n v="0"/>
    <x v="1"/>
    <x v="1"/>
    <n v="1034.73"/>
    <x v="10"/>
    <n v="2025"/>
    <x v="2"/>
    <m/>
    <m/>
    <m/>
    <m/>
    <m/>
  </r>
  <r>
    <x v="724"/>
    <n v="78"/>
    <x v="0"/>
    <x v="0"/>
    <d v="2025-03-14T00:00:00"/>
    <d v="2025-03-22T00:00:00"/>
    <n v="8"/>
    <x v="1"/>
    <n v="0"/>
    <x v="1"/>
    <x v="1"/>
    <n v="2997.61"/>
    <x v="3"/>
    <n v="2025"/>
    <x v="2"/>
    <m/>
    <m/>
    <m/>
    <m/>
    <m/>
  </r>
  <r>
    <x v="725"/>
    <n v="30"/>
    <x v="1"/>
    <x v="4"/>
    <d v="2025-01-26T00:00:00"/>
    <d v="2025-01-31T00:00:00"/>
    <n v="5"/>
    <x v="1"/>
    <n v="0"/>
    <x v="1"/>
    <x v="0"/>
    <n v="1427.39"/>
    <x v="2"/>
    <n v="2025"/>
    <x v="0"/>
    <m/>
    <m/>
    <m/>
    <m/>
    <m/>
  </r>
  <r>
    <x v="726"/>
    <n v="46"/>
    <x v="0"/>
    <x v="0"/>
    <d v="2025-02-24T00:00:00"/>
    <d v="2025-02-26T00:00:00"/>
    <n v="2"/>
    <x v="1"/>
    <n v="0"/>
    <x v="3"/>
    <x v="2"/>
    <n v="12267.05"/>
    <x v="4"/>
    <n v="2025"/>
    <x v="0"/>
    <m/>
    <m/>
    <m/>
    <m/>
    <m/>
  </r>
  <r>
    <x v="727"/>
    <n v="87"/>
    <x v="0"/>
    <x v="3"/>
    <d v="2025-12-14T00:00:00"/>
    <d v="2025-12-21T00:00:00"/>
    <n v="7"/>
    <x v="1"/>
    <n v="0"/>
    <x v="1"/>
    <x v="1"/>
    <n v="9099.74"/>
    <x v="10"/>
    <n v="2025"/>
    <x v="2"/>
    <m/>
    <m/>
    <m/>
    <m/>
    <m/>
  </r>
  <r>
    <x v="728"/>
    <n v="36"/>
    <x v="1"/>
    <x v="0"/>
    <d v="2025-06-21T00:00:00"/>
    <d v="2025-06-23T00:00:00"/>
    <n v="2"/>
    <x v="0"/>
    <n v="23"/>
    <x v="2"/>
    <x v="0"/>
    <n v="2892.59"/>
    <x v="9"/>
    <n v="2025"/>
    <x v="0"/>
    <m/>
    <m/>
    <m/>
    <m/>
    <m/>
  </r>
  <r>
    <x v="729"/>
    <n v="30"/>
    <x v="1"/>
    <x v="0"/>
    <d v="2025-05-05T00:00:00"/>
    <d v="2025-05-15T00:00:00"/>
    <n v="10"/>
    <x v="0"/>
    <n v="1"/>
    <x v="3"/>
    <x v="1"/>
    <n v="592.07000000000005"/>
    <x v="6"/>
    <n v="2025"/>
    <x v="0"/>
    <m/>
    <m/>
    <m/>
    <m/>
    <m/>
  </r>
  <r>
    <x v="730"/>
    <n v="54"/>
    <x v="1"/>
    <x v="2"/>
    <d v="2025-04-02T00:00:00"/>
    <d v="2025-04-04T00:00:00"/>
    <n v="2"/>
    <x v="1"/>
    <n v="0"/>
    <x v="3"/>
    <x v="0"/>
    <n v="2339.94"/>
    <x v="8"/>
    <n v="2025"/>
    <x v="0"/>
    <m/>
    <m/>
    <m/>
    <m/>
    <m/>
  </r>
  <r>
    <x v="731"/>
    <n v="75"/>
    <x v="1"/>
    <x v="0"/>
    <d v="2025-03-15T00:00:00"/>
    <d v="2025-03-26T00:00:00"/>
    <n v="11"/>
    <x v="0"/>
    <n v="6"/>
    <x v="0"/>
    <x v="0"/>
    <n v="3110.01"/>
    <x v="3"/>
    <n v="2025"/>
    <x v="2"/>
    <m/>
    <m/>
    <m/>
    <m/>
    <m/>
  </r>
  <r>
    <x v="732"/>
    <n v="56"/>
    <x v="1"/>
    <x v="5"/>
    <d v="2025-09-13T00:00:00"/>
    <d v="2025-09-23T00:00:00"/>
    <n v="10"/>
    <x v="1"/>
    <n v="0"/>
    <x v="0"/>
    <x v="0"/>
    <n v="3916.77"/>
    <x v="7"/>
    <n v="2025"/>
    <x v="0"/>
    <m/>
    <m/>
    <m/>
    <m/>
    <m/>
  </r>
  <r>
    <x v="733"/>
    <n v="64"/>
    <x v="0"/>
    <x v="5"/>
    <d v="2025-03-02T00:00:00"/>
    <d v="2025-03-11T00:00:00"/>
    <n v="9"/>
    <x v="1"/>
    <n v="0"/>
    <x v="1"/>
    <x v="2"/>
    <n v="1269.5"/>
    <x v="3"/>
    <n v="2025"/>
    <x v="2"/>
    <m/>
    <m/>
    <m/>
    <m/>
    <m/>
  </r>
  <r>
    <x v="734"/>
    <n v="78"/>
    <x v="1"/>
    <x v="0"/>
    <d v="2025-02-27T00:00:00"/>
    <d v="2025-03-12T00:00:00"/>
    <n v="13"/>
    <x v="0"/>
    <n v="6"/>
    <x v="0"/>
    <x v="1"/>
    <n v="9850.48"/>
    <x v="4"/>
    <n v="2025"/>
    <x v="2"/>
    <m/>
    <m/>
    <m/>
    <m/>
    <m/>
  </r>
  <r>
    <x v="735"/>
    <n v="60"/>
    <x v="1"/>
    <x v="1"/>
    <d v="2025-05-26T00:00:00"/>
    <d v="2025-05-30T00:00:00"/>
    <n v="4"/>
    <x v="1"/>
    <n v="0"/>
    <x v="0"/>
    <x v="0"/>
    <n v="1260.6199999999999"/>
    <x v="6"/>
    <n v="2025"/>
    <x v="2"/>
    <m/>
    <m/>
    <m/>
    <m/>
    <m/>
  </r>
  <r>
    <x v="736"/>
    <n v="21"/>
    <x v="1"/>
    <x v="4"/>
    <d v="2025-10-03T00:00:00"/>
    <d v="2025-10-06T00:00:00"/>
    <n v="3"/>
    <x v="0"/>
    <n v="4"/>
    <x v="0"/>
    <x v="1"/>
    <n v="10960.34"/>
    <x v="1"/>
    <n v="2025"/>
    <x v="1"/>
    <m/>
    <m/>
    <m/>
    <m/>
    <m/>
  </r>
  <r>
    <x v="737"/>
    <n v="43"/>
    <x v="1"/>
    <x v="0"/>
    <d v="2025-10-31T00:00:00"/>
    <d v="2025-11-10T00:00:00"/>
    <n v="10"/>
    <x v="1"/>
    <n v="0"/>
    <x v="0"/>
    <x v="2"/>
    <n v="3802.84"/>
    <x v="1"/>
    <n v="2025"/>
    <x v="0"/>
    <m/>
    <m/>
    <m/>
    <m/>
    <m/>
  </r>
  <r>
    <x v="738"/>
    <n v="43"/>
    <x v="1"/>
    <x v="0"/>
    <d v="2025-05-02T00:00:00"/>
    <d v="2025-05-14T00:00:00"/>
    <n v="12"/>
    <x v="1"/>
    <n v="0"/>
    <x v="0"/>
    <x v="2"/>
    <n v="8983.84"/>
    <x v="6"/>
    <n v="2025"/>
    <x v="0"/>
    <m/>
    <m/>
    <m/>
    <m/>
    <m/>
  </r>
  <r>
    <x v="739"/>
    <n v="76"/>
    <x v="0"/>
    <x v="5"/>
    <d v="2025-01-28T00:00:00"/>
    <d v="2025-02-04T00:00:00"/>
    <n v="7"/>
    <x v="0"/>
    <n v="12"/>
    <x v="1"/>
    <x v="2"/>
    <n v="10937.41"/>
    <x v="2"/>
    <n v="2025"/>
    <x v="2"/>
    <m/>
    <m/>
    <m/>
    <m/>
    <m/>
  </r>
  <r>
    <x v="740"/>
    <n v="43"/>
    <x v="1"/>
    <x v="0"/>
    <d v="2025-11-20T00:00:00"/>
    <d v="2025-11-26T00:00:00"/>
    <n v="6"/>
    <x v="1"/>
    <n v="0"/>
    <x v="0"/>
    <x v="0"/>
    <n v="8745.65"/>
    <x v="0"/>
    <n v="2025"/>
    <x v="0"/>
    <m/>
    <m/>
    <m/>
    <m/>
    <m/>
  </r>
  <r>
    <x v="741"/>
    <n v="77"/>
    <x v="1"/>
    <x v="5"/>
    <d v="2025-05-24T00:00:00"/>
    <d v="2025-05-27T00:00:00"/>
    <n v="3"/>
    <x v="0"/>
    <n v="6"/>
    <x v="2"/>
    <x v="1"/>
    <n v="13352.93"/>
    <x v="6"/>
    <n v="2025"/>
    <x v="2"/>
    <m/>
    <m/>
    <m/>
    <m/>
    <m/>
  </r>
  <r>
    <x v="742"/>
    <n v="39"/>
    <x v="0"/>
    <x v="1"/>
    <d v="2025-11-06T00:00:00"/>
    <d v="2025-11-09T00:00:00"/>
    <n v="3"/>
    <x v="1"/>
    <n v="0"/>
    <x v="3"/>
    <x v="0"/>
    <n v="7593.59"/>
    <x v="0"/>
    <n v="2025"/>
    <x v="0"/>
    <m/>
    <m/>
    <m/>
    <m/>
    <m/>
  </r>
  <r>
    <x v="743"/>
    <n v="77"/>
    <x v="1"/>
    <x v="1"/>
    <d v="2025-04-21T00:00:00"/>
    <d v="2025-05-01T00:00:00"/>
    <n v="10"/>
    <x v="1"/>
    <n v="0"/>
    <x v="3"/>
    <x v="0"/>
    <n v="13152.68"/>
    <x v="8"/>
    <n v="2025"/>
    <x v="2"/>
    <m/>
    <m/>
    <m/>
    <m/>
    <m/>
  </r>
  <r>
    <x v="744"/>
    <n v="46"/>
    <x v="0"/>
    <x v="4"/>
    <d v="2025-05-07T00:00:00"/>
    <d v="2025-05-13T00:00:00"/>
    <n v="6"/>
    <x v="1"/>
    <n v="0"/>
    <x v="0"/>
    <x v="2"/>
    <n v="14712.67"/>
    <x v="6"/>
    <n v="2025"/>
    <x v="0"/>
    <m/>
    <m/>
    <m/>
    <m/>
    <m/>
  </r>
  <r>
    <x v="745"/>
    <n v="82"/>
    <x v="0"/>
    <x v="5"/>
    <d v="2025-01-21T00:00:00"/>
    <d v="2025-01-29T00:00:00"/>
    <n v="8"/>
    <x v="1"/>
    <n v="0"/>
    <x v="3"/>
    <x v="2"/>
    <n v="12240.89"/>
    <x v="2"/>
    <n v="2025"/>
    <x v="2"/>
    <m/>
    <m/>
    <m/>
    <m/>
    <m/>
  </r>
  <r>
    <x v="746"/>
    <n v="81"/>
    <x v="0"/>
    <x v="1"/>
    <d v="2025-12-23T00:00:00"/>
    <d v="2026-01-06T00:00:00"/>
    <n v="14"/>
    <x v="0"/>
    <n v="18"/>
    <x v="0"/>
    <x v="0"/>
    <n v="11110.9"/>
    <x v="10"/>
    <n v="2025"/>
    <x v="2"/>
    <m/>
    <m/>
    <m/>
    <m/>
    <m/>
  </r>
  <r>
    <x v="747"/>
    <n v="48"/>
    <x v="0"/>
    <x v="1"/>
    <d v="2025-04-22T00:00:00"/>
    <d v="2025-04-25T00:00:00"/>
    <n v="3"/>
    <x v="1"/>
    <n v="0"/>
    <x v="3"/>
    <x v="0"/>
    <n v="4920.13"/>
    <x v="8"/>
    <n v="2025"/>
    <x v="0"/>
    <m/>
    <m/>
    <m/>
    <m/>
    <m/>
  </r>
  <r>
    <x v="748"/>
    <n v="21"/>
    <x v="1"/>
    <x v="5"/>
    <d v="2025-12-27T00:00:00"/>
    <d v="2026-01-04T00:00:00"/>
    <n v="8"/>
    <x v="1"/>
    <n v="0"/>
    <x v="1"/>
    <x v="0"/>
    <n v="6377.73"/>
    <x v="10"/>
    <n v="2025"/>
    <x v="1"/>
    <m/>
    <m/>
    <m/>
    <m/>
    <m/>
  </r>
  <r>
    <x v="749"/>
    <n v="18"/>
    <x v="0"/>
    <x v="5"/>
    <d v="2025-07-09T00:00:00"/>
    <d v="2025-07-20T00:00:00"/>
    <n v="11"/>
    <x v="1"/>
    <n v="0"/>
    <x v="2"/>
    <x v="0"/>
    <n v="974.36"/>
    <x v="5"/>
    <n v="2025"/>
    <x v="1"/>
    <m/>
    <m/>
    <m/>
    <m/>
    <m/>
  </r>
  <r>
    <x v="750"/>
    <n v="87"/>
    <x v="0"/>
    <x v="2"/>
    <d v="2025-08-07T00:00:00"/>
    <d v="2025-08-20T00:00:00"/>
    <n v="13"/>
    <x v="0"/>
    <n v="3"/>
    <x v="2"/>
    <x v="0"/>
    <n v="14017.53"/>
    <x v="11"/>
    <n v="2025"/>
    <x v="2"/>
    <m/>
    <m/>
    <m/>
    <m/>
    <m/>
  </r>
  <r>
    <x v="751"/>
    <n v="24"/>
    <x v="0"/>
    <x v="5"/>
    <d v="2025-09-21T00:00:00"/>
    <d v="2025-10-02T00:00:00"/>
    <n v="11"/>
    <x v="1"/>
    <n v="0"/>
    <x v="2"/>
    <x v="2"/>
    <n v="9477.44"/>
    <x v="7"/>
    <n v="2025"/>
    <x v="1"/>
    <m/>
    <m/>
    <m/>
    <m/>
    <m/>
  </r>
  <r>
    <x v="752"/>
    <n v="89"/>
    <x v="0"/>
    <x v="4"/>
    <d v="2025-07-07T00:00:00"/>
    <d v="2025-07-13T00:00:00"/>
    <n v="6"/>
    <x v="0"/>
    <n v="23"/>
    <x v="1"/>
    <x v="1"/>
    <n v="14728.15"/>
    <x v="5"/>
    <n v="2025"/>
    <x v="2"/>
    <m/>
    <m/>
    <m/>
    <m/>
    <m/>
  </r>
  <r>
    <x v="753"/>
    <n v="79"/>
    <x v="0"/>
    <x v="2"/>
    <d v="2025-05-03T00:00:00"/>
    <d v="2025-05-12T00:00:00"/>
    <n v="9"/>
    <x v="0"/>
    <n v="25"/>
    <x v="1"/>
    <x v="2"/>
    <n v="5614.32"/>
    <x v="6"/>
    <n v="2025"/>
    <x v="2"/>
    <m/>
    <m/>
    <m/>
    <m/>
    <m/>
  </r>
  <r>
    <x v="754"/>
    <n v="53"/>
    <x v="0"/>
    <x v="1"/>
    <d v="2025-05-17T00:00:00"/>
    <d v="2025-05-26T00:00:00"/>
    <n v="9"/>
    <x v="1"/>
    <n v="0"/>
    <x v="2"/>
    <x v="2"/>
    <n v="7059.95"/>
    <x v="6"/>
    <n v="2025"/>
    <x v="0"/>
    <m/>
    <m/>
    <m/>
    <m/>
    <m/>
  </r>
  <r>
    <x v="755"/>
    <n v="78"/>
    <x v="1"/>
    <x v="5"/>
    <d v="2025-09-14T00:00:00"/>
    <d v="2025-09-23T00:00:00"/>
    <n v="9"/>
    <x v="1"/>
    <n v="0"/>
    <x v="2"/>
    <x v="0"/>
    <n v="14207.8"/>
    <x v="7"/>
    <n v="2025"/>
    <x v="2"/>
    <m/>
    <m/>
    <m/>
    <m/>
    <m/>
  </r>
  <r>
    <x v="756"/>
    <n v="76"/>
    <x v="0"/>
    <x v="1"/>
    <d v="2025-02-03T00:00:00"/>
    <d v="2025-02-07T00:00:00"/>
    <n v="4"/>
    <x v="1"/>
    <n v="0"/>
    <x v="3"/>
    <x v="1"/>
    <n v="4681.3999999999996"/>
    <x v="4"/>
    <n v="2025"/>
    <x v="2"/>
    <m/>
    <m/>
    <m/>
    <m/>
    <m/>
  </r>
  <r>
    <x v="757"/>
    <n v="32"/>
    <x v="0"/>
    <x v="5"/>
    <d v="2025-02-09T00:00:00"/>
    <d v="2025-02-11T00:00:00"/>
    <n v="2"/>
    <x v="0"/>
    <n v="5"/>
    <x v="1"/>
    <x v="0"/>
    <n v="14305.52"/>
    <x v="4"/>
    <n v="2025"/>
    <x v="0"/>
    <m/>
    <m/>
    <m/>
    <m/>
    <m/>
  </r>
  <r>
    <x v="758"/>
    <n v="87"/>
    <x v="0"/>
    <x v="5"/>
    <d v="2025-01-12T00:00:00"/>
    <d v="2025-01-17T00:00:00"/>
    <n v="5"/>
    <x v="1"/>
    <n v="0"/>
    <x v="2"/>
    <x v="2"/>
    <n v="6935.97"/>
    <x v="2"/>
    <n v="2025"/>
    <x v="2"/>
    <m/>
    <m/>
    <m/>
    <m/>
    <m/>
  </r>
  <r>
    <x v="759"/>
    <n v="26"/>
    <x v="0"/>
    <x v="0"/>
    <d v="2025-11-27T00:00:00"/>
    <d v="2025-11-28T00:00:00"/>
    <n v="1"/>
    <x v="0"/>
    <n v="27"/>
    <x v="2"/>
    <x v="2"/>
    <n v="8891.2199999999993"/>
    <x v="0"/>
    <n v="2025"/>
    <x v="1"/>
    <m/>
    <m/>
    <m/>
    <m/>
    <m/>
  </r>
  <r>
    <x v="760"/>
    <n v="80"/>
    <x v="1"/>
    <x v="5"/>
    <d v="2025-12-02T00:00:00"/>
    <d v="2025-12-13T00:00:00"/>
    <n v="11"/>
    <x v="1"/>
    <n v="0"/>
    <x v="2"/>
    <x v="0"/>
    <n v="2413.34"/>
    <x v="10"/>
    <n v="2025"/>
    <x v="2"/>
    <m/>
    <m/>
    <m/>
    <m/>
    <m/>
  </r>
  <r>
    <x v="761"/>
    <n v="47"/>
    <x v="1"/>
    <x v="3"/>
    <d v="2025-06-06T00:00:00"/>
    <d v="2025-06-09T00:00:00"/>
    <n v="3"/>
    <x v="1"/>
    <n v="0"/>
    <x v="2"/>
    <x v="1"/>
    <n v="2650.91"/>
    <x v="9"/>
    <n v="2025"/>
    <x v="0"/>
    <m/>
    <m/>
    <m/>
    <m/>
    <m/>
  </r>
  <r>
    <x v="762"/>
    <n v="38"/>
    <x v="1"/>
    <x v="0"/>
    <d v="2025-05-26T00:00:00"/>
    <d v="2025-06-03T00:00:00"/>
    <n v="8"/>
    <x v="1"/>
    <n v="0"/>
    <x v="1"/>
    <x v="0"/>
    <n v="10546.46"/>
    <x v="6"/>
    <n v="2025"/>
    <x v="0"/>
    <m/>
    <m/>
    <m/>
    <m/>
    <m/>
  </r>
  <r>
    <x v="763"/>
    <n v="48"/>
    <x v="0"/>
    <x v="1"/>
    <d v="2025-12-08T00:00:00"/>
    <d v="2025-12-21T00:00:00"/>
    <n v="13"/>
    <x v="0"/>
    <n v="11"/>
    <x v="1"/>
    <x v="2"/>
    <n v="4275.8999999999996"/>
    <x v="10"/>
    <n v="2025"/>
    <x v="0"/>
    <m/>
    <m/>
    <m/>
    <m/>
    <m/>
  </r>
  <r>
    <x v="764"/>
    <n v="22"/>
    <x v="1"/>
    <x v="3"/>
    <d v="2025-04-05T00:00:00"/>
    <d v="2025-04-09T00:00:00"/>
    <n v="4"/>
    <x v="1"/>
    <n v="0"/>
    <x v="1"/>
    <x v="2"/>
    <n v="7002.22"/>
    <x v="8"/>
    <n v="2025"/>
    <x v="1"/>
    <m/>
    <m/>
    <m/>
    <m/>
    <m/>
  </r>
  <r>
    <x v="765"/>
    <n v="21"/>
    <x v="1"/>
    <x v="5"/>
    <d v="2025-03-25T00:00:00"/>
    <d v="2025-04-03T00:00:00"/>
    <n v="9"/>
    <x v="1"/>
    <n v="0"/>
    <x v="1"/>
    <x v="2"/>
    <n v="13953.26"/>
    <x v="3"/>
    <n v="2025"/>
    <x v="1"/>
    <m/>
    <m/>
    <m/>
    <m/>
    <m/>
  </r>
  <r>
    <x v="766"/>
    <n v="87"/>
    <x v="1"/>
    <x v="2"/>
    <d v="2025-03-21T00:00:00"/>
    <d v="2025-03-22T00:00:00"/>
    <n v="1"/>
    <x v="1"/>
    <n v="0"/>
    <x v="2"/>
    <x v="2"/>
    <n v="13491.67"/>
    <x v="3"/>
    <n v="2025"/>
    <x v="2"/>
    <m/>
    <m/>
    <m/>
    <m/>
    <m/>
  </r>
  <r>
    <x v="767"/>
    <n v="90"/>
    <x v="1"/>
    <x v="3"/>
    <d v="2025-10-21T00:00:00"/>
    <d v="2025-11-01T00:00:00"/>
    <n v="11"/>
    <x v="0"/>
    <n v="23"/>
    <x v="0"/>
    <x v="0"/>
    <n v="7445.23"/>
    <x v="1"/>
    <n v="2025"/>
    <x v="2"/>
    <m/>
    <m/>
    <m/>
    <m/>
    <m/>
  </r>
  <r>
    <x v="768"/>
    <n v="32"/>
    <x v="1"/>
    <x v="1"/>
    <d v="2025-01-21T00:00:00"/>
    <d v="2025-01-24T00:00:00"/>
    <n v="3"/>
    <x v="1"/>
    <n v="0"/>
    <x v="3"/>
    <x v="0"/>
    <n v="12692.72"/>
    <x v="2"/>
    <n v="2025"/>
    <x v="0"/>
    <m/>
    <m/>
    <m/>
    <m/>
    <m/>
  </r>
  <r>
    <x v="769"/>
    <n v="25"/>
    <x v="0"/>
    <x v="4"/>
    <d v="2025-08-17T00:00:00"/>
    <d v="2025-08-23T00:00:00"/>
    <n v="6"/>
    <x v="0"/>
    <n v="17"/>
    <x v="1"/>
    <x v="2"/>
    <n v="3337.88"/>
    <x v="11"/>
    <n v="2025"/>
    <x v="1"/>
    <m/>
    <m/>
    <m/>
    <m/>
    <m/>
  </r>
  <r>
    <x v="770"/>
    <n v="29"/>
    <x v="1"/>
    <x v="0"/>
    <d v="2025-02-12T00:00:00"/>
    <d v="2025-02-21T00:00:00"/>
    <n v="9"/>
    <x v="1"/>
    <n v="0"/>
    <x v="3"/>
    <x v="2"/>
    <n v="9245.99"/>
    <x v="4"/>
    <n v="2025"/>
    <x v="1"/>
    <m/>
    <m/>
    <m/>
    <m/>
    <m/>
  </r>
  <r>
    <x v="771"/>
    <n v="64"/>
    <x v="1"/>
    <x v="0"/>
    <d v="2025-09-19T00:00:00"/>
    <d v="2025-09-20T00:00:00"/>
    <n v="1"/>
    <x v="1"/>
    <n v="0"/>
    <x v="3"/>
    <x v="2"/>
    <n v="6098.63"/>
    <x v="7"/>
    <n v="2025"/>
    <x v="2"/>
    <m/>
    <m/>
    <m/>
    <m/>
    <m/>
  </r>
  <r>
    <x v="772"/>
    <n v="57"/>
    <x v="1"/>
    <x v="4"/>
    <d v="2025-01-07T00:00:00"/>
    <d v="2025-01-12T00:00:00"/>
    <n v="5"/>
    <x v="1"/>
    <n v="0"/>
    <x v="0"/>
    <x v="1"/>
    <n v="11053.87"/>
    <x v="2"/>
    <n v="2025"/>
    <x v="0"/>
    <m/>
    <m/>
    <m/>
    <m/>
    <m/>
  </r>
  <r>
    <x v="773"/>
    <n v="74"/>
    <x v="1"/>
    <x v="0"/>
    <d v="2025-08-16T00:00:00"/>
    <d v="2025-08-28T00:00:00"/>
    <n v="12"/>
    <x v="1"/>
    <n v="0"/>
    <x v="3"/>
    <x v="0"/>
    <n v="13498.22"/>
    <x v="11"/>
    <n v="2025"/>
    <x v="2"/>
    <m/>
    <m/>
    <m/>
    <m/>
    <m/>
  </r>
  <r>
    <x v="774"/>
    <n v="29"/>
    <x v="0"/>
    <x v="0"/>
    <d v="2025-03-13T00:00:00"/>
    <d v="2025-03-27T00:00:00"/>
    <n v="14"/>
    <x v="1"/>
    <n v="0"/>
    <x v="2"/>
    <x v="2"/>
    <n v="14831.55"/>
    <x v="3"/>
    <n v="2025"/>
    <x v="1"/>
    <m/>
    <m/>
    <m/>
    <m/>
    <m/>
  </r>
  <r>
    <x v="775"/>
    <n v="66"/>
    <x v="0"/>
    <x v="1"/>
    <d v="2025-09-26T00:00:00"/>
    <d v="2025-10-02T00:00:00"/>
    <n v="6"/>
    <x v="0"/>
    <n v="14"/>
    <x v="2"/>
    <x v="2"/>
    <n v="3035.95"/>
    <x v="7"/>
    <n v="2025"/>
    <x v="2"/>
    <m/>
    <m/>
    <m/>
    <m/>
    <m/>
  </r>
  <r>
    <x v="776"/>
    <n v="35"/>
    <x v="0"/>
    <x v="0"/>
    <d v="2025-08-25T00:00:00"/>
    <d v="2025-09-06T00:00:00"/>
    <n v="12"/>
    <x v="1"/>
    <n v="0"/>
    <x v="3"/>
    <x v="2"/>
    <n v="8531.07"/>
    <x v="11"/>
    <n v="2025"/>
    <x v="0"/>
    <m/>
    <m/>
    <m/>
    <m/>
    <m/>
  </r>
  <r>
    <x v="777"/>
    <n v="56"/>
    <x v="1"/>
    <x v="4"/>
    <d v="2025-01-22T00:00:00"/>
    <d v="2025-02-05T00:00:00"/>
    <n v="14"/>
    <x v="1"/>
    <n v="0"/>
    <x v="3"/>
    <x v="1"/>
    <n v="889.18"/>
    <x v="2"/>
    <n v="2025"/>
    <x v="0"/>
    <m/>
    <m/>
    <m/>
    <m/>
    <m/>
  </r>
  <r>
    <x v="778"/>
    <n v="78"/>
    <x v="0"/>
    <x v="2"/>
    <d v="2025-01-02T00:00:00"/>
    <d v="2025-01-05T00:00:00"/>
    <n v="3"/>
    <x v="0"/>
    <n v="22"/>
    <x v="2"/>
    <x v="2"/>
    <n v="3100.9"/>
    <x v="2"/>
    <n v="2025"/>
    <x v="2"/>
    <m/>
    <m/>
    <m/>
    <m/>
    <m/>
  </r>
  <r>
    <x v="779"/>
    <n v="33"/>
    <x v="1"/>
    <x v="5"/>
    <d v="2025-12-19T00:00:00"/>
    <d v="2025-12-30T00:00:00"/>
    <n v="11"/>
    <x v="0"/>
    <n v="3"/>
    <x v="2"/>
    <x v="0"/>
    <n v="7467.05"/>
    <x v="10"/>
    <n v="2025"/>
    <x v="0"/>
    <m/>
    <m/>
    <m/>
    <m/>
    <m/>
  </r>
  <r>
    <x v="780"/>
    <n v="78"/>
    <x v="0"/>
    <x v="3"/>
    <d v="2025-08-12T00:00:00"/>
    <d v="2025-08-26T00:00:00"/>
    <n v="14"/>
    <x v="0"/>
    <n v="17"/>
    <x v="0"/>
    <x v="2"/>
    <n v="2861.28"/>
    <x v="11"/>
    <n v="2025"/>
    <x v="2"/>
    <m/>
    <m/>
    <m/>
    <m/>
    <m/>
  </r>
  <r>
    <x v="781"/>
    <n v="35"/>
    <x v="1"/>
    <x v="0"/>
    <d v="2025-01-30T00:00:00"/>
    <d v="2025-02-02T00:00:00"/>
    <n v="3"/>
    <x v="1"/>
    <n v="0"/>
    <x v="0"/>
    <x v="2"/>
    <n v="5736.87"/>
    <x v="2"/>
    <n v="2025"/>
    <x v="0"/>
    <m/>
    <m/>
    <m/>
    <m/>
    <m/>
  </r>
  <r>
    <x v="782"/>
    <n v="55"/>
    <x v="0"/>
    <x v="4"/>
    <d v="2025-11-22T00:00:00"/>
    <d v="2025-11-28T00:00:00"/>
    <n v="6"/>
    <x v="0"/>
    <n v="7"/>
    <x v="1"/>
    <x v="1"/>
    <n v="9182.06"/>
    <x v="0"/>
    <n v="2025"/>
    <x v="0"/>
    <m/>
    <m/>
    <m/>
    <m/>
    <m/>
  </r>
  <r>
    <x v="783"/>
    <n v="58"/>
    <x v="1"/>
    <x v="3"/>
    <d v="2025-03-27T00:00:00"/>
    <d v="2025-04-05T00:00:00"/>
    <n v="9"/>
    <x v="1"/>
    <n v="0"/>
    <x v="2"/>
    <x v="1"/>
    <n v="8249.09"/>
    <x v="3"/>
    <n v="2025"/>
    <x v="0"/>
    <m/>
    <m/>
    <m/>
    <m/>
    <m/>
  </r>
  <r>
    <x v="784"/>
    <n v="35"/>
    <x v="1"/>
    <x v="3"/>
    <d v="2025-06-30T00:00:00"/>
    <d v="2025-07-14T00:00:00"/>
    <n v="14"/>
    <x v="0"/>
    <n v="25"/>
    <x v="3"/>
    <x v="2"/>
    <n v="5434.54"/>
    <x v="9"/>
    <n v="2025"/>
    <x v="0"/>
    <m/>
    <m/>
    <m/>
    <m/>
    <m/>
  </r>
  <r>
    <x v="785"/>
    <n v="82"/>
    <x v="0"/>
    <x v="0"/>
    <d v="2025-03-25T00:00:00"/>
    <d v="2025-03-27T00:00:00"/>
    <n v="2"/>
    <x v="0"/>
    <n v="26"/>
    <x v="0"/>
    <x v="2"/>
    <n v="7177.12"/>
    <x v="3"/>
    <n v="2025"/>
    <x v="2"/>
    <m/>
    <m/>
    <m/>
    <m/>
    <m/>
  </r>
  <r>
    <x v="786"/>
    <n v="20"/>
    <x v="1"/>
    <x v="3"/>
    <d v="2025-02-09T00:00:00"/>
    <d v="2025-02-11T00:00:00"/>
    <n v="2"/>
    <x v="1"/>
    <n v="0"/>
    <x v="2"/>
    <x v="0"/>
    <n v="5757.24"/>
    <x v="4"/>
    <n v="2025"/>
    <x v="1"/>
    <m/>
    <m/>
    <m/>
    <m/>
    <m/>
  </r>
  <r>
    <x v="787"/>
    <n v="61"/>
    <x v="0"/>
    <x v="2"/>
    <d v="2025-08-15T00:00:00"/>
    <d v="2025-08-25T00:00:00"/>
    <n v="10"/>
    <x v="1"/>
    <n v="0"/>
    <x v="2"/>
    <x v="1"/>
    <n v="11294.67"/>
    <x v="11"/>
    <n v="2025"/>
    <x v="2"/>
    <m/>
    <m/>
    <m/>
    <m/>
    <m/>
  </r>
  <r>
    <x v="788"/>
    <n v="36"/>
    <x v="0"/>
    <x v="3"/>
    <d v="2025-03-02T00:00:00"/>
    <d v="2025-03-06T00:00:00"/>
    <n v="4"/>
    <x v="0"/>
    <n v="5"/>
    <x v="1"/>
    <x v="1"/>
    <n v="14726.09"/>
    <x v="3"/>
    <n v="2025"/>
    <x v="0"/>
    <m/>
    <m/>
    <m/>
    <m/>
    <m/>
  </r>
  <r>
    <x v="789"/>
    <n v="32"/>
    <x v="0"/>
    <x v="1"/>
    <d v="2025-08-06T00:00:00"/>
    <d v="2025-08-18T00:00:00"/>
    <n v="12"/>
    <x v="1"/>
    <n v="0"/>
    <x v="3"/>
    <x v="2"/>
    <n v="1116.5"/>
    <x v="11"/>
    <n v="2025"/>
    <x v="0"/>
    <m/>
    <m/>
    <m/>
    <m/>
    <m/>
  </r>
  <r>
    <x v="790"/>
    <n v="83"/>
    <x v="0"/>
    <x v="5"/>
    <d v="2025-02-25T00:00:00"/>
    <d v="2025-02-26T00:00:00"/>
    <n v="1"/>
    <x v="1"/>
    <n v="0"/>
    <x v="0"/>
    <x v="2"/>
    <n v="1127.58"/>
    <x v="4"/>
    <n v="2025"/>
    <x v="2"/>
    <m/>
    <m/>
    <m/>
    <m/>
    <m/>
  </r>
  <r>
    <x v="791"/>
    <n v="30"/>
    <x v="0"/>
    <x v="4"/>
    <d v="2025-06-04T00:00:00"/>
    <d v="2025-06-15T00:00:00"/>
    <n v="11"/>
    <x v="0"/>
    <n v="7"/>
    <x v="1"/>
    <x v="1"/>
    <n v="10223.709999999999"/>
    <x v="9"/>
    <n v="2025"/>
    <x v="0"/>
    <m/>
    <m/>
    <m/>
    <m/>
    <m/>
  </r>
  <r>
    <x v="792"/>
    <n v="53"/>
    <x v="1"/>
    <x v="3"/>
    <d v="2025-01-15T00:00:00"/>
    <d v="2025-01-17T00:00:00"/>
    <n v="2"/>
    <x v="0"/>
    <n v="6"/>
    <x v="1"/>
    <x v="0"/>
    <n v="8768.41"/>
    <x v="2"/>
    <n v="2025"/>
    <x v="0"/>
    <m/>
    <m/>
    <m/>
    <m/>
    <m/>
  </r>
  <r>
    <x v="793"/>
    <n v="19"/>
    <x v="0"/>
    <x v="2"/>
    <d v="2025-02-20T00:00:00"/>
    <d v="2025-03-06T00:00:00"/>
    <n v="14"/>
    <x v="1"/>
    <n v="0"/>
    <x v="1"/>
    <x v="2"/>
    <n v="2990.72"/>
    <x v="4"/>
    <n v="2025"/>
    <x v="1"/>
    <m/>
    <m/>
    <m/>
    <m/>
    <m/>
  </r>
  <r>
    <x v="794"/>
    <n v="30"/>
    <x v="0"/>
    <x v="4"/>
    <d v="2025-10-03T00:00:00"/>
    <d v="2025-10-04T00:00:00"/>
    <n v="1"/>
    <x v="1"/>
    <n v="0"/>
    <x v="3"/>
    <x v="2"/>
    <n v="10622.93"/>
    <x v="1"/>
    <n v="2025"/>
    <x v="0"/>
    <m/>
    <m/>
    <m/>
    <m/>
    <m/>
  </r>
  <r>
    <x v="795"/>
    <n v="31"/>
    <x v="0"/>
    <x v="3"/>
    <d v="2025-04-05T00:00:00"/>
    <d v="2025-04-13T00:00:00"/>
    <n v="8"/>
    <x v="1"/>
    <n v="0"/>
    <x v="3"/>
    <x v="2"/>
    <n v="3606.97"/>
    <x v="8"/>
    <n v="2025"/>
    <x v="0"/>
    <m/>
    <m/>
    <m/>
    <m/>
    <m/>
  </r>
  <r>
    <x v="796"/>
    <n v="58"/>
    <x v="0"/>
    <x v="5"/>
    <d v="2025-04-27T00:00:00"/>
    <d v="2025-05-04T00:00:00"/>
    <n v="7"/>
    <x v="0"/>
    <n v="4"/>
    <x v="1"/>
    <x v="2"/>
    <n v="11552.97"/>
    <x v="8"/>
    <n v="2025"/>
    <x v="0"/>
    <m/>
    <m/>
    <m/>
    <m/>
    <m/>
  </r>
  <r>
    <x v="797"/>
    <n v="23"/>
    <x v="0"/>
    <x v="3"/>
    <d v="2025-12-27T00:00:00"/>
    <d v="2026-01-01T00:00:00"/>
    <n v="5"/>
    <x v="1"/>
    <n v="0"/>
    <x v="3"/>
    <x v="1"/>
    <n v="6079.33"/>
    <x v="10"/>
    <n v="2025"/>
    <x v="1"/>
    <m/>
    <m/>
    <m/>
    <m/>
    <m/>
  </r>
  <r>
    <x v="798"/>
    <n v="74"/>
    <x v="0"/>
    <x v="4"/>
    <d v="2025-08-22T00:00:00"/>
    <d v="2025-09-01T00:00:00"/>
    <n v="10"/>
    <x v="1"/>
    <n v="0"/>
    <x v="3"/>
    <x v="2"/>
    <n v="14781.95"/>
    <x v="11"/>
    <n v="2025"/>
    <x v="2"/>
    <m/>
    <m/>
    <m/>
    <m/>
    <m/>
  </r>
  <r>
    <x v="799"/>
    <n v="78"/>
    <x v="1"/>
    <x v="0"/>
    <d v="2025-08-08T00:00:00"/>
    <d v="2025-08-12T00:00:00"/>
    <n v="4"/>
    <x v="1"/>
    <n v="0"/>
    <x v="0"/>
    <x v="0"/>
    <n v="7628.9"/>
    <x v="11"/>
    <n v="2025"/>
    <x v="2"/>
    <m/>
    <m/>
    <m/>
    <m/>
    <m/>
  </r>
  <r>
    <x v="800"/>
    <n v="28"/>
    <x v="0"/>
    <x v="0"/>
    <d v="2025-02-23T00:00:00"/>
    <d v="2025-03-02T00:00:00"/>
    <n v="7"/>
    <x v="1"/>
    <n v="0"/>
    <x v="3"/>
    <x v="2"/>
    <n v="10578.04"/>
    <x v="4"/>
    <n v="2025"/>
    <x v="1"/>
    <m/>
    <m/>
    <m/>
    <m/>
    <m/>
  </r>
  <r>
    <x v="801"/>
    <n v="39"/>
    <x v="0"/>
    <x v="3"/>
    <d v="2025-02-22T00:00:00"/>
    <d v="2025-03-06T00:00:00"/>
    <n v="12"/>
    <x v="1"/>
    <n v="0"/>
    <x v="1"/>
    <x v="2"/>
    <n v="3403.82"/>
    <x v="4"/>
    <n v="2025"/>
    <x v="0"/>
    <m/>
    <m/>
    <m/>
    <m/>
    <m/>
  </r>
  <r>
    <x v="802"/>
    <n v="72"/>
    <x v="1"/>
    <x v="3"/>
    <d v="2025-07-26T00:00:00"/>
    <d v="2025-07-28T00:00:00"/>
    <n v="2"/>
    <x v="0"/>
    <n v="25"/>
    <x v="2"/>
    <x v="0"/>
    <n v="14176.76"/>
    <x v="5"/>
    <n v="2025"/>
    <x v="2"/>
    <m/>
    <m/>
    <m/>
    <m/>
    <m/>
  </r>
  <r>
    <x v="803"/>
    <n v="69"/>
    <x v="1"/>
    <x v="4"/>
    <d v="2025-07-02T00:00:00"/>
    <d v="2025-07-10T00:00:00"/>
    <n v="8"/>
    <x v="1"/>
    <n v="0"/>
    <x v="2"/>
    <x v="1"/>
    <n v="11635.99"/>
    <x v="5"/>
    <n v="2025"/>
    <x v="2"/>
    <m/>
    <m/>
    <m/>
    <m/>
    <m/>
  </r>
  <r>
    <x v="804"/>
    <n v="81"/>
    <x v="0"/>
    <x v="2"/>
    <d v="2025-02-25T00:00:00"/>
    <d v="2025-02-27T00:00:00"/>
    <n v="2"/>
    <x v="0"/>
    <n v="5"/>
    <x v="0"/>
    <x v="1"/>
    <n v="11198.08"/>
    <x v="4"/>
    <n v="2025"/>
    <x v="2"/>
    <m/>
    <m/>
    <m/>
    <m/>
    <m/>
  </r>
  <r>
    <x v="805"/>
    <n v="40"/>
    <x v="1"/>
    <x v="4"/>
    <d v="2025-02-04T00:00:00"/>
    <d v="2025-02-12T00:00:00"/>
    <n v="8"/>
    <x v="1"/>
    <n v="0"/>
    <x v="2"/>
    <x v="1"/>
    <n v="4889.91"/>
    <x v="4"/>
    <n v="2025"/>
    <x v="0"/>
    <m/>
    <m/>
    <m/>
    <m/>
    <m/>
  </r>
  <r>
    <x v="806"/>
    <n v="84"/>
    <x v="1"/>
    <x v="5"/>
    <d v="2025-11-16T00:00:00"/>
    <d v="2025-11-18T00:00:00"/>
    <n v="2"/>
    <x v="1"/>
    <n v="0"/>
    <x v="1"/>
    <x v="2"/>
    <n v="10100.35"/>
    <x v="0"/>
    <n v="2025"/>
    <x v="2"/>
    <m/>
    <m/>
    <m/>
    <m/>
    <m/>
  </r>
  <r>
    <x v="807"/>
    <n v="61"/>
    <x v="0"/>
    <x v="1"/>
    <d v="2025-09-09T00:00:00"/>
    <d v="2025-09-18T00:00:00"/>
    <n v="9"/>
    <x v="0"/>
    <n v="14"/>
    <x v="0"/>
    <x v="2"/>
    <n v="7026.68"/>
    <x v="7"/>
    <n v="2025"/>
    <x v="2"/>
    <m/>
    <m/>
    <m/>
    <m/>
    <m/>
  </r>
  <r>
    <x v="808"/>
    <n v="22"/>
    <x v="0"/>
    <x v="4"/>
    <d v="2025-07-12T00:00:00"/>
    <d v="2025-07-20T00:00:00"/>
    <n v="8"/>
    <x v="1"/>
    <n v="0"/>
    <x v="2"/>
    <x v="0"/>
    <n v="2880.09"/>
    <x v="5"/>
    <n v="2025"/>
    <x v="1"/>
    <m/>
    <m/>
    <m/>
    <m/>
    <m/>
  </r>
  <r>
    <x v="809"/>
    <n v="67"/>
    <x v="1"/>
    <x v="1"/>
    <d v="2025-08-09T00:00:00"/>
    <d v="2025-08-12T00:00:00"/>
    <n v="3"/>
    <x v="1"/>
    <n v="0"/>
    <x v="3"/>
    <x v="0"/>
    <n v="8529.8700000000008"/>
    <x v="11"/>
    <n v="2025"/>
    <x v="2"/>
    <m/>
    <m/>
    <m/>
    <m/>
    <m/>
  </r>
  <r>
    <x v="810"/>
    <n v="89"/>
    <x v="0"/>
    <x v="4"/>
    <d v="2025-10-04T00:00:00"/>
    <d v="2025-10-14T00:00:00"/>
    <n v="10"/>
    <x v="1"/>
    <n v="0"/>
    <x v="0"/>
    <x v="2"/>
    <n v="4319.17"/>
    <x v="1"/>
    <n v="2025"/>
    <x v="2"/>
    <m/>
    <m/>
    <m/>
    <m/>
    <m/>
  </r>
  <r>
    <x v="811"/>
    <n v="63"/>
    <x v="1"/>
    <x v="3"/>
    <d v="2025-10-30T00:00:00"/>
    <d v="2025-11-06T00:00:00"/>
    <n v="7"/>
    <x v="1"/>
    <n v="0"/>
    <x v="0"/>
    <x v="1"/>
    <n v="9061.7199999999993"/>
    <x v="1"/>
    <n v="2025"/>
    <x v="2"/>
    <m/>
    <m/>
    <m/>
    <m/>
    <m/>
  </r>
  <r>
    <x v="812"/>
    <n v="21"/>
    <x v="1"/>
    <x v="5"/>
    <d v="2025-03-07T00:00:00"/>
    <d v="2025-03-21T00:00:00"/>
    <n v="14"/>
    <x v="1"/>
    <n v="0"/>
    <x v="0"/>
    <x v="2"/>
    <n v="5504.57"/>
    <x v="3"/>
    <n v="2025"/>
    <x v="1"/>
    <m/>
    <m/>
    <m/>
    <m/>
    <m/>
  </r>
  <r>
    <x v="813"/>
    <n v="49"/>
    <x v="0"/>
    <x v="0"/>
    <d v="2025-07-02T00:00:00"/>
    <d v="2025-07-09T00:00:00"/>
    <n v="7"/>
    <x v="1"/>
    <n v="0"/>
    <x v="2"/>
    <x v="0"/>
    <n v="1731.66"/>
    <x v="5"/>
    <n v="2025"/>
    <x v="0"/>
    <m/>
    <m/>
    <m/>
    <m/>
    <m/>
  </r>
  <r>
    <x v="814"/>
    <n v="32"/>
    <x v="1"/>
    <x v="0"/>
    <d v="2025-12-19T00:00:00"/>
    <d v="2025-12-21T00:00:00"/>
    <n v="2"/>
    <x v="1"/>
    <n v="0"/>
    <x v="0"/>
    <x v="0"/>
    <n v="5228.6899999999996"/>
    <x v="10"/>
    <n v="2025"/>
    <x v="0"/>
    <m/>
    <m/>
    <m/>
    <m/>
    <m/>
  </r>
  <r>
    <x v="815"/>
    <n v="90"/>
    <x v="1"/>
    <x v="3"/>
    <d v="2025-08-24T00:00:00"/>
    <d v="2025-09-04T00:00:00"/>
    <n v="11"/>
    <x v="1"/>
    <n v="0"/>
    <x v="0"/>
    <x v="0"/>
    <n v="7310.65"/>
    <x v="11"/>
    <n v="2025"/>
    <x v="2"/>
    <m/>
    <m/>
    <m/>
    <m/>
    <m/>
  </r>
  <r>
    <x v="816"/>
    <n v="67"/>
    <x v="1"/>
    <x v="4"/>
    <d v="2025-01-12T00:00:00"/>
    <d v="2025-01-18T00:00:00"/>
    <n v="6"/>
    <x v="1"/>
    <n v="0"/>
    <x v="0"/>
    <x v="2"/>
    <n v="1950.82"/>
    <x v="2"/>
    <n v="2025"/>
    <x v="2"/>
    <m/>
    <m/>
    <m/>
    <m/>
    <m/>
  </r>
  <r>
    <x v="817"/>
    <n v="82"/>
    <x v="1"/>
    <x v="0"/>
    <d v="2025-12-12T00:00:00"/>
    <d v="2025-12-16T00:00:00"/>
    <n v="4"/>
    <x v="1"/>
    <n v="0"/>
    <x v="2"/>
    <x v="2"/>
    <n v="14556.7"/>
    <x v="10"/>
    <n v="2025"/>
    <x v="2"/>
    <m/>
    <m/>
    <m/>
    <m/>
    <m/>
  </r>
  <r>
    <x v="818"/>
    <n v="27"/>
    <x v="0"/>
    <x v="3"/>
    <d v="2025-04-14T00:00:00"/>
    <d v="2025-04-22T00:00:00"/>
    <n v="8"/>
    <x v="1"/>
    <n v="0"/>
    <x v="2"/>
    <x v="1"/>
    <n v="4811.1400000000003"/>
    <x v="8"/>
    <n v="2025"/>
    <x v="1"/>
    <m/>
    <m/>
    <m/>
    <m/>
    <m/>
  </r>
  <r>
    <x v="819"/>
    <n v="29"/>
    <x v="0"/>
    <x v="4"/>
    <d v="2025-10-21T00:00:00"/>
    <d v="2025-10-28T00:00:00"/>
    <n v="7"/>
    <x v="1"/>
    <n v="0"/>
    <x v="2"/>
    <x v="2"/>
    <n v="1475.41"/>
    <x v="1"/>
    <n v="2025"/>
    <x v="1"/>
    <m/>
    <m/>
    <m/>
    <m/>
    <m/>
  </r>
  <r>
    <x v="820"/>
    <n v="62"/>
    <x v="0"/>
    <x v="2"/>
    <d v="2025-09-29T00:00:00"/>
    <d v="2025-10-07T00:00:00"/>
    <n v="8"/>
    <x v="1"/>
    <n v="0"/>
    <x v="2"/>
    <x v="0"/>
    <n v="12159.84"/>
    <x v="7"/>
    <n v="2025"/>
    <x v="2"/>
    <m/>
    <m/>
    <m/>
    <m/>
    <m/>
  </r>
  <r>
    <x v="821"/>
    <n v="43"/>
    <x v="1"/>
    <x v="5"/>
    <d v="2025-08-10T00:00:00"/>
    <d v="2025-08-21T00:00:00"/>
    <n v="11"/>
    <x v="1"/>
    <n v="0"/>
    <x v="2"/>
    <x v="0"/>
    <n v="7972.85"/>
    <x v="11"/>
    <n v="2025"/>
    <x v="0"/>
    <m/>
    <m/>
    <m/>
    <m/>
    <m/>
  </r>
  <r>
    <x v="822"/>
    <n v="20"/>
    <x v="0"/>
    <x v="4"/>
    <d v="2025-12-10T00:00:00"/>
    <d v="2025-12-23T00:00:00"/>
    <n v="13"/>
    <x v="1"/>
    <n v="0"/>
    <x v="3"/>
    <x v="1"/>
    <n v="10081.69"/>
    <x v="10"/>
    <n v="2025"/>
    <x v="1"/>
    <m/>
    <m/>
    <m/>
    <m/>
    <m/>
  </r>
  <r>
    <x v="823"/>
    <n v="86"/>
    <x v="1"/>
    <x v="4"/>
    <d v="2025-08-28T00:00:00"/>
    <d v="2025-09-02T00:00:00"/>
    <n v="5"/>
    <x v="1"/>
    <n v="0"/>
    <x v="0"/>
    <x v="0"/>
    <n v="3409.4"/>
    <x v="11"/>
    <n v="2025"/>
    <x v="2"/>
    <m/>
    <m/>
    <m/>
    <m/>
    <m/>
  </r>
  <r>
    <x v="824"/>
    <n v="56"/>
    <x v="1"/>
    <x v="5"/>
    <d v="2025-08-25T00:00:00"/>
    <d v="2025-08-28T00:00:00"/>
    <n v="3"/>
    <x v="0"/>
    <n v="11"/>
    <x v="0"/>
    <x v="0"/>
    <n v="3451.59"/>
    <x v="11"/>
    <n v="2025"/>
    <x v="0"/>
    <m/>
    <m/>
    <m/>
    <m/>
    <m/>
  </r>
  <r>
    <x v="825"/>
    <n v="38"/>
    <x v="1"/>
    <x v="2"/>
    <d v="2025-07-31T00:00:00"/>
    <d v="2025-08-05T00:00:00"/>
    <n v="5"/>
    <x v="1"/>
    <n v="0"/>
    <x v="1"/>
    <x v="2"/>
    <n v="3958.01"/>
    <x v="5"/>
    <n v="2025"/>
    <x v="0"/>
    <m/>
    <m/>
    <m/>
    <m/>
    <m/>
  </r>
  <r>
    <x v="826"/>
    <n v="57"/>
    <x v="1"/>
    <x v="5"/>
    <d v="2025-03-18T00:00:00"/>
    <d v="2025-03-22T00:00:00"/>
    <n v="4"/>
    <x v="0"/>
    <n v="18"/>
    <x v="3"/>
    <x v="2"/>
    <n v="9880.3700000000008"/>
    <x v="3"/>
    <n v="2025"/>
    <x v="0"/>
    <m/>
    <m/>
    <m/>
    <m/>
    <m/>
  </r>
  <r>
    <x v="827"/>
    <n v="35"/>
    <x v="0"/>
    <x v="3"/>
    <d v="2025-01-19T00:00:00"/>
    <d v="2025-01-23T00:00:00"/>
    <n v="4"/>
    <x v="0"/>
    <n v="26"/>
    <x v="2"/>
    <x v="0"/>
    <n v="8485.24"/>
    <x v="2"/>
    <n v="2025"/>
    <x v="0"/>
    <m/>
    <m/>
    <m/>
    <m/>
    <m/>
  </r>
  <r>
    <x v="828"/>
    <n v="80"/>
    <x v="0"/>
    <x v="1"/>
    <d v="2025-11-26T00:00:00"/>
    <d v="2025-12-10T00:00:00"/>
    <n v="14"/>
    <x v="0"/>
    <n v="28"/>
    <x v="0"/>
    <x v="2"/>
    <n v="9223.2000000000007"/>
    <x v="0"/>
    <n v="2025"/>
    <x v="2"/>
    <m/>
    <m/>
    <m/>
    <m/>
    <m/>
  </r>
  <r>
    <x v="829"/>
    <n v="29"/>
    <x v="1"/>
    <x v="2"/>
    <d v="2025-02-02T00:00:00"/>
    <d v="2025-02-09T00:00:00"/>
    <n v="7"/>
    <x v="1"/>
    <n v="0"/>
    <x v="1"/>
    <x v="1"/>
    <n v="2123.02"/>
    <x v="4"/>
    <n v="2025"/>
    <x v="1"/>
    <m/>
    <m/>
    <m/>
    <m/>
    <m/>
  </r>
  <r>
    <x v="830"/>
    <n v="85"/>
    <x v="1"/>
    <x v="5"/>
    <d v="2025-09-14T00:00:00"/>
    <d v="2025-09-16T00:00:00"/>
    <n v="2"/>
    <x v="1"/>
    <n v="0"/>
    <x v="0"/>
    <x v="1"/>
    <n v="9197.41"/>
    <x v="7"/>
    <n v="2025"/>
    <x v="2"/>
    <m/>
    <m/>
    <m/>
    <m/>
    <m/>
  </r>
  <r>
    <x v="831"/>
    <n v="67"/>
    <x v="0"/>
    <x v="5"/>
    <d v="2025-06-10T00:00:00"/>
    <d v="2025-06-16T00:00:00"/>
    <n v="6"/>
    <x v="1"/>
    <n v="0"/>
    <x v="1"/>
    <x v="1"/>
    <n v="2048.8000000000002"/>
    <x v="9"/>
    <n v="2025"/>
    <x v="2"/>
    <m/>
    <m/>
    <m/>
    <m/>
    <m/>
  </r>
  <r>
    <x v="832"/>
    <n v="50"/>
    <x v="0"/>
    <x v="5"/>
    <d v="2025-04-20T00:00:00"/>
    <d v="2025-04-25T00:00:00"/>
    <n v="5"/>
    <x v="1"/>
    <n v="0"/>
    <x v="2"/>
    <x v="0"/>
    <n v="14256.31"/>
    <x v="8"/>
    <n v="2025"/>
    <x v="0"/>
    <m/>
    <m/>
    <m/>
    <m/>
    <m/>
  </r>
  <r>
    <x v="833"/>
    <n v="49"/>
    <x v="1"/>
    <x v="0"/>
    <d v="2025-06-12T00:00:00"/>
    <d v="2025-06-21T00:00:00"/>
    <n v="9"/>
    <x v="1"/>
    <n v="0"/>
    <x v="2"/>
    <x v="2"/>
    <n v="10877.23"/>
    <x v="9"/>
    <n v="2025"/>
    <x v="0"/>
    <m/>
    <m/>
    <m/>
    <m/>
    <m/>
  </r>
  <r>
    <x v="834"/>
    <n v="22"/>
    <x v="0"/>
    <x v="2"/>
    <d v="2025-06-07T00:00:00"/>
    <d v="2025-06-08T00:00:00"/>
    <n v="1"/>
    <x v="1"/>
    <n v="0"/>
    <x v="1"/>
    <x v="2"/>
    <n v="8514.5499999999993"/>
    <x v="9"/>
    <n v="2025"/>
    <x v="1"/>
    <m/>
    <m/>
    <m/>
    <m/>
    <m/>
  </r>
  <r>
    <x v="835"/>
    <n v="64"/>
    <x v="0"/>
    <x v="4"/>
    <d v="2025-06-08T00:00:00"/>
    <d v="2025-06-19T00:00:00"/>
    <n v="11"/>
    <x v="1"/>
    <n v="0"/>
    <x v="1"/>
    <x v="2"/>
    <n v="6132.83"/>
    <x v="9"/>
    <n v="2025"/>
    <x v="2"/>
    <m/>
    <m/>
    <m/>
    <m/>
    <m/>
  </r>
  <r>
    <x v="836"/>
    <n v="48"/>
    <x v="1"/>
    <x v="0"/>
    <d v="2025-07-21T00:00:00"/>
    <d v="2025-07-26T00:00:00"/>
    <n v="5"/>
    <x v="1"/>
    <n v="0"/>
    <x v="1"/>
    <x v="2"/>
    <n v="9654.61"/>
    <x v="5"/>
    <n v="2025"/>
    <x v="0"/>
    <m/>
    <m/>
    <m/>
    <m/>
    <m/>
  </r>
  <r>
    <x v="837"/>
    <n v="53"/>
    <x v="0"/>
    <x v="5"/>
    <d v="2025-11-26T00:00:00"/>
    <d v="2025-12-03T00:00:00"/>
    <n v="7"/>
    <x v="1"/>
    <n v="0"/>
    <x v="3"/>
    <x v="0"/>
    <n v="6487.94"/>
    <x v="0"/>
    <n v="2025"/>
    <x v="0"/>
    <m/>
    <m/>
    <m/>
    <m/>
    <m/>
  </r>
  <r>
    <x v="838"/>
    <n v="30"/>
    <x v="0"/>
    <x v="2"/>
    <d v="2025-06-20T00:00:00"/>
    <d v="2025-07-02T00:00:00"/>
    <n v="12"/>
    <x v="1"/>
    <n v="0"/>
    <x v="2"/>
    <x v="0"/>
    <n v="1462.32"/>
    <x v="9"/>
    <n v="2025"/>
    <x v="0"/>
    <m/>
    <m/>
    <m/>
    <m/>
    <m/>
  </r>
  <r>
    <x v="839"/>
    <n v="88"/>
    <x v="1"/>
    <x v="5"/>
    <d v="2025-08-04T00:00:00"/>
    <d v="2025-08-14T00:00:00"/>
    <n v="10"/>
    <x v="1"/>
    <n v="0"/>
    <x v="0"/>
    <x v="1"/>
    <n v="9799.91"/>
    <x v="11"/>
    <n v="2025"/>
    <x v="2"/>
    <m/>
    <m/>
    <m/>
    <m/>
    <m/>
  </r>
  <r>
    <x v="840"/>
    <n v="35"/>
    <x v="0"/>
    <x v="5"/>
    <d v="2025-04-05T00:00:00"/>
    <d v="2025-04-16T00:00:00"/>
    <n v="11"/>
    <x v="1"/>
    <n v="0"/>
    <x v="1"/>
    <x v="0"/>
    <n v="4930.4399999999996"/>
    <x v="8"/>
    <n v="2025"/>
    <x v="0"/>
    <m/>
    <m/>
    <m/>
    <m/>
    <m/>
  </r>
  <r>
    <x v="841"/>
    <n v="49"/>
    <x v="0"/>
    <x v="4"/>
    <d v="2025-10-22T00:00:00"/>
    <d v="2025-10-24T00:00:00"/>
    <n v="2"/>
    <x v="0"/>
    <n v="22"/>
    <x v="3"/>
    <x v="2"/>
    <n v="7046.6"/>
    <x v="1"/>
    <n v="2025"/>
    <x v="0"/>
    <m/>
    <m/>
    <m/>
    <m/>
    <m/>
  </r>
  <r>
    <x v="842"/>
    <n v="59"/>
    <x v="1"/>
    <x v="0"/>
    <d v="2025-03-10T00:00:00"/>
    <d v="2025-03-15T00:00:00"/>
    <n v="5"/>
    <x v="0"/>
    <n v="3"/>
    <x v="3"/>
    <x v="2"/>
    <n v="3137.39"/>
    <x v="3"/>
    <n v="2025"/>
    <x v="0"/>
    <m/>
    <m/>
    <m/>
    <m/>
    <m/>
  </r>
  <r>
    <x v="843"/>
    <n v="46"/>
    <x v="0"/>
    <x v="1"/>
    <d v="2025-07-13T00:00:00"/>
    <d v="2025-07-27T00:00:00"/>
    <n v="14"/>
    <x v="1"/>
    <n v="0"/>
    <x v="1"/>
    <x v="1"/>
    <n v="14624.85"/>
    <x v="5"/>
    <n v="2025"/>
    <x v="0"/>
    <m/>
    <m/>
    <m/>
    <m/>
    <m/>
  </r>
  <r>
    <x v="844"/>
    <n v="39"/>
    <x v="0"/>
    <x v="5"/>
    <d v="2025-04-12T00:00:00"/>
    <d v="2025-04-17T00:00:00"/>
    <n v="5"/>
    <x v="1"/>
    <n v="0"/>
    <x v="3"/>
    <x v="0"/>
    <n v="4272.29"/>
    <x v="8"/>
    <n v="2025"/>
    <x v="0"/>
    <m/>
    <m/>
    <m/>
    <m/>
    <m/>
  </r>
  <r>
    <x v="845"/>
    <n v="90"/>
    <x v="0"/>
    <x v="1"/>
    <d v="2025-02-15T00:00:00"/>
    <d v="2025-02-21T00:00:00"/>
    <n v="6"/>
    <x v="0"/>
    <n v="23"/>
    <x v="3"/>
    <x v="2"/>
    <n v="12495.23"/>
    <x v="4"/>
    <n v="2025"/>
    <x v="2"/>
    <m/>
    <m/>
    <m/>
    <m/>
    <m/>
  </r>
  <r>
    <x v="846"/>
    <n v="44"/>
    <x v="0"/>
    <x v="3"/>
    <d v="2025-09-11T00:00:00"/>
    <d v="2025-09-13T00:00:00"/>
    <n v="2"/>
    <x v="0"/>
    <n v="10"/>
    <x v="3"/>
    <x v="2"/>
    <n v="2387.89"/>
    <x v="7"/>
    <n v="2025"/>
    <x v="0"/>
    <m/>
    <m/>
    <m/>
    <m/>
    <m/>
  </r>
  <r>
    <x v="847"/>
    <n v="54"/>
    <x v="0"/>
    <x v="5"/>
    <d v="2025-04-16T00:00:00"/>
    <d v="2025-04-26T00:00:00"/>
    <n v="10"/>
    <x v="0"/>
    <n v="6"/>
    <x v="3"/>
    <x v="1"/>
    <n v="917.21"/>
    <x v="8"/>
    <n v="2025"/>
    <x v="0"/>
    <m/>
    <m/>
    <m/>
    <m/>
    <m/>
  </r>
  <r>
    <x v="848"/>
    <n v="49"/>
    <x v="1"/>
    <x v="4"/>
    <d v="2025-05-15T00:00:00"/>
    <d v="2025-05-19T00:00:00"/>
    <n v="4"/>
    <x v="1"/>
    <n v="0"/>
    <x v="3"/>
    <x v="1"/>
    <n v="649.64"/>
    <x v="6"/>
    <n v="2025"/>
    <x v="0"/>
    <m/>
    <m/>
    <m/>
    <m/>
    <m/>
  </r>
  <r>
    <x v="849"/>
    <n v="68"/>
    <x v="0"/>
    <x v="2"/>
    <d v="2025-03-10T00:00:00"/>
    <d v="2025-03-24T00:00:00"/>
    <n v="14"/>
    <x v="1"/>
    <n v="0"/>
    <x v="3"/>
    <x v="0"/>
    <n v="6637.72"/>
    <x v="3"/>
    <n v="2025"/>
    <x v="2"/>
    <m/>
    <m/>
    <m/>
    <m/>
    <m/>
  </r>
  <r>
    <x v="850"/>
    <n v="89"/>
    <x v="0"/>
    <x v="1"/>
    <d v="2025-11-02T00:00:00"/>
    <d v="2025-11-07T00:00:00"/>
    <n v="5"/>
    <x v="0"/>
    <n v="11"/>
    <x v="1"/>
    <x v="2"/>
    <n v="13669.28"/>
    <x v="0"/>
    <n v="2025"/>
    <x v="2"/>
    <m/>
    <m/>
    <m/>
    <m/>
    <m/>
  </r>
  <r>
    <x v="851"/>
    <n v="23"/>
    <x v="0"/>
    <x v="3"/>
    <d v="2025-11-07T00:00:00"/>
    <d v="2025-11-18T00:00:00"/>
    <n v="11"/>
    <x v="1"/>
    <n v="0"/>
    <x v="3"/>
    <x v="2"/>
    <n v="14674.1"/>
    <x v="0"/>
    <n v="2025"/>
    <x v="1"/>
    <m/>
    <m/>
    <m/>
    <m/>
    <m/>
  </r>
  <r>
    <x v="852"/>
    <n v="89"/>
    <x v="0"/>
    <x v="4"/>
    <d v="2025-12-10T00:00:00"/>
    <d v="2025-12-16T00:00:00"/>
    <n v="6"/>
    <x v="0"/>
    <n v="6"/>
    <x v="2"/>
    <x v="1"/>
    <n v="7804.33"/>
    <x v="10"/>
    <n v="2025"/>
    <x v="2"/>
    <m/>
    <m/>
    <m/>
    <m/>
    <m/>
  </r>
  <r>
    <x v="853"/>
    <n v="58"/>
    <x v="1"/>
    <x v="0"/>
    <d v="2025-06-23T00:00:00"/>
    <d v="2025-07-01T00:00:00"/>
    <n v="8"/>
    <x v="0"/>
    <n v="9"/>
    <x v="0"/>
    <x v="2"/>
    <n v="1140.3499999999999"/>
    <x v="9"/>
    <n v="2025"/>
    <x v="0"/>
    <m/>
    <m/>
    <m/>
    <m/>
    <m/>
  </r>
  <r>
    <x v="854"/>
    <n v="53"/>
    <x v="1"/>
    <x v="5"/>
    <d v="2025-03-07T00:00:00"/>
    <d v="2025-03-15T00:00:00"/>
    <n v="8"/>
    <x v="1"/>
    <n v="0"/>
    <x v="2"/>
    <x v="2"/>
    <n v="9387.51"/>
    <x v="3"/>
    <n v="2025"/>
    <x v="0"/>
    <m/>
    <m/>
    <m/>
    <m/>
    <m/>
  </r>
  <r>
    <x v="855"/>
    <n v="39"/>
    <x v="1"/>
    <x v="2"/>
    <d v="2025-05-16T00:00:00"/>
    <d v="2025-05-25T00:00:00"/>
    <n v="9"/>
    <x v="1"/>
    <n v="0"/>
    <x v="3"/>
    <x v="1"/>
    <n v="8557.2800000000007"/>
    <x v="6"/>
    <n v="2025"/>
    <x v="0"/>
    <m/>
    <m/>
    <m/>
    <m/>
    <m/>
  </r>
  <r>
    <x v="856"/>
    <n v="24"/>
    <x v="0"/>
    <x v="0"/>
    <d v="2025-12-03T00:00:00"/>
    <d v="2025-12-14T00:00:00"/>
    <n v="11"/>
    <x v="1"/>
    <n v="0"/>
    <x v="0"/>
    <x v="1"/>
    <n v="3155.55"/>
    <x v="10"/>
    <n v="2025"/>
    <x v="1"/>
    <m/>
    <m/>
    <m/>
    <m/>
    <m/>
  </r>
  <r>
    <x v="857"/>
    <n v="77"/>
    <x v="1"/>
    <x v="1"/>
    <d v="2025-08-29T00:00:00"/>
    <d v="2025-09-03T00:00:00"/>
    <n v="5"/>
    <x v="0"/>
    <n v="29"/>
    <x v="3"/>
    <x v="1"/>
    <n v="6902.04"/>
    <x v="11"/>
    <n v="2025"/>
    <x v="2"/>
    <m/>
    <m/>
    <m/>
    <m/>
    <m/>
  </r>
  <r>
    <x v="858"/>
    <n v="81"/>
    <x v="0"/>
    <x v="2"/>
    <d v="2025-12-30T00:00:00"/>
    <d v="2026-01-08T00:00:00"/>
    <n v="9"/>
    <x v="1"/>
    <n v="0"/>
    <x v="1"/>
    <x v="1"/>
    <n v="5569.26"/>
    <x v="10"/>
    <n v="2025"/>
    <x v="2"/>
    <m/>
    <m/>
    <m/>
    <m/>
    <m/>
  </r>
  <r>
    <x v="859"/>
    <n v="39"/>
    <x v="1"/>
    <x v="4"/>
    <d v="2025-04-15T00:00:00"/>
    <d v="2025-04-29T00:00:00"/>
    <n v="14"/>
    <x v="0"/>
    <n v="29"/>
    <x v="1"/>
    <x v="0"/>
    <n v="14971.07"/>
    <x v="8"/>
    <n v="2025"/>
    <x v="0"/>
    <m/>
    <m/>
    <m/>
    <m/>
    <m/>
  </r>
  <r>
    <x v="860"/>
    <n v="41"/>
    <x v="1"/>
    <x v="1"/>
    <d v="2025-01-03T00:00:00"/>
    <d v="2025-01-12T00:00:00"/>
    <n v="9"/>
    <x v="1"/>
    <n v="0"/>
    <x v="1"/>
    <x v="2"/>
    <n v="10315.17"/>
    <x v="2"/>
    <n v="2025"/>
    <x v="0"/>
    <m/>
    <m/>
    <m/>
    <m/>
    <m/>
  </r>
  <r>
    <x v="861"/>
    <n v="33"/>
    <x v="1"/>
    <x v="3"/>
    <d v="2025-06-18T00:00:00"/>
    <d v="2025-06-19T00:00:00"/>
    <n v="1"/>
    <x v="0"/>
    <n v="19"/>
    <x v="0"/>
    <x v="2"/>
    <n v="2729.74"/>
    <x v="9"/>
    <n v="2025"/>
    <x v="0"/>
    <m/>
    <m/>
    <m/>
    <m/>
    <m/>
  </r>
  <r>
    <x v="862"/>
    <n v="79"/>
    <x v="1"/>
    <x v="2"/>
    <d v="2025-02-11T00:00:00"/>
    <d v="2025-02-19T00:00:00"/>
    <n v="8"/>
    <x v="1"/>
    <n v="0"/>
    <x v="2"/>
    <x v="0"/>
    <n v="10041.09"/>
    <x v="4"/>
    <n v="2025"/>
    <x v="2"/>
    <m/>
    <m/>
    <m/>
    <m/>
    <m/>
  </r>
  <r>
    <x v="863"/>
    <n v="75"/>
    <x v="1"/>
    <x v="2"/>
    <d v="2025-06-18T00:00:00"/>
    <d v="2025-06-19T00:00:00"/>
    <n v="1"/>
    <x v="1"/>
    <n v="0"/>
    <x v="1"/>
    <x v="1"/>
    <n v="13017.54"/>
    <x v="9"/>
    <n v="2025"/>
    <x v="2"/>
    <m/>
    <m/>
    <m/>
    <m/>
    <m/>
  </r>
  <r>
    <x v="864"/>
    <n v="25"/>
    <x v="0"/>
    <x v="4"/>
    <d v="2025-11-26T00:00:00"/>
    <d v="2025-12-01T00:00:00"/>
    <n v="5"/>
    <x v="1"/>
    <n v="0"/>
    <x v="3"/>
    <x v="1"/>
    <n v="6283.45"/>
    <x v="0"/>
    <n v="2025"/>
    <x v="1"/>
    <m/>
    <m/>
    <m/>
    <m/>
    <m/>
  </r>
  <r>
    <x v="865"/>
    <n v="69"/>
    <x v="0"/>
    <x v="1"/>
    <d v="2025-04-02T00:00:00"/>
    <d v="2025-04-06T00:00:00"/>
    <n v="4"/>
    <x v="1"/>
    <n v="0"/>
    <x v="1"/>
    <x v="1"/>
    <n v="6133.29"/>
    <x v="8"/>
    <n v="2025"/>
    <x v="2"/>
    <m/>
    <m/>
    <m/>
    <m/>
    <m/>
  </r>
  <r>
    <x v="866"/>
    <n v="37"/>
    <x v="0"/>
    <x v="3"/>
    <d v="2025-07-26T00:00:00"/>
    <d v="2025-07-31T00:00:00"/>
    <n v="5"/>
    <x v="1"/>
    <n v="0"/>
    <x v="3"/>
    <x v="2"/>
    <n v="11170.39"/>
    <x v="5"/>
    <n v="2025"/>
    <x v="0"/>
    <m/>
    <m/>
    <m/>
    <m/>
    <m/>
  </r>
  <r>
    <x v="867"/>
    <n v="63"/>
    <x v="0"/>
    <x v="3"/>
    <d v="2025-06-08T00:00:00"/>
    <d v="2025-06-19T00:00:00"/>
    <n v="11"/>
    <x v="1"/>
    <n v="0"/>
    <x v="1"/>
    <x v="2"/>
    <n v="6958.92"/>
    <x v="9"/>
    <n v="2025"/>
    <x v="2"/>
    <m/>
    <m/>
    <m/>
    <m/>
    <m/>
  </r>
  <r>
    <x v="868"/>
    <n v="72"/>
    <x v="0"/>
    <x v="5"/>
    <d v="2025-07-18T00:00:00"/>
    <d v="2025-07-26T00:00:00"/>
    <n v="8"/>
    <x v="0"/>
    <n v="26"/>
    <x v="2"/>
    <x v="0"/>
    <n v="3202.16"/>
    <x v="5"/>
    <n v="2025"/>
    <x v="2"/>
    <m/>
    <m/>
    <m/>
    <m/>
    <m/>
  </r>
  <r>
    <x v="869"/>
    <n v="83"/>
    <x v="1"/>
    <x v="5"/>
    <d v="2025-11-19T00:00:00"/>
    <d v="2025-11-26T00:00:00"/>
    <n v="7"/>
    <x v="0"/>
    <n v="22"/>
    <x v="1"/>
    <x v="0"/>
    <n v="10450.43"/>
    <x v="0"/>
    <n v="2025"/>
    <x v="2"/>
    <m/>
    <m/>
    <m/>
    <m/>
    <m/>
  </r>
  <r>
    <x v="870"/>
    <n v="85"/>
    <x v="0"/>
    <x v="3"/>
    <d v="2025-03-21T00:00:00"/>
    <d v="2025-03-29T00:00:00"/>
    <n v="8"/>
    <x v="1"/>
    <n v="0"/>
    <x v="3"/>
    <x v="2"/>
    <n v="1648.16"/>
    <x v="3"/>
    <n v="2025"/>
    <x v="2"/>
    <m/>
    <m/>
    <m/>
    <m/>
    <m/>
  </r>
  <r>
    <x v="871"/>
    <n v="34"/>
    <x v="1"/>
    <x v="0"/>
    <d v="2025-09-02T00:00:00"/>
    <d v="2025-09-07T00:00:00"/>
    <n v="5"/>
    <x v="0"/>
    <n v="17"/>
    <x v="3"/>
    <x v="2"/>
    <n v="8743.77"/>
    <x v="7"/>
    <n v="2025"/>
    <x v="0"/>
    <m/>
    <m/>
    <m/>
    <m/>
    <m/>
  </r>
  <r>
    <x v="872"/>
    <n v="83"/>
    <x v="0"/>
    <x v="4"/>
    <d v="2025-10-10T00:00:00"/>
    <d v="2025-10-12T00:00:00"/>
    <n v="2"/>
    <x v="1"/>
    <n v="0"/>
    <x v="3"/>
    <x v="2"/>
    <n v="1870.02"/>
    <x v="1"/>
    <n v="2025"/>
    <x v="2"/>
    <m/>
    <m/>
    <m/>
    <m/>
    <m/>
  </r>
  <r>
    <x v="873"/>
    <n v="50"/>
    <x v="1"/>
    <x v="3"/>
    <d v="2025-12-05T00:00:00"/>
    <d v="2025-12-17T00:00:00"/>
    <n v="12"/>
    <x v="1"/>
    <n v="0"/>
    <x v="0"/>
    <x v="0"/>
    <n v="735.9"/>
    <x v="10"/>
    <n v="2025"/>
    <x v="0"/>
    <m/>
    <m/>
    <m/>
    <m/>
    <m/>
  </r>
  <r>
    <x v="874"/>
    <n v="41"/>
    <x v="1"/>
    <x v="1"/>
    <d v="2025-12-05T00:00:00"/>
    <d v="2025-12-13T00:00:00"/>
    <n v="8"/>
    <x v="0"/>
    <n v="3"/>
    <x v="3"/>
    <x v="0"/>
    <n v="4815.8900000000003"/>
    <x v="10"/>
    <n v="2025"/>
    <x v="0"/>
    <m/>
    <m/>
    <m/>
    <m/>
    <m/>
  </r>
  <r>
    <x v="875"/>
    <n v="75"/>
    <x v="1"/>
    <x v="3"/>
    <d v="2025-10-28T00:00:00"/>
    <d v="2025-11-09T00:00:00"/>
    <n v="12"/>
    <x v="1"/>
    <n v="0"/>
    <x v="1"/>
    <x v="1"/>
    <n v="3183.77"/>
    <x v="1"/>
    <n v="2025"/>
    <x v="2"/>
    <m/>
    <m/>
    <m/>
    <m/>
    <m/>
  </r>
  <r>
    <x v="876"/>
    <n v="31"/>
    <x v="1"/>
    <x v="4"/>
    <d v="2025-11-06T00:00:00"/>
    <d v="2025-11-11T00:00:00"/>
    <n v="5"/>
    <x v="1"/>
    <n v="0"/>
    <x v="0"/>
    <x v="1"/>
    <n v="6226.54"/>
    <x v="0"/>
    <n v="2025"/>
    <x v="0"/>
    <m/>
    <m/>
    <m/>
    <m/>
    <m/>
  </r>
  <r>
    <x v="877"/>
    <n v="76"/>
    <x v="1"/>
    <x v="2"/>
    <d v="2025-01-07T00:00:00"/>
    <d v="2025-01-10T00:00:00"/>
    <n v="3"/>
    <x v="1"/>
    <n v="0"/>
    <x v="3"/>
    <x v="2"/>
    <n v="9468.24"/>
    <x v="2"/>
    <n v="2025"/>
    <x v="2"/>
    <m/>
    <m/>
    <m/>
    <m/>
    <m/>
  </r>
  <r>
    <x v="878"/>
    <n v="68"/>
    <x v="1"/>
    <x v="1"/>
    <d v="2025-11-12T00:00:00"/>
    <d v="2025-11-18T00:00:00"/>
    <n v="6"/>
    <x v="1"/>
    <n v="0"/>
    <x v="1"/>
    <x v="1"/>
    <n v="701.2"/>
    <x v="0"/>
    <n v="2025"/>
    <x v="2"/>
    <m/>
    <m/>
    <m/>
    <m/>
    <m/>
  </r>
  <r>
    <x v="879"/>
    <n v="42"/>
    <x v="0"/>
    <x v="0"/>
    <d v="2025-02-27T00:00:00"/>
    <d v="2025-03-13T00:00:00"/>
    <n v="14"/>
    <x v="0"/>
    <n v="16"/>
    <x v="1"/>
    <x v="0"/>
    <n v="4005.81"/>
    <x v="4"/>
    <n v="2025"/>
    <x v="0"/>
    <m/>
    <m/>
    <m/>
    <m/>
    <m/>
  </r>
  <r>
    <x v="880"/>
    <n v="42"/>
    <x v="0"/>
    <x v="3"/>
    <d v="2025-11-17T00:00:00"/>
    <d v="2025-12-01T00:00:00"/>
    <n v="14"/>
    <x v="1"/>
    <n v="0"/>
    <x v="3"/>
    <x v="1"/>
    <n v="7372.84"/>
    <x v="0"/>
    <n v="2025"/>
    <x v="0"/>
    <m/>
    <m/>
    <m/>
    <m/>
    <m/>
  </r>
  <r>
    <x v="881"/>
    <n v="37"/>
    <x v="1"/>
    <x v="5"/>
    <d v="2025-01-12T00:00:00"/>
    <d v="2025-01-14T00:00:00"/>
    <n v="2"/>
    <x v="0"/>
    <n v="16"/>
    <x v="0"/>
    <x v="2"/>
    <n v="8985.7800000000007"/>
    <x v="2"/>
    <n v="2025"/>
    <x v="0"/>
    <m/>
    <m/>
    <m/>
    <m/>
    <m/>
  </r>
  <r>
    <x v="882"/>
    <n v="68"/>
    <x v="0"/>
    <x v="3"/>
    <d v="2025-04-14T00:00:00"/>
    <d v="2025-04-19T00:00:00"/>
    <n v="5"/>
    <x v="1"/>
    <n v="0"/>
    <x v="0"/>
    <x v="1"/>
    <n v="9640.94"/>
    <x v="8"/>
    <n v="2025"/>
    <x v="2"/>
    <m/>
    <m/>
    <m/>
    <m/>
    <m/>
  </r>
  <r>
    <x v="883"/>
    <n v="88"/>
    <x v="1"/>
    <x v="1"/>
    <d v="2025-08-10T00:00:00"/>
    <d v="2025-08-17T00:00:00"/>
    <n v="7"/>
    <x v="1"/>
    <n v="0"/>
    <x v="3"/>
    <x v="2"/>
    <n v="7548.46"/>
    <x v="11"/>
    <n v="2025"/>
    <x v="2"/>
    <m/>
    <m/>
    <m/>
    <m/>
    <m/>
  </r>
  <r>
    <x v="884"/>
    <n v="80"/>
    <x v="0"/>
    <x v="2"/>
    <d v="2025-10-30T00:00:00"/>
    <d v="2025-11-11T00:00:00"/>
    <n v="12"/>
    <x v="1"/>
    <n v="0"/>
    <x v="0"/>
    <x v="0"/>
    <n v="775.79"/>
    <x v="1"/>
    <n v="2025"/>
    <x v="2"/>
    <m/>
    <m/>
    <m/>
    <m/>
    <m/>
  </r>
  <r>
    <x v="885"/>
    <n v="52"/>
    <x v="1"/>
    <x v="5"/>
    <d v="2025-10-23T00:00:00"/>
    <d v="2025-10-29T00:00:00"/>
    <n v="6"/>
    <x v="1"/>
    <n v="0"/>
    <x v="0"/>
    <x v="2"/>
    <n v="9529.1"/>
    <x v="1"/>
    <n v="2025"/>
    <x v="0"/>
    <m/>
    <m/>
    <m/>
    <m/>
    <m/>
  </r>
  <r>
    <x v="886"/>
    <n v="73"/>
    <x v="0"/>
    <x v="0"/>
    <d v="2025-11-27T00:00:00"/>
    <d v="2025-12-03T00:00:00"/>
    <n v="6"/>
    <x v="1"/>
    <n v="0"/>
    <x v="2"/>
    <x v="0"/>
    <n v="3286.92"/>
    <x v="0"/>
    <n v="2025"/>
    <x v="2"/>
    <m/>
    <m/>
    <m/>
    <m/>
    <m/>
  </r>
  <r>
    <x v="887"/>
    <n v="46"/>
    <x v="1"/>
    <x v="4"/>
    <d v="2025-06-26T00:00:00"/>
    <d v="2025-07-04T00:00:00"/>
    <n v="8"/>
    <x v="0"/>
    <n v="28"/>
    <x v="3"/>
    <x v="1"/>
    <n v="13306.01"/>
    <x v="9"/>
    <n v="2025"/>
    <x v="0"/>
    <m/>
    <m/>
    <m/>
    <m/>
    <m/>
  </r>
  <r>
    <x v="888"/>
    <n v="64"/>
    <x v="1"/>
    <x v="0"/>
    <d v="2025-12-31T00:00:00"/>
    <d v="2026-01-07T00:00:00"/>
    <n v="7"/>
    <x v="1"/>
    <n v="0"/>
    <x v="1"/>
    <x v="2"/>
    <n v="10515.11"/>
    <x v="10"/>
    <n v="2025"/>
    <x v="2"/>
    <m/>
    <m/>
    <m/>
    <m/>
    <m/>
  </r>
  <r>
    <x v="889"/>
    <n v="40"/>
    <x v="0"/>
    <x v="0"/>
    <d v="2025-02-14T00:00:00"/>
    <d v="2025-02-25T00:00:00"/>
    <n v="11"/>
    <x v="1"/>
    <n v="0"/>
    <x v="3"/>
    <x v="1"/>
    <n v="12005.5"/>
    <x v="4"/>
    <n v="2025"/>
    <x v="0"/>
    <m/>
    <m/>
    <m/>
    <m/>
    <m/>
  </r>
  <r>
    <x v="890"/>
    <n v="89"/>
    <x v="0"/>
    <x v="1"/>
    <d v="2025-09-10T00:00:00"/>
    <d v="2025-09-15T00:00:00"/>
    <n v="5"/>
    <x v="0"/>
    <n v="12"/>
    <x v="2"/>
    <x v="2"/>
    <n v="10315.450000000001"/>
    <x v="7"/>
    <n v="2025"/>
    <x v="2"/>
    <m/>
    <m/>
    <m/>
    <m/>
    <m/>
  </r>
  <r>
    <x v="891"/>
    <n v="82"/>
    <x v="0"/>
    <x v="1"/>
    <d v="2025-03-31T00:00:00"/>
    <d v="2025-04-14T00:00:00"/>
    <n v="14"/>
    <x v="1"/>
    <n v="0"/>
    <x v="2"/>
    <x v="2"/>
    <n v="2152.5500000000002"/>
    <x v="3"/>
    <n v="2025"/>
    <x v="2"/>
    <m/>
    <m/>
    <m/>
    <m/>
    <m/>
  </r>
  <r>
    <x v="892"/>
    <n v="80"/>
    <x v="1"/>
    <x v="3"/>
    <d v="2025-04-27T00:00:00"/>
    <d v="2025-04-29T00:00:00"/>
    <n v="2"/>
    <x v="1"/>
    <n v="0"/>
    <x v="2"/>
    <x v="1"/>
    <n v="11666.38"/>
    <x v="8"/>
    <n v="2025"/>
    <x v="2"/>
    <m/>
    <m/>
    <m/>
    <m/>
    <m/>
  </r>
  <r>
    <x v="893"/>
    <n v="83"/>
    <x v="0"/>
    <x v="2"/>
    <d v="2025-10-13T00:00:00"/>
    <d v="2025-10-18T00:00:00"/>
    <n v="5"/>
    <x v="1"/>
    <n v="0"/>
    <x v="0"/>
    <x v="2"/>
    <n v="12085.31"/>
    <x v="1"/>
    <n v="2025"/>
    <x v="2"/>
    <m/>
    <m/>
    <m/>
    <m/>
    <m/>
  </r>
  <r>
    <x v="894"/>
    <n v="31"/>
    <x v="0"/>
    <x v="4"/>
    <d v="2025-02-26T00:00:00"/>
    <d v="2025-02-28T00:00:00"/>
    <n v="2"/>
    <x v="1"/>
    <n v="0"/>
    <x v="0"/>
    <x v="1"/>
    <n v="9633.93"/>
    <x v="4"/>
    <n v="2025"/>
    <x v="0"/>
    <m/>
    <m/>
    <m/>
    <m/>
    <m/>
  </r>
  <r>
    <x v="895"/>
    <n v="55"/>
    <x v="1"/>
    <x v="4"/>
    <d v="2025-04-16T00:00:00"/>
    <d v="2025-04-22T00:00:00"/>
    <n v="6"/>
    <x v="0"/>
    <n v="16"/>
    <x v="0"/>
    <x v="1"/>
    <n v="9882.85"/>
    <x v="8"/>
    <n v="2025"/>
    <x v="0"/>
    <m/>
    <m/>
    <m/>
    <m/>
    <m/>
  </r>
  <r>
    <x v="896"/>
    <n v="43"/>
    <x v="1"/>
    <x v="5"/>
    <d v="2025-06-21T00:00:00"/>
    <d v="2025-07-05T00:00:00"/>
    <n v="14"/>
    <x v="0"/>
    <n v="25"/>
    <x v="0"/>
    <x v="1"/>
    <n v="12604.79"/>
    <x v="9"/>
    <n v="2025"/>
    <x v="0"/>
    <m/>
    <m/>
    <m/>
    <m/>
    <m/>
  </r>
  <r>
    <x v="897"/>
    <n v="39"/>
    <x v="0"/>
    <x v="3"/>
    <d v="2025-08-31T00:00:00"/>
    <d v="2025-09-06T00:00:00"/>
    <n v="6"/>
    <x v="0"/>
    <n v="12"/>
    <x v="3"/>
    <x v="2"/>
    <n v="9626.89"/>
    <x v="11"/>
    <n v="2025"/>
    <x v="0"/>
    <m/>
    <m/>
    <m/>
    <m/>
    <m/>
  </r>
  <r>
    <x v="898"/>
    <n v="85"/>
    <x v="1"/>
    <x v="0"/>
    <d v="2025-05-06T00:00:00"/>
    <d v="2025-05-09T00:00:00"/>
    <n v="3"/>
    <x v="1"/>
    <n v="0"/>
    <x v="1"/>
    <x v="2"/>
    <n v="6494.44"/>
    <x v="6"/>
    <n v="2025"/>
    <x v="2"/>
    <m/>
    <m/>
    <m/>
    <m/>
    <m/>
  </r>
  <r>
    <x v="899"/>
    <n v="84"/>
    <x v="1"/>
    <x v="1"/>
    <d v="2025-07-29T00:00:00"/>
    <d v="2025-08-06T00:00:00"/>
    <n v="8"/>
    <x v="1"/>
    <n v="0"/>
    <x v="3"/>
    <x v="1"/>
    <n v="11667.2"/>
    <x v="5"/>
    <n v="2025"/>
    <x v="2"/>
    <m/>
    <m/>
    <m/>
    <m/>
    <m/>
  </r>
  <r>
    <x v="900"/>
    <n v="58"/>
    <x v="1"/>
    <x v="0"/>
    <d v="2025-09-22T00:00:00"/>
    <d v="2025-09-24T00:00:00"/>
    <n v="2"/>
    <x v="0"/>
    <n v="14"/>
    <x v="0"/>
    <x v="2"/>
    <n v="11508.29"/>
    <x v="7"/>
    <n v="2025"/>
    <x v="0"/>
    <m/>
    <m/>
    <m/>
    <m/>
    <m/>
  </r>
  <r>
    <x v="901"/>
    <n v="25"/>
    <x v="1"/>
    <x v="5"/>
    <d v="2025-12-05T00:00:00"/>
    <d v="2025-12-16T00:00:00"/>
    <n v="11"/>
    <x v="0"/>
    <n v="13"/>
    <x v="2"/>
    <x v="0"/>
    <n v="11269.11"/>
    <x v="10"/>
    <n v="2025"/>
    <x v="1"/>
    <m/>
    <m/>
    <m/>
    <m/>
    <m/>
  </r>
  <r>
    <x v="902"/>
    <n v="85"/>
    <x v="0"/>
    <x v="2"/>
    <d v="2025-06-26T00:00:00"/>
    <d v="2025-06-27T00:00:00"/>
    <n v="1"/>
    <x v="1"/>
    <n v="0"/>
    <x v="3"/>
    <x v="2"/>
    <n v="9836.25"/>
    <x v="9"/>
    <n v="2025"/>
    <x v="2"/>
    <m/>
    <m/>
    <m/>
    <m/>
    <m/>
  </r>
  <r>
    <x v="903"/>
    <n v="74"/>
    <x v="1"/>
    <x v="2"/>
    <d v="2025-10-06T00:00:00"/>
    <d v="2025-10-16T00:00:00"/>
    <n v="10"/>
    <x v="1"/>
    <n v="0"/>
    <x v="3"/>
    <x v="1"/>
    <n v="13274.13"/>
    <x v="1"/>
    <n v="2025"/>
    <x v="2"/>
    <m/>
    <m/>
    <m/>
    <m/>
    <m/>
  </r>
  <r>
    <x v="904"/>
    <n v="67"/>
    <x v="0"/>
    <x v="4"/>
    <d v="2025-02-13T00:00:00"/>
    <d v="2025-02-14T00:00:00"/>
    <n v="1"/>
    <x v="1"/>
    <n v="0"/>
    <x v="2"/>
    <x v="1"/>
    <n v="1845.88"/>
    <x v="4"/>
    <n v="2025"/>
    <x v="2"/>
    <m/>
    <m/>
    <m/>
    <m/>
    <m/>
  </r>
  <r>
    <x v="905"/>
    <n v="38"/>
    <x v="0"/>
    <x v="1"/>
    <d v="2025-10-10T00:00:00"/>
    <d v="2025-10-15T00:00:00"/>
    <n v="5"/>
    <x v="1"/>
    <n v="0"/>
    <x v="2"/>
    <x v="1"/>
    <n v="12567.32"/>
    <x v="1"/>
    <n v="2025"/>
    <x v="0"/>
    <m/>
    <m/>
    <m/>
    <m/>
    <m/>
  </r>
  <r>
    <x v="906"/>
    <n v="82"/>
    <x v="0"/>
    <x v="2"/>
    <d v="2025-06-05T00:00:00"/>
    <d v="2025-06-17T00:00:00"/>
    <n v="12"/>
    <x v="1"/>
    <n v="0"/>
    <x v="0"/>
    <x v="2"/>
    <n v="4266.47"/>
    <x v="9"/>
    <n v="2025"/>
    <x v="2"/>
    <m/>
    <m/>
    <m/>
    <m/>
    <m/>
  </r>
  <r>
    <x v="907"/>
    <n v="33"/>
    <x v="1"/>
    <x v="3"/>
    <d v="2025-09-17T00:00:00"/>
    <d v="2025-09-23T00:00:00"/>
    <n v="6"/>
    <x v="0"/>
    <n v="19"/>
    <x v="0"/>
    <x v="2"/>
    <n v="5415.21"/>
    <x v="7"/>
    <n v="2025"/>
    <x v="0"/>
    <m/>
    <m/>
    <m/>
    <m/>
    <m/>
  </r>
  <r>
    <x v="908"/>
    <n v="90"/>
    <x v="0"/>
    <x v="3"/>
    <d v="2025-05-01T00:00:00"/>
    <d v="2025-05-14T00:00:00"/>
    <n v="13"/>
    <x v="1"/>
    <n v="0"/>
    <x v="2"/>
    <x v="2"/>
    <n v="10170.370000000001"/>
    <x v="6"/>
    <n v="2025"/>
    <x v="2"/>
    <m/>
    <m/>
    <m/>
    <m/>
    <m/>
  </r>
  <r>
    <x v="909"/>
    <n v="66"/>
    <x v="0"/>
    <x v="1"/>
    <d v="2025-10-21T00:00:00"/>
    <d v="2025-11-01T00:00:00"/>
    <n v="11"/>
    <x v="0"/>
    <n v="11"/>
    <x v="1"/>
    <x v="2"/>
    <n v="7087.49"/>
    <x v="1"/>
    <n v="2025"/>
    <x v="2"/>
    <m/>
    <m/>
    <m/>
    <m/>
    <m/>
  </r>
  <r>
    <x v="910"/>
    <n v="70"/>
    <x v="0"/>
    <x v="1"/>
    <d v="2025-03-17T00:00:00"/>
    <d v="2025-03-29T00:00:00"/>
    <n v="12"/>
    <x v="1"/>
    <n v="0"/>
    <x v="0"/>
    <x v="2"/>
    <n v="13383.38"/>
    <x v="3"/>
    <n v="2025"/>
    <x v="2"/>
    <m/>
    <m/>
    <m/>
    <m/>
    <m/>
  </r>
  <r>
    <x v="911"/>
    <n v="65"/>
    <x v="1"/>
    <x v="4"/>
    <d v="2025-09-01T00:00:00"/>
    <d v="2025-09-05T00:00:00"/>
    <n v="4"/>
    <x v="1"/>
    <n v="0"/>
    <x v="3"/>
    <x v="2"/>
    <n v="8972.4"/>
    <x v="7"/>
    <n v="2025"/>
    <x v="2"/>
    <m/>
    <m/>
    <m/>
    <m/>
    <m/>
  </r>
  <r>
    <x v="912"/>
    <n v="80"/>
    <x v="1"/>
    <x v="0"/>
    <d v="2025-11-22T00:00:00"/>
    <d v="2025-11-29T00:00:00"/>
    <n v="7"/>
    <x v="1"/>
    <n v="0"/>
    <x v="1"/>
    <x v="0"/>
    <n v="2343.3000000000002"/>
    <x v="0"/>
    <n v="2025"/>
    <x v="2"/>
    <m/>
    <m/>
    <m/>
    <m/>
    <m/>
  </r>
  <r>
    <x v="913"/>
    <n v="83"/>
    <x v="0"/>
    <x v="2"/>
    <d v="2025-12-31T00:00:00"/>
    <d v="2026-01-08T00:00:00"/>
    <n v="8"/>
    <x v="0"/>
    <n v="7"/>
    <x v="3"/>
    <x v="2"/>
    <n v="972.81"/>
    <x v="10"/>
    <n v="2025"/>
    <x v="2"/>
    <m/>
    <m/>
    <m/>
    <m/>
    <m/>
  </r>
  <r>
    <x v="914"/>
    <n v="33"/>
    <x v="1"/>
    <x v="1"/>
    <d v="2025-03-22T00:00:00"/>
    <d v="2025-03-31T00:00:00"/>
    <n v="9"/>
    <x v="1"/>
    <n v="0"/>
    <x v="0"/>
    <x v="2"/>
    <n v="8790.59"/>
    <x v="3"/>
    <n v="2025"/>
    <x v="0"/>
    <m/>
    <m/>
    <m/>
    <m/>
    <m/>
  </r>
  <r>
    <x v="915"/>
    <n v="65"/>
    <x v="1"/>
    <x v="3"/>
    <d v="2025-01-21T00:00:00"/>
    <d v="2025-01-30T00:00:00"/>
    <n v="9"/>
    <x v="0"/>
    <n v="10"/>
    <x v="2"/>
    <x v="2"/>
    <n v="905.68"/>
    <x v="2"/>
    <n v="2025"/>
    <x v="2"/>
    <m/>
    <m/>
    <m/>
    <m/>
    <m/>
  </r>
  <r>
    <x v="916"/>
    <n v="71"/>
    <x v="0"/>
    <x v="3"/>
    <d v="2025-03-15T00:00:00"/>
    <d v="2025-03-18T00:00:00"/>
    <n v="3"/>
    <x v="1"/>
    <n v="0"/>
    <x v="2"/>
    <x v="1"/>
    <n v="3154.62"/>
    <x v="3"/>
    <n v="2025"/>
    <x v="2"/>
    <m/>
    <m/>
    <m/>
    <m/>
    <m/>
  </r>
  <r>
    <x v="917"/>
    <n v="62"/>
    <x v="0"/>
    <x v="1"/>
    <d v="2025-09-08T00:00:00"/>
    <d v="2025-09-09T00:00:00"/>
    <n v="1"/>
    <x v="0"/>
    <n v="14"/>
    <x v="3"/>
    <x v="0"/>
    <n v="4990.68"/>
    <x v="7"/>
    <n v="2025"/>
    <x v="2"/>
    <m/>
    <m/>
    <m/>
    <m/>
    <m/>
  </r>
  <r>
    <x v="918"/>
    <n v="78"/>
    <x v="0"/>
    <x v="0"/>
    <d v="2025-08-20T00:00:00"/>
    <d v="2025-08-26T00:00:00"/>
    <n v="6"/>
    <x v="1"/>
    <n v="0"/>
    <x v="3"/>
    <x v="2"/>
    <n v="10174.700000000001"/>
    <x v="11"/>
    <n v="2025"/>
    <x v="2"/>
    <m/>
    <m/>
    <m/>
    <m/>
    <m/>
  </r>
  <r>
    <x v="919"/>
    <n v="29"/>
    <x v="1"/>
    <x v="5"/>
    <d v="2025-03-18T00:00:00"/>
    <d v="2025-04-01T00:00:00"/>
    <n v="14"/>
    <x v="1"/>
    <n v="0"/>
    <x v="1"/>
    <x v="2"/>
    <n v="5415.47"/>
    <x v="3"/>
    <n v="2025"/>
    <x v="1"/>
    <m/>
    <m/>
    <m/>
    <m/>
    <m/>
  </r>
  <r>
    <x v="920"/>
    <n v="53"/>
    <x v="0"/>
    <x v="0"/>
    <d v="2025-01-24T00:00:00"/>
    <d v="2025-02-04T00:00:00"/>
    <n v="11"/>
    <x v="1"/>
    <n v="0"/>
    <x v="0"/>
    <x v="0"/>
    <n v="9636.58"/>
    <x v="2"/>
    <n v="2025"/>
    <x v="0"/>
    <m/>
    <m/>
    <m/>
    <m/>
    <m/>
  </r>
  <r>
    <x v="921"/>
    <n v="33"/>
    <x v="0"/>
    <x v="0"/>
    <d v="2025-12-29T00:00:00"/>
    <d v="2026-01-03T00:00:00"/>
    <n v="5"/>
    <x v="1"/>
    <n v="0"/>
    <x v="0"/>
    <x v="0"/>
    <n v="8065.43"/>
    <x v="10"/>
    <n v="2025"/>
    <x v="0"/>
    <m/>
    <m/>
    <m/>
    <m/>
    <m/>
  </r>
  <r>
    <x v="922"/>
    <n v="33"/>
    <x v="0"/>
    <x v="1"/>
    <d v="2025-09-01T00:00:00"/>
    <d v="2025-09-10T00:00:00"/>
    <n v="9"/>
    <x v="1"/>
    <n v="0"/>
    <x v="2"/>
    <x v="1"/>
    <n v="4056.66"/>
    <x v="7"/>
    <n v="2025"/>
    <x v="0"/>
    <m/>
    <m/>
    <m/>
    <m/>
    <m/>
  </r>
  <r>
    <x v="923"/>
    <n v="74"/>
    <x v="0"/>
    <x v="4"/>
    <d v="2025-12-28T00:00:00"/>
    <d v="2026-01-11T00:00:00"/>
    <n v="14"/>
    <x v="1"/>
    <n v="0"/>
    <x v="2"/>
    <x v="2"/>
    <n v="9038.9500000000007"/>
    <x v="10"/>
    <n v="2025"/>
    <x v="2"/>
    <m/>
    <m/>
    <m/>
    <m/>
    <m/>
  </r>
  <r>
    <x v="924"/>
    <n v="61"/>
    <x v="1"/>
    <x v="0"/>
    <d v="2025-09-09T00:00:00"/>
    <d v="2025-09-23T00:00:00"/>
    <n v="14"/>
    <x v="1"/>
    <n v="0"/>
    <x v="3"/>
    <x v="1"/>
    <n v="12964.9"/>
    <x v="7"/>
    <n v="2025"/>
    <x v="2"/>
    <m/>
    <m/>
    <m/>
    <m/>
    <m/>
  </r>
  <r>
    <x v="925"/>
    <n v="32"/>
    <x v="0"/>
    <x v="4"/>
    <d v="2025-06-12T00:00:00"/>
    <d v="2025-06-19T00:00:00"/>
    <n v="7"/>
    <x v="0"/>
    <n v="6"/>
    <x v="2"/>
    <x v="1"/>
    <n v="3148.7"/>
    <x v="9"/>
    <n v="2025"/>
    <x v="0"/>
    <m/>
    <m/>
    <m/>
    <m/>
    <m/>
  </r>
  <r>
    <x v="926"/>
    <n v="70"/>
    <x v="0"/>
    <x v="1"/>
    <d v="2025-02-15T00:00:00"/>
    <d v="2025-02-18T00:00:00"/>
    <n v="3"/>
    <x v="1"/>
    <n v="0"/>
    <x v="2"/>
    <x v="1"/>
    <n v="893.98"/>
    <x v="4"/>
    <n v="2025"/>
    <x v="2"/>
    <m/>
    <m/>
    <m/>
    <m/>
    <m/>
  </r>
  <r>
    <x v="927"/>
    <n v="58"/>
    <x v="0"/>
    <x v="5"/>
    <d v="2025-01-30T00:00:00"/>
    <d v="2025-02-04T00:00:00"/>
    <n v="5"/>
    <x v="1"/>
    <n v="0"/>
    <x v="2"/>
    <x v="2"/>
    <n v="5944.94"/>
    <x v="2"/>
    <n v="2025"/>
    <x v="0"/>
    <m/>
    <m/>
    <m/>
    <m/>
    <m/>
  </r>
  <r>
    <x v="928"/>
    <n v="48"/>
    <x v="1"/>
    <x v="4"/>
    <d v="2025-03-03T00:00:00"/>
    <d v="2025-03-04T00:00:00"/>
    <n v="1"/>
    <x v="0"/>
    <n v="25"/>
    <x v="3"/>
    <x v="1"/>
    <n v="4404.67"/>
    <x v="3"/>
    <n v="2025"/>
    <x v="0"/>
    <m/>
    <m/>
    <m/>
    <m/>
    <m/>
  </r>
  <r>
    <x v="929"/>
    <n v="26"/>
    <x v="1"/>
    <x v="1"/>
    <d v="2025-06-12T00:00:00"/>
    <d v="2025-06-20T00:00:00"/>
    <n v="8"/>
    <x v="1"/>
    <n v="0"/>
    <x v="3"/>
    <x v="0"/>
    <n v="3889.24"/>
    <x v="9"/>
    <n v="2025"/>
    <x v="1"/>
    <m/>
    <m/>
    <m/>
    <m/>
    <m/>
  </r>
  <r>
    <x v="930"/>
    <n v="30"/>
    <x v="0"/>
    <x v="4"/>
    <d v="2025-01-10T00:00:00"/>
    <d v="2025-01-15T00:00:00"/>
    <n v="5"/>
    <x v="1"/>
    <n v="0"/>
    <x v="1"/>
    <x v="2"/>
    <n v="8739.56"/>
    <x v="2"/>
    <n v="2025"/>
    <x v="0"/>
    <m/>
    <m/>
    <m/>
    <m/>
    <m/>
  </r>
  <r>
    <x v="931"/>
    <n v="82"/>
    <x v="0"/>
    <x v="0"/>
    <d v="2025-08-17T00:00:00"/>
    <d v="2025-08-19T00:00:00"/>
    <n v="2"/>
    <x v="1"/>
    <n v="0"/>
    <x v="2"/>
    <x v="0"/>
    <n v="14786.98"/>
    <x v="11"/>
    <n v="2025"/>
    <x v="2"/>
    <m/>
    <m/>
    <m/>
    <m/>
    <m/>
  </r>
  <r>
    <x v="932"/>
    <n v="89"/>
    <x v="1"/>
    <x v="1"/>
    <d v="2025-05-06T00:00:00"/>
    <d v="2025-05-15T00:00:00"/>
    <n v="9"/>
    <x v="1"/>
    <n v="0"/>
    <x v="0"/>
    <x v="2"/>
    <n v="14436.16"/>
    <x v="6"/>
    <n v="2025"/>
    <x v="2"/>
    <m/>
    <m/>
    <m/>
    <m/>
    <m/>
  </r>
  <r>
    <x v="933"/>
    <n v="39"/>
    <x v="0"/>
    <x v="1"/>
    <d v="2025-11-14T00:00:00"/>
    <d v="2025-11-19T00:00:00"/>
    <n v="5"/>
    <x v="1"/>
    <n v="0"/>
    <x v="3"/>
    <x v="2"/>
    <n v="9169.08"/>
    <x v="0"/>
    <n v="2025"/>
    <x v="0"/>
    <m/>
    <m/>
    <m/>
    <m/>
    <m/>
  </r>
  <r>
    <x v="934"/>
    <n v="45"/>
    <x v="1"/>
    <x v="1"/>
    <d v="2025-12-15T00:00:00"/>
    <d v="2025-12-22T00:00:00"/>
    <n v="7"/>
    <x v="1"/>
    <n v="0"/>
    <x v="1"/>
    <x v="0"/>
    <n v="8244.2900000000009"/>
    <x v="10"/>
    <n v="2025"/>
    <x v="0"/>
    <m/>
    <m/>
    <m/>
    <m/>
    <m/>
  </r>
  <r>
    <x v="935"/>
    <n v="33"/>
    <x v="0"/>
    <x v="2"/>
    <d v="2025-02-05T00:00:00"/>
    <d v="2025-02-10T00:00:00"/>
    <n v="5"/>
    <x v="0"/>
    <n v="18"/>
    <x v="2"/>
    <x v="2"/>
    <n v="3557.33"/>
    <x v="4"/>
    <n v="2025"/>
    <x v="0"/>
    <m/>
    <m/>
    <m/>
    <m/>
    <m/>
  </r>
  <r>
    <x v="936"/>
    <n v="61"/>
    <x v="1"/>
    <x v="2"/>
    <d v="2025-09-16T00:00:00"/>
    <d v="2025-09-29T00:00:00"/>
    <n v="13"/>
    <x v="1"/>
    <n v="0"/>
    <x v="3"/>
    <x v="2"/>
    <n v="4065.96"/>
    <x v="7"/>
    <n v="2025"/>
    <x v="2"/>
    <m/>
    <m/>
    <m/>
    <m/>
    <m/>
  </r>
  <r>
    <x v="937"/>
    <n v="60"/>
    <x v="0"/>
    <x v="2"/>
    <d v="2025-06-14T00:00:00"/>
    <d v="2025-06-20T00:00:00"/>
    <n v="6"/>
    <x v="0"/>
    <n v="5"/>
    <x v="0"/>
    <x v="0"/>
    <n v="7409.67"/>
    <x v="9"/>
    <n v="2025"/>
    <x v="2"/>
    <m/>
    <m/>
    <m/>
    <m/>
    <m/>
  </r>
  <r>
    <x v="938"/>
    <n v="89"/>
    <x v="1"/>
    <x v="5"/>
    <d v="2025-01-05T00:00:00"/>
    <d v="2025-01-16T00:00:00"/>
    <n v="11"/>
    <x v="0"/>
    <n v="18"/>
    <x v="0"/>
    <x v="0"/>
    <n v="9943.36"/>
    <x v="2"/>
    <n v="2025"/>
    <x v="2"/>
    <m/>
    <m/>
    <m/>
    <m/>
    <m/>
  </r>
  <r>
    <x v="939"/>
    <n v="74"/>
    <x v="0"/>
    <x v="3"/>
    <d v="2025-10-03T00:00:00"/>
    <d v="2025-10-04T00:00:00"/>
    <n v="1"/>
    <x v="1"/>
    <n v="0"/>
    <x v="3"/>
    <x v="0"/>
    <n v="5690.5"/>
    <x v="1"/>
    <n v="2025"/>
    <x v="2"/>
    <m/>
    <m/>
    <m/>
    <m/>
    <m/>
  </r>
  <r>
    <x v="940"/>
    <n v="19"/>
    <x v="0"/>
    <x v="5"/>
    <d v="2025-04-01T00:00:00"/>
    <d v="2025-04-15T00:00:00"/>
    <n v="14"/>
    <x v="1"/>
    <n v="0"/>
    <x v="2"/>
    <x v="1"/>
    <n v="6946.38"/>
    <x v="8"/>
    <n v="2025"/>
    <x v="1"/>
    <m/>
    <m/>
    <m/>
    <m/>
    <m/>
  </r>
  <r>
    <x v="941"/>
    <n v="53"/>
    <x v="1"/>
    <x v="0"/>
    <d v="2025-04-24T00:00:00"/>
    <d v="2025-05-06T00:00:00"/>
    <n v="12"/>
    <x v="0"/>
    <n v="3"/>
    <x v="2"/>
    <x v="0"/>
    <n v="3706.64"/>
    <x v="8"/>
    <n v="2025"/>
    <x v="0"/>
    <m/>
    <m/>
    <m/>
    <m/>
    <m/>
  </r>
  <r>
    <x v="942"/>
    <n v="81"/>
    <x v="0"/>
    <x v="1"/>
    <d v="2025-09-10T00:00:00"/>
    <d v="2025-09-16T00:00:00"/>
    <n v="6"/>
    <x v="0"/>
    <n v="7"/>
    <x v="3"/>
    <x v="1"/>
    <n v="13113.79"/>
    <x v="7"/>
    <n v="2025"/>
    <x v="2"/>
    <m/>
    <m/>
    <m/>
    <m/>
    <m/>
  </r>
  <r>
    <x v="943"/>
    <n v="88"/>
    <x v="0"/>
    <x v="2"/>
    <d v="2025-10-19T00:00:00"/>
    <d v="2025-10-28T00:00:00"/>
    <n v="9"/>
    <x v="1"/>
    <n v="0"/>
    <x v="1"/>
    <x v="1"/>
    <n v="9028.39"/>
    <x v="1"/>
    <n v="2025"/>
    <x v="2"/>
    <m/>
    <m/>
    <m/>
    <m/>
    <m/>
  </r>
  <r>
    <x v="944"/>
    <n v="90"/>
    <x v="0"/>
    <x v="4"/>
    <d v="2025-02-03T00:00:00"/>
    <d v="2025-02-06T00:00:00"/>
    <n v="3"/>
    <x v="0"/>
    <n v="24"/>
    <x v="2"/>
    <x v="1"/>
    <n v="12791.17"/>
    <x v="4"/>
    <n v="2025"/>
    <x v="2"/>
    <m/>
    <m/>
    <m/>
    <m/>
    <m/>
  </r>
  <r>
    <x v="945"/>
    <n v="50"/>
    <x v="1"/>
    <x v="1"/>
    <d v="2025-01-12T00:00:00"/>
    <d v="2025-01-24T00:00:00"/>
    <n v="12"/>
    <x v="1"/>
    <n v="0"/>
    <x v="3"/>
    <x v="0"/>
    <n v="10259.950000000001"/>
    <x v="2"/>
    <n v="2025"/>
    <x v="0"/>
    <m/>
    <m/>
    <m/>
    <m/>
    <m/>
  </r>
  <r>
    <x v="946"/>
    <n v="59"/>
    <x v="1"/>
    <x v="5"/>
    <d v="2025-11-29T00:00:00"/>
    <d v="2025-11-30T00:00:00"/>
    <n v="1"/>
    <x v="1"/>
    <n v="0"/>
    <x v="2"/>
    <x v="1"/>
    <n v="10362.52"/>
    <x v="0"/>
    <n v="2025"/>
    <x v="0"/>
    <m/>
    <m/>
    <m/>
    <m/>
    <m/>
  </r>
  <r>
    <x v="947"/>
    <n v="23"/>
    <x v="0"/>
    <x v="1"/>
    <d v="2025-08-27T00:00:00"/>
    <d v="2025-09-04T00:00:00"/>
    <n v="8"/>
    <x v="1"/>
    <n v="0"/>
    <x v="2"/>
    <x v="2"/>
    <n v="8219.9500000000007"/>
    <x v="11"/>
    <n v="2025"/>
    <x v="1"/>
    <m/>
    <m/>
    <m/>
    <m/>
    <m/>
  </r>
  <r>
    <x v="948"/>
    <n v="60"/>
    <x v="0"/>
    <x v="4"/>
    <d v="2025-06-11T00:00:00"/>
    <d v="2025-06-12T00:00:00"/>
    <n v="1"/>
    <x v="1"/>
    <n v="0"/>
    <x v="0"/>
    <x v="0"/>
    <n v="3771.61"/>
    <x v="9"/>
    <n v="2025"/>
    <x v="2"/>
    <m/>
    <m/>
    <m/>
    <m/>
    <m/>
  </r>
  <r>
    <x v="949"/>
    <n v="49"/>
    <x v="0"/>
    <x v="0"/>
    <d v="2025-12-20T00:00:00"/>
    <d v="2025-12-27T00:00:00"/>
    <n v="7"/>
    <x v="1"/>
    <n v="0"/>
    <x v="2"/>
    <x v="2"/>
    <n v="1411.24"/>
    <x v="10"/>
    <n v="2025"/>
    <x v="0"/>
    <m/>
    <m/>
    <m/>
    <m/>
    <m/>
  </r>
  <r>
    <x v="950"/>
    <n v="73"/>
    <x v="0"/>
    <x v="4"/>
    <d v="2025-11-17T00:00:00"/>
    <d v="2025-11-19T00:00:00"/>
    <n v="2"/>
    <x v="0"/>
    <n v="26"/>
    <x v="2"/>
    <x v="2"/>
    <n v="4083.73"/>
    <x v="0"/>
    <n v="2025"/>
    <x v="2"/>
    <m/>
    <m/>
    <m/>
    <m/>
    <m/>
  </r>
  <r>
    <x v="951"/>
    <n v="24"/>
    <x v="1"/>
    <x v="4"/>
    <d v="2025-08-31T00:00:00"/>
    <d v="2025-09-04T00:00:00"/>
    <n v="4"/>
    <x v="1"/>
    <n v="0"/>
    <x v="1"/>
    <x v="1"/>
    <n v="11748.37"/>
    <x v="11"/>
    <n v="2025"/>
    <x v="1"/>
    <m/>
    <m/>
    <m/>
    <m/>
    <m/>
  </r>
  <r>
    <x v="952"/>
    <n v="75"/>
    <x v="0"/>
    <x v="1"/>
    <d v="2025-11-14T00:00:00"/>
    <d v="2025-11-22T00:00:00"/>
    <n v="8"/>
    <x v="1"/>
    <n v="0"/>
    <x v="0"/>
    <x v="1"/>
    <n v="5972.23"/>
    <x v="0"/>
    <n v="2025"/>
    <x v="2"/>
    <m/>
    <m/>
    <m/>
    <m/>
    <m/>
  </r>
  <r>
    <x v="953"/>
    <n v="25"/>
    <x v="1"/>
    <x v="1"/>
    <d v="2025-12-22T00:00:00"/>
    <d v="2025-12-24T00:00:00"/>
    <n v="2"/>
    <x v="1"/>
    <n v="0"/>
    <x v="2"/>
    <x v="0"/>
    <n v="9579.69"/>
    <x v="10"/>
    <n v="2025"/>
    <x v="1"/>
    <m/>
    <m/>
    <m/>
    <m/>
    <m/>
  </r>
  <r>
    <x v="954"/>
    <n v="89"/>
    <x v="0"/>
    <x v="3"/>
    <d v="2025-02-03T00:00:00"/>
    <d v="2025-02-05T00:00:00"/>
    <n v="2"/>
    <x v="1"/>
    <n v="0"/>
    <x v="3"/>
    <x v="2"/>
    <n v="1889.54"/>
    <x v="4"/>
    <n v="2025"/>
    <x v="2"/>
    <m/>
    <m/>
    <m/>
    <m/>
    <m/>
  </r>
  <r>
    <x v="955"/>
    <n v="19"/>
    <x v="1"/>
    <x v="5"/>
    <d v="2025-07-30T00:00:00"/>
    <d v="2025-08-03T00:00:00"/>
    <n v="4"/>
    <x v="1"/>
    <n v="0"/>
    <x v="3"/>
    <x v="2"/>
    <n v="13259.1"/>
    <x v="5"/>
    <n v="2025"/>
    <x v="1"/>
    <m/>
    <m/>
    <m/>
    <m/>
    <m/>
  </r>
  <r>
    <x v="956"/>
    <n v="21"/>
    <x v="1"/>
    <x v="4"/>
    <d v="2025-11-14T00:00:00"/>
    <d v="2025-11-16T00:00:00"/>
    <n v="2"/>
    <x v="1"/>
    <n v="0"/>
    <x v="2"/>
    <x v="0"/>
    <n v="3290.98"/>
    <x v="0"/>
    <n v="2025"/>
    <x v="1"/>
    <m/>
    <m/>
    <m/>
    <m/>
    <m/>
  </r>
  <r>
    <x v="957"/>
    <n v="26"/>
    <x v="0"/>
    <x v="4"/>
    <d v="2025-02-22T00:00:00"/>
    <d v="2025-02-23T00:00:00"/>
    <n v="1"/>
    <x v="1"/>
    <n v="0"/>
    <x v="1"/>
    <x v="0"/>
    <n v="7879.02"/>
    <x v="4"/>
    <n v="2025"/>
    <x v="1"/>
    <m/>
    <m/>
    <m/>
    <m/>
    <m/>
  </r>
  <r>
    <x v="958"/>
    <n v="74"/>
    <x v="0"/>
    <x v="0"/>
    <d v="2025-07-01T00:00:00"/>
    <d v="2025-07-08T00:00:00"/>
    <n v="7"/>
    <x v="1"/>
    <n v="0"/>
    <x v="1"/>
    <x v="1"/>
    <n v="1377.12"/>
    <x v="5"/>
    <n v="2025"/>
    <x v="2"/>
    <m/>
    <m/>
    <m/>
    <m/>
    <m/>
  </r>
  <r>
    <x v="959"/>
    <n v="63"/>
    <x v="1"/>
    <x v="4"/>
    <d v="2025-06-09T00:00:00"/>
    <d v="2025-06-19T00:00:00"/>
    <n v="10"/>
    <x v="1"/>
    <n v="0"/>
    <x v="1"/>
    <x v="1"/>
    <n v="7308.09"/>
    <x v="9"/>
    <n v="2025"/>
    <x v="2"/>
    <m/>
    <m/>
    <m/>
    <m/>
    <m/>
  </r>
  <r>
    <x v="960"/>
    <n v="19"/>
    <x v="0"/>
    <x v="1"/>
    <d v="2025-11-05T00:00:00"/>
    <d v="2025-11-11T00:00:00"/>
    <n v="6"/>
    <x v="0"/>
    <n v="8"/>
    <x v="0"/>
    <x v="2"/>
    <n v="5485.33"/>
    <x v="0"/>
    <n v="2025"/>
    <x v="1"/>
    <m/>
    <m/>
    <m/>
    <m/>
    <m/>
  </r>
  <r>
    <x v="961"/>
    <n v="26"/>
    <x v="1"/>
    <x v="0"/>
    <d v="2025-04-13T00:00:00"/>
    <d v="2025-04-24T00:00:00"/>
    <n v="11"/>
    <x v="1"/>
    <n v="0"/>
    <x v="3"/>
    <x v="0"/>
    <n v="10531.69"/>
    <x v="8"/>
    <n v="2025"/>
    <x v="1"/>
    <m/>
    <m/>
    <m/>
    <m/>
    <m/>
  </r>
  <r>
    <x v="962"/>
    <n v="90"/>
    <x v="1"/>
    <x v="4"/>
    <d v="2025-08-28T00:00:00"/>
    <d v="2025-09-07T00:00:00"/>
    <n v="10"/>
    <x v="1"/>
    <n v="0"/>
    <x v="2"/>
    <x v="2"/>
    <n v="5264.98"/>
    <x v="11"/>
    <n v="2025"/>
    <x v="2"/>
    <m/>
    <m/>
    <m/>
    <m/>
    <m/>
  </r>
  <r>
    <x v="963"/>
    <n v="23"/>
    <x v="1"/>
    <x v="0"/>
    <d v="2025-02-23T00:00:00"/>
    <d v="2025-03-03T00:00:00"/>
    <n v="8"/>
    <x v="1"/>
    <n v="0"/>
    <x v="0"/>
    <x v="0"/>
    <n v="3733.86"/>
    <x v="4"/>
    <n v="2025"/>
    <x v="1"/>
    <m/>
    <m/>
    <m/>
    <m/>
    <m/>
  </r>
  <r>
    <x v="964"/>
    <n v="48"/>
    <x v="1"/>
    <x v="2"/>
    <d v="2025-04-28T00:00:00"/>
    <d v="2025-05-06T00:00:00"/>
    <n v="8"/>
    <x v="1"/>
    <n v="0"/>
    <x v="2"/>
    <x v="0"/>
    <n v="5950.72"/>
    <x v="8"/>
    <n v="2025"/>
    <x v="0"/>
    <m/>
    <m/>
    <m/>
    <m/>
    <m/>
  </r>
  <r>
    <x v="965"/>
    <n v="18"/>
    <x v="1"/>
    <x v="1"/>
    <d v="2025-07-24T00:00:00"/>
    <d v="2025-07-27T00:00:00"/>
    <n v="3"/>
    <x v="1"/>
    <n v="0"/>
    <x v="0"/>
    <x v="2"/>
    <n v="935.26"/>
    <x v="5"/>
    <n v="2025"/>
    <x v="1"/>
    <m/>
    <m/>
    <m/>
    <m/>
    <m/>
  </r>
  <r>
    <x v="966"/>
    <n v="42"/>
    <x v="1"/>
    <x v="1"/>
    <d v="2025-02-28T00:00:00"/>
    <d v="2025-03-03T00:00:00"/>
    <n v="3"/>
    <x v="0"/>
    <n v="1"/>
    <x v="1"/>
    <x v="1"/>
    <n v="4619.46"/>
    <x v="4"/>
    <n v="2025"/>
    <x v="0"/>
    <m/>
    <m/>
    <m/>
    <m/>
    <m/>
  </r>
  <r>
    <x v="967"/>
    <n v="61"/>
    <x v="0"/>
    <x v="0"/>
    <d v="2025-04-23T00:00:00"/>
    <d v="2025-04-28T00:00:00"/>
    <n v="5"/>
    <x v="1"/>
    <n v="0"/>
    <x v="1"/>
    <x v="1"/>
    <n v="3053.12"/>
    <x v="8"/>
    <n v="2025"/>
    <x v="2"/>
    <m/>
    <m/>
    <m/>
    <m/>
    <m/>
  </r>
  <r>
    <x v="968"/>
    <n v="35"/>
    <x v="1"/>
    <x v="2"/>
    <d v="2025-05-15T00:00:00"/>
    <d v="2025-05-17T00:00:00"/>
    <n v="2"/>
    <x v="0"/>
    <n v="26"/>
    <x v="0"/>
    <x v="2"/>
    <n v="14073.65"/>
    <x v="6"/>
    <n v="2025"/>
    <x v="0"/>
    <m/>
    <m/>
    <m/>
    <m/>
    <m/>
  </r>
  <r>
    <x v="969"/>
    <n v="65"/>
    <x v="0"/>
    <x v="4"/>
    <d v="2025-06-06T00:00:00"/>
    <d v="2025-06-14T00:00:00"/>
    <n v="8"/>
    <x v="0"/>
    <n v="26"/>
    <x v="3"/>
    <x v="0"/>
    <n v="1447.97"/>
    <x v="9"/>
    <n v="2025"/>
    <x v="2"/>
    <m/>
    <m/>
    <m/>
    <m/>
    <m/>
  </r>
  <r>
    <x v="970"/>
    <n v="42"/>
    <x v="1"/>
    <x v="2"/>
    <d v="2025-03-15T00:00:00"/>
    <d v="2025-03-18T00:00:00"/>
    <n v="3"/>
    <x v="1"/>
    <n v="0"/>
    <x v="2"/>
    <x v="2"/>
    <n v="9193.4599999999991"/>
    <x v="3"/>
    <n v="2025"/>
    <x v="0"/>
    <m/>
    <m/>
    <m/>
    <m/>
    <m/>
  </r>
  <r>
    <x v="971"/>
    <n v="42"/>
    <x v="1"/>
    <x v="0"/>
    <d v="2025-11-22T00:00:00"/>
    <d v="2025-11-26T00:00:00"/>
    <n v="4"/>
    <x v="1"/>
    <n v="0"/>
    <x v="2"/>
    <x v="1"/>
    <n v="1272.26"/>
    <x v="0"/>
    <n v="2025"/>
    <x v="0"/>
    <m/>
    <m/>
    <m/>
    <m/>
    <m/>
  </r>
  <r>
    <x v="972"/>
    <n v="83"/>
    <x v="1"/>
    <x v="0"/>
    <d v="2025-05-24T00:00:00"/>
    <d v="2025-06-07T00:00:00"/>
    <n v="14"/>
    <x v="0"/>
    <n v="24"/>
    <x v="0"/>
    <x v="2"/>
    <n v="11969.46"/>
    <x v="6"/>
    <n v="2025"/>
    <x v="2"/>
    <m/>
    <m/>
    <m/>
    <m/>
    <m/>
  </r>
  <r>
    <x v="973"/>
    <n v="67"/>
    <x v="1"/>
    <x v="5"/>
    <d v="2025-11-11T00:00:00"/>
    <d v="2025-11-13T00:00:00"/>
    <n v="2"/>
    <x v="0"/>
    <n v="17"/>
    <x v="3"/>
    <x v="1"/>
    <n v="5166.4399999999996"/>
    <x v="0"/>
    <n v="2025"/>
    <x v="2"/>
    <m/>
    <m/>
    <m/>
    <m/>
    <m/>
  </r>
  <r>
    <x v="974"/>
    <n v="81"/>
    <x v="1"/>
    <x v="3"/>
    <d v="2025-07-11T00:00:00"/>
    <d v="2025-07-20T00:00:00"/>
    <n v="9"/>
    <x v="1"/>
    <n v="0"/>
    <x v="3"/>
    <x v="0"/>
    <n v="13857.19"/>
    <x v="5"/>
    <n v="2025"/>
    <x v="2"/>
    <m/>
    <m/>
    <m/>
    <m/>
    <m/>
  </r>
  <r>
    <x v="975"/>
    <n v="46"/>
    <x v="0"/>
    <x v="5"/>
    <d v="2025-10-26T00:00:00"/>
    <d v="2025-11-06T00:00:00"/>
    <n v="11"/>
    <x v="0"/>
    <n v="28"/>
    <x v="1"/>
    <x v="2"/>
    <n v="3669.61"/>
    <x v="1"/>
    <n v="2025"/>
    <x v="0"/>
    <m/>
    <m/>
    <m/>
    <m/>
    <m/>
  </r>
  <r>
    <x v="976"/>
    <n v="65"/>
    <x v="1"/>
    <x v="4"/>
    <d v="2025-08-06T00:00:00"/>
    <d v="2025-08-13T00:00:00"/>
    <n v="7"/>
    <x v="1"/>
    <n v="0"/>
    <x v="0"/>
    <x v="1"/>
    <n v="11398.53"/>
    <x v="11"/>
    <n v="2025"/>
    <x v="2"/>
    <m/>
    <m/>
    <m/>
    <m/>
    <m/>
  </r>
  <r>
    <x v="977"/>
    <n v="47"/>
    <x v="0"/>
    <x v="5"/>
    <d v="2025-06-01T00:00:00"/>
    <d v="2025-06-09T00:00:00"/>
    <n v="8"/>
    <x v="1"/>
    <n v="0"/>
    <x v="2"/>
    <x v="2"/>
    <n v="7041.69"/>
    <x v="9"/>
    <n v="2025"/>
    <x v="0"/>
    <m/>
    <m/>
    <m/>
    <m/>
    <m/>
  </r>
  <r>
    <x v="978"/>
    <n v="81"/>
    <x v="1"/>
    <x v="3"/>
    <d v="2025-08-10T00:00:00"/>
    <d v="2025-08-17T00:00:00"/>
    <n v="7"/>
    <x v="1"/>
    <n v="0"/>
    <x v="3"/>
    <x v="1"/>
    <n v="3103.7"/>
    <x v="11"/>
    <n v="2025"/>
    <x v="2"/>
    <m/>
    <m/>
    <m/>
    <m/>
    <m/>
  </r>
  <r>
    <x v="979"/>
    <n v="63"/>
    <x v="0"/>
    <x v="3"/>
    <d v="2025-04-30T00:00:00"/>
    <d v="2025-05-05T00:00:00"/>
    <n v="5"/>
    <x v="1"/>
    <n v="0"/>
    <x v="0"/>
    <x v="2"/>
    <n v="13935.79"/>
    <x v="8"/>
    <n v="2025"/>
    <x v="2"/>
    <m/>
    <m/>
    <m/>
    <m/>
    <m/>
  </r>
  <r>
    <x v="980"/>
    <n v="22"/>
    <x v="0"/>
    <x v="3"/>
    <d v="2025-02-20T00:00:00"/>
    <d v="2025-02-22T00:00:00"/>
    <n v="2"/>
    <x v="0"/>
    <n v="7"/>
    <x v="2"/>
    <x v="2"/>
    <n v="4889.38"/>
    <x v="4"/>
    <n v="2025"/>
    <x v="1"/>
    <m/>
    <m/>
    <m/>
    <m/>
    <m/>
  </r>
  <r>
    <x v="981"/>
    <n v="35"/>
    <x v="1"/>
    <x v="1"/>
    <d v="2025-12-16T00:00:00"/>
    <d v="2025-12-30T00:00:00"/>
    <n v="14"/>
    <x v="0"/>
    <n v="25"/>
    <x v="2"/>
    <x v="2"/>
    <n v="12423.48"/>
    <x v="10"/>
    <n v="2025"/>
    <x v="0"/>
    <m/>
    <m/>
    <m/>
    <m/>
    <m/>
  </r>
  <r>
    <x v="982"/>
    <n v="19"/>
    <x v="1"/>
    <x v="2"/>
    <d v="2025-07-26T00:00:00"/>
    <d v="2025-08-02T00:00:00"/>
    <n v="7"/>
    <x v="1"/>
    <n v="0"/>
    <x v="1"/>
    <x v="2"/>
    <n v="3799.89"/>
    <x v="5"/>
    <n v="2025"/>
    <x v="1"/>
    <m/>
    <m/>
    <m/>
    <m/>
    <m/>
  </r>
  <r>
    <x v="983"/>
    <n v="88"/>
    <x v="1"/>
    <x v="2"/>
    <d v="2025-04-18T00:00:00"/>
    <d v="2025-04-26T00:00:00"/>
    <n v="8"/>
    <x v="0"/>
    <n v="27"/>
    <x v="3"/>
    <x v="2"/>
    <n v="11982.77"/>
    <x v="8"/>
    <n v="2025"/>
    <x v="2"/>
    <m/>
    <m/>
    <m/>
    <m/>
    <m/>
  </r>
  <r>
    <x v="984"/>
    <n v="71"/>
    <x v="0"/>
    <x v="5"/>
    <d v="2025-06-10T00:00:00"/>
    <d v="2025-06-24T00:00:00"/>
    <n v="14"/>
    <x v="0"/>
    <n v="15"/>
    <x v="0"/>
    <x v="2"/>
    <n v="2514.7800000000002"/>
    <x v="9"/>
    <n v="2025"/>
    <x v="2"/>
    <m/>
    <m/>
    <m/>
    <m/>
    <m/>
  </r>
  <r>
    <x v="985"/>
    <n v="19"/>
    <x v="1"/>
    <x v="2"/>
    <d v="2025-03-07T00:00:00"/>
    <d v="2025-03-12T00:00:00"/>
    <n v="5"/>
    <x v="1"/>
    <n v="0"/>
    <x v="2"/>
    <x v="2"/>
    <n v="3769.61"/>
    <x v="3"/>
    <n v="2025"/>
    <x v="1"/>
    <m/>
    <m/>
    <m/>
    <m/>
    <m/>
  </r>
  <r>
    <x v="986"/>
    <n v="86"/>
    <x v="1"/>
    <x v="3"/>
    <d v="2025-08-06T00:00:00"/>
    <d v="2025-08-17T00:00:00"/>
    <n v="11"/>
    <x v="1"/>
    <n v="0"/>
    <x v="0"/>
    <x v="0"/>
    <n v="11887.69"/>
    <x v="11"/>
    <n v="2025"/>
    <x v="2"/>
    <m/>
    <m/>
    <m/>
    <m/>
    <m/>
  </r>
  <r>
    <x v="987"/>
    <n v="60"/>
    <x v="1"/>
    <x v="5"/>
    <d v="2025-03-13T00:00:00"/>
    <d v="2025-03-16T00:00:00"/>
    <n v="3"/>
    <x v="1"/>
    <n v="0"/>
    <x v="1"/>
    <x v="2"/>
    <n v="1423.78"/>
    <x v="3"/>
    <n v="2025"/>
    <x v="2"/>
    <m/>
    <m/>
    <m/>
    <m/>
    <m/>
  </r>
  <r>
    <x v="988"/>
    <n v="60"/>
    <x v="1"/>
    <x v="2"/>
    <d v="2025-07-17T00:00:00"/>
    <d v="2025-07-21T00:00:00"/>
    <n v="4"/>
    <x v="1"/>
    <n v="0"/>
    <x v="2"/>
    <x v="1"/>
    <n v="2985.64"/>
    <x v="5"/>
    <n v="2025"/>
    <x v="2"/>
    <m/>
    <m/>
    <m/>
    <m/>
    <m/>
  </r>
  <r>
    <x v="989"/>
    <n v="80"/>
    <x v="0"/>
    <x v="0"/>
    <d v="2025-12-12T00:00:00"/>
    <d v="2025-12-21T00:00:00"/>
    <n v="9"/>
    <x v="0"/>
    <n v="7"/>
    <x v="0"/>
    <x v="2"/>
    <n v="4615.3599999999997"/>
    <x v="10"/>
    <n v="2025"/>
    <x v="2"/>
    <m/>
    <m/>
    <m/>
    <m/>
    <m/>
  </r>
  <r>
    <x v="990"/>
    <n v="26"/>
    <x v="1"/>
    <x v="1"/>
    <d v="2025-04-30T00:00:00"/>
    <d v="2025-05-05T00:00:00"/>
    <n v="5"/>
    <x v="1"/>
    <n v="0"/>
    <x v="2"/>
    <x v="0"/>
    <n v="660.18"/>
    <x v="8"/>
    <n v="2025"/>
    <x v="1"/>
    <m/>
    <m/>
    <m/>
    <m/>
    <m/>
  </r>
  <r>
    <x v="991"/>
    <n v="68"/>
    <x v="0"/>
    <x v="1"/>
    <d v="2025-06-17T00:00:00"/>
    <d v="2025-07-01T00:00:00"/>
    <n v="14"/>
    <x v="1"/>
    <n v="0"/>
    <x v="1"/>
    <x v="0"/>
    <n v="6566.99"/>
    <x v="9"/>
    <n v="2025"/>
    <x v="2"/>
    <m/>
    <m/>
    <m/>
    <m/>
    <m/>
  </r>
  <r>
    <x v="992"/>
    <n v="44"/>
    <x v="0"/>
    <x v="0"/>
    <d v="2025-02-05T00:00:00"/>
    <d v="2025-02-12T00:00:00"/>
    <n v="7"/>
    <x v="1"/>
    <n v="0"/>
    <x v="2"/>
    <x v="2"/>
    <n v="12359.49"/>
    <x v="4"/>
    <n v="2025"/>
    <x v="0"/>
    <m/>
    <m/>
    <m/>
    <m/>
    <m/>
  </r>
  <r>
    <x v="993"/>
    <n v="57"/>
    <x v="0"/>
    <x v="4"/>
    <d v="2025-12-07T00:00:00"/>
    <d v="2025-12-15T00:00:00"/>
    <n v="8"/>
    <x v="0"/>
    <n v="23"/>
    <x v="3"/>
    <x v="2"/>
    <n v="3424.69"/>
    <x v="10"/>
    <n v="2025"/>
    <x v="0"/>
    <m/>
    <m/>
    <m/>
    <m/>
    <m/>
  </r>
  <r>
    <x v="994"/>
    <n v="69"/>
    <x v="0"/>
    <x v="4"/>
    <d v="2025-03-15T00:00:00"/>
    <d v="2025-03-23T00:00:00"/>
    <n v="8"/>
    <x v="0"/>
    <n v="11"/>
    <x v="3"/>
    <x v="2"/>
    <n v="7209.08"/>
    <x v="3"/>
    <n v="2025"/>
    <x v="2"/>
    <m/>
    <m/>
    <m/>
    <m/>
    <m/>
  </r>
  <r>
    <x v="995"/>
    <n v="76"/>
    <x v="1"/>
    <x v="2"/>
    <d v="2025-01-21T00:00:00"/>
    <d v="2025-02-02T00:00:00"/>
    <n v="12"/>
    <x v="0"/>
    <n v="27"/>
    <x v="2"/>
    <x v="2"/>
    <n v="9388.9"/>
    <x v="2"/>
    <n v="2025"/>
    <x v="2"/>
    <m/>
    <m/>
    <m/>
    <m/>
    <m/>
  </r>
  <r>
    <x v="996"/>
    <n v="73"/>
    <x v="1"/>
    <x v="5"/>
    <d v="2025-03-31T00:00:00"/>
    <d v="2025-04-07T00:00:00"/>
    <n v="7"/>
    <x v="0"/>
    <n v="30"/>
    <x v="1"/>
    <x v="0"/>
    <n v="8744.92"/>
    <x v="3"/>
    <n v="2025"/>
    <x v="2"/>
    <m/>
    <m/>
    <m/>
    <m/>
    <m/>
  </r>
  <r>
    <x v="997"/>
    <n v="48"/>
    <x v="0"/>
    <x v="3"/>
    <d v="2025-07-21T00:00:00"/>
    <d v="2025-08-02T00:00:00"/>
    <n v="12"/>
    <x v="1"/>
    <n v="0"/>
    <x v="2"/>
    <x v="0"/>
    <n v="13786.3"/>
    <x v="5"/>
    <n v="2025"/>
    <x v="0"/>
    <m/>
    <m/>
    <m/>
    <m/>
    <m/>
  </r>
  <r>
    <x v="998"/>
    <n v="45"/>
    <x v="1"/>
    <x v="5"/>
    <d v="2025-12-24T00:00:00"/>
    <d v="2026-01-05T00:00:00"/>
    <n v="12"/>
    <x v="1"/>
    <n v="0"/>
    <x v="0"/>
    <x v="2"/>
    <n v="1609.74"/>
    <x v="10"/>
    <n v="2025"/>
    <x v="0"/>
    <m/>
    <m/>
    <m/>
    <m/>
    <m/>
  </r>
  <r>
    <x v="999"/>
    <n v="59"/>
    <x v="1"/>
    <x v="5"/>
    <d v="2025-02-23T00:00:00"/>
    <d v="2025-03-04T00:00:00"/>
    <n v="9"/>
    <x v="1"/>
    <n v="0"/>
    <x v="1"/>
    <x v="2"/>
    <n v="3506.9"/>
    <x v="4"/>
    <n v="2025"/>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D00D2-1FD3-4E64-93D4-BA2C7F8309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rowPageCount="1" colPageCount="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7">
        <item x="3"/>
        <item x="4"/>
        <item x="1"/>
        <item x="2"/>
        <item x="0"/>
        <item x="5"/>
        <item t="default"/>
      </items>
    </pivotField>
    <pivotField numFmtId="14" showAll="0"/>
    <pivotField numFmtId="14" showAll="0"/>
    <pivotField numFmtId="1" showAll="0"/>
    <pivotField axis="axisPage" multipleItemSelectionAllowed="1" showAll="0">
      <items count="3">
        <item h="1" x="1"/>
        <item x="0"/>
        <item t="default"/>
      </items>
    </pivotField>
    <pivotField showAll="0"/>
    <pivotField axis="axisRow" showAll="0">
      <items count="5">
        <item x="0"/>
        <item x="2"/>
        <item x="3"/>
        <item x="1"/>
        <item t="default"/>
      </items>
    </pivotField>
    <pivotField showAll="0"/>
    <pivotField numFmtId="165" showAll="0"/>
    <pivotField showAll="0">
      <items count="13">
        <item x="2"/>
        <item x="4"/>
        <item x="3"/>
        <item x="8"/>
        <item x="6"/>
        <item x="9"/>
        <item x="5"/>
        <item x="11"/>
        <item x="7"/>
        <item x="1"/>
        <item x="0"/>
        <item x="10"/>
        <item t="default"/>
      </items>
    </pivotField>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pageFields count="1">
    <pageField fld="7" hier="-1"/>
  </pageFields>
  <dataFields count="1">
    <dataField name="Count of Patient_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5AD73C-EBE0-46EC-9037-0E6A6AC6F4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7:B21"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7">
        <item x="3"/>
        <item x="4"/>
        <item x="1"/>
        <item x="2"/>
        <item x="0"/>
        <item x="5"/>
        <item t="default"/>
      </items>
    </pivotField>
    <pivotField numFmtId="14" showAll="0"/>
    <pivotField numFmtId="14" showAll="0"/>
    <pivotField numFmtId="1" showAll="0"/>
    <pivotField showAll="0"/>
    <pivotField showAll="0"/>
    <pivotField showAll="0"/>
    <pivotField axis="axisRow" showAll="0">
      <items count="4">
        <item x="1"/>
        <item x="2"/>
        <item x="0"/>
        <item t="default"/>
      </items>
    </pivotField>
    <pivotField numFmtId="165" showAll="0"/>
    <pivotField showAll="0">
      <items count="13">
        <item x="2"/>
        <item x="4"/>
        <item x="3"/>
        <item x="8"/>
        <item x="6"/>
        <item x="9"/>
        <item x="5"/>
        <item x="11"/>
        <item x="7"/>
        <item x="1"/>
        <item x="0"/>
        <item x="10"/>
        <item t="default"/>
      </items>
    </pivotField>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Patient_ID" fld="0" subtotal="count" baseField="0" baseItem="0"/>
  </dataField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0" count="1" selected="0">
            <x v="0"/>
          </reference>
        </references>
      </pivotArea>
    </chartFormat>
    <chartFormat chart="5" format="3">
      <pivotArea type="data" outline="0" fieldPosition="0">
        <references count="2">
          <reference field="4294967294" count="1" selected="0">
            <x v="0"/>
          </reference>
          <reference field="10" count="1" selected="0">
            <x v="1"/>
          </reference>
        </references>
      </pivotArea>
    </chartFormat>
    <chartFormat chart="5" format="4">
      <pivotArea type="data" outline="0" fieldPosition="0">
        <references count="2">
          <reference field="4294967294" count="1" selected="0">
            <x v="0"/>
          </reference>
          <reference field="1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9BE2E-BFE2-4B61-88B3-5E2B43E3B0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rowPageCount="1" colPageCount="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
        <item x="1"/>
        <item x="0"/>
        <item t="default"/>
      </items>
    </pivotField>
    <pivotField axis="axisRow" showAll="0">
      <items count="7">
        <item x="3"/>
        <item x="4"/>
        <item x="1"/>
        <item x="2"/>
        <item x="0"/>
        <item x="5"/>
        <item t="default"/>
      </items>
    </pivotField>
    <pivotField numFmtId="14" showAll="0"/>
    <pivotField numFmtId="14" showAll="0"/>
    <pivotField numFmtId="1" showAll="0"/>
    <pivotField axis="axisPage" multipleItemSelectionAllowed="1" showAll="0">
      <items count="3">
        <item h="1" x="1"/>
        <item x="0"/>
        <item t="default"/>
      </items>
    </pivotField>
    <pivotField showAll="0"/>
    <pivotField showAll="0">
      <items count="5">
        <item x="0"/>
        <item x="2"/>
        <item x="3"/>
        <item x="1"/>
        <item t="default"/>
      </items>
    </pivotField>
    <pivotField showAll="0">
      <items count="4">
        <item x="1"/>
        <item x="2"/>
        <item x="0"/>
        <item t="default"/>
      </items>
    </pivotField>
    <pivotField numFmtId="165" showAll="0"/>
    <pivotField showAll="0">
      <items count="13">
        <item x="2"/>
        <item x="4"/>
        <item x="3"/>
        <item x="8"/>
        <item x="6"/>
        <item x="9"/>
        <item x="5"/>
        <item x="11"/>
        <item x="7"/>
        <item x="1"/>
        <item x="0"/>
        <item x="10"/>
        <item t="default"/>
      </items>
    </pivotField>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pageFields count="1">
    <pageField fld="7" hier="-1"/>
  </pageFields>
  <dataFields count="1">
    <dataField name="Count of Patient_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1204C-6F68-4C1B-8A8A-920AC4DEF2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7:H24" firstHeaderRow="1" firstDataRow="1" firstDataCol="1"/>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7">
        <item x="3"/>
        <item x="4"/>
        <item x="1"/>
        <item x="2"/>
        <item x="0"/>
        <item x="5"/>
        <item t="default"/>
      </items>
    </pivotField>
    <pivotField numFmtId="14" showAll="0"/>
    <pivotField numFmtId="14" showAll="0"/>
    <pivotField numFmtId="1" showAll="0"/>
    <pivotField showAll="0"/>
    <pivotField showAll="0"/>
    <pivotField showAll="0"/>
    <pivotField showAll="0"/>
    <pivotField dataField="1" numFmtId="165" showAll="0"/>
    <pivotField showAll="0">
      <items count="13">
        <item x="2"/>
        <item x="4"/>
        <item x="3"/>
        <item x="8"/>
        <item x="6"/>
        <item x="9"/>
        <item x="5"/>
        <item x="11"/>
        <item x="7"/>
        <item x="1"/>
        <item x="0"/>
        <item x="10"/>
        <item t="default"/>
      </items>
    </pivotField>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reatment_Cost_USD" fld="11" baseField="0" baseItem="0" numFmtId="165"/>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FC718-2C95-4EDC-855D-7943A239B6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7:E21"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7">
        <item x="3"/>
        <item x="4"/>
        <item x="1"/>
        <item x="2"/>
        <item x="0"/>
        <item x="5"/>
        <item t="default"/>
      </items>
    </pivotField>
    <pivotField numFmtId="14" showAll="0"/>
    <pivotField numFmtId="14" showAll="0"/>
    <pivotField numFmtId="1" showAll="0"/>
    <pivotField showAll="0"/>
    <pivotField showAll="0"/>
    <pivotField showAll="0"/>
    <pivotField showAll="0"/>
    <pivotField numFmtId="165" showAll="0"/>
    <pivotField showAll="0">
      <items count="13">
        <item x="2"/>
        <item x="4"/>
        <item x="3"/>
        <item x="8"/>
        <item x="6"/>
        <item x="9"/>
        <item x="5"/>
        <item x="11"/>
        <item x="7"/>
        <item x="1"/>
        <item x="0"/>
        <item x="10"/>
        <item t="default"/>
      </items>
    </pivotField>
    <pivotField showAll="0"/>
    <pivotField axis="axisRow" showAll="0">
      <items count="4">
        <item x="0"/>
        <item x="2"/>
        <item x="1"/>
        <item t="default"/>
      </items>
    </pivotField>
    <pivotField showAll="0"/>
    <pivotField showAll="0"/>
    <pivotField showAll="0"/>
    <pivotField showAll="0"/>
    <pivotField showAll="0"/>
  </pivotFields>
  <rowFields count="1">
    <field x="14"/>
  </rowFields>
  <rowItems count="4">
    <i>
      <x/>
    </i>
    <i>
      <x v="1"/>
    </i>
    <i>
      <x v="2"/>
    </i>
    <i t="grand">
      <x/>
    </i>
  </rowItems>
  <colItems count="1">
    <i/>
  </colItems>
  <dataFields count="1">
    <dataField name="Count of Patient_ID" fld="0" subtotal="count" baseField="0" baseItem="0"/>
  </dataField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0"/>
          </reference>
        </references>
      </pivotArea>
    </chartFormat>
    <chartFormat chart="5" format="3">
      <pivotArea type="data" outline="0" fieldPosition="0">
        <references count="2">
          <reference field="4294967294" count="1" selected="0">
            <x v="0"/>
          </reference>
          <reference field="14" count="1" selected="0">
            <x v="1"/>
          </reference>
        </references>
      </pivotArea>
    </chartFormat>
    <chartFormat chart="5" format="4">
      <pivotArea type="data" outline="0" fieldPosition="0">
        <references count="2">
          <reference field="4294967294" count="1" selected="0">
            <x v="0"/>
          </reference>
          <reference field="1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 chart="4" format="1">
      <pivotArea type="data" outline="0" fieldPosition="0">
        <references count="2">
          <reference field="4294967294" count="1" selected="0">
            <x v="0"/>
          </reference>
          <reference field="14" count="1" selected="0">
            <x v="0"/>
          </reference>
        </references>
      </pivotArea>
    </chartFormat>
    <chartFormat chart="4" format="2">
      <pivotArea type="data" outline="0" fieldPosition="0">
        <references count="2">
          <reference field="4294967294" count="1" selected="0">
            <x v="0"/>
          </reference>
          <reference field="14" count="1" selected="0">
            <x v="1"/>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EFB98A-8464-4982-B709-4580859024B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3:H16" firstHeaderRow="1" firstDataRow="1" firstDataCol="1" rowPageCount="1" colPageCount="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7">
        <item x="3"/>
        <item x="4"/>
        <item x="1"/>
        <item x="2"/>
        <item x="0"/>
        <item x="5"/>
        <item t="default"/>
      </items>
    </pivotField>
    <pivotField numFmtId="14" showAll="0"/>
    <pivotField numFmtId="14" showAll="0"/>
    <pivotField numFmtId="1" showAll="0"/>
    <pivotField axis="axisPage" multipleItemSelectionAllowed="1" showAll="0">
      <items count="3">
        <item h="1" x="1"/>
        <item x="0"/>
        <item t="default"/>
      </items>
    </pivotField>
    <pivotField showAll="0"/>
    <pivotField showAll="0"/>
    <pivotField showAll="0"/>
    <pivotField numFmtId="165" showAll="0"/>
    <pivotField axis="axisRow" showAll="0">
      <items count="13">
        <item x="2"/>
        <item x="4"/>
        <item x="3"/>
        <item x="8"/>
        <item x="6"/>
        <item x="9"/>
        <item x="5"/>
        <item x="11"/>
        <item x="7"/>
        <item x="1"/>
        <item x="0"/>
        <item x="10"/>
        <item t="default"/>
      </items>
    </pivotField>
    <pivotField showAll="0"/>
    <pivotField showAll="0"/>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pageFields count="1">
    <pageField fld="7" hier="-1"/>
  </pageFields>
  <dataFields count="1">
    <dataField name="Count of Patient_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F7204F-B413-410C-8BAD-8073361C81DE}" sourceName="Gender">
  <pivotTables>
    <pivotTable tabId="3" name="PivotTable1"/>
  </pivotTables>
  <data>
    <tabular pivotCacheId="205684548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0BB6A709-1E62-4D04-BD46-A1937FEEE394}" sourceName="Disease">
  <pivotTables>
    <pivotTable tabId="3" name="PivotTable1"/>
  </pivotTables>
  <data>
    <tabular pivotCacheId="2056845482">
      <items count="6">
        <i x="3" s="1"/>
        <i x="4" s="1"/>
        <i x="1" s="1"/>
        <i x="2"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1EDBAE34-E382-41DE-B8BB-D2B9FA9A5359}" sourceName="Hospital">
  <pivotTables>
    <pivotTable tabId="3" name="PivotTable1"/>
  </pivotTables>
  <data>
    <tabular pivotCacheId="2056845482">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E4FD5A42-F910-4B05-9146-383F7AB82B06}" sourceName="Insurance_Type">
  <pivotTables>
    <pivotTable tabId="3" name="PivotTable1"/>
  </pivotTables>
  <data>
    <tabular pivotCacheId="205684548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8CEC42F9-F1A4-4041-87D7-951A114F2FAB}" sourceName="Admission_month">
  <pivotTables>
    <pivotTable tabId="3" name="PivotTable1"/>
    <pivotTable tabId="3" name="PivotTable2"/>
    <pivotTable tabId="3" name="PivotTable3"/>
    <pivotTable tabId="3" name="PivotTable4"/>
    <pivotTable tabId="3" name="PivotTable5"/>
    <pivotTable tabId="3" name="PivotTable6"/>
  </pivotTables>
  <data>
    <tabular pivotCacheId="2056845482">
      <items count="12">
        <i x="2" s="1"/>
        <i x="4" s="1"/>
        <i x="3" s="1"/>
        <i x="8" s="1"/>
        <i x="6" s="1"/>
        <i x="9" s="1"/>
        <i x="5" s="1"/>
        <i x="11" s="1"/>
        <i x="7" s="1"/>
        <i x="1"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DE624DB-7F57-4BA0-84E3-B06049F683C1}" cache="Slicer_Gender" caption="Gender" rowHeight="241300"/>
  <slicer name="Disease" xr10:uid="{11785478-2CE8-4996-B425-5195856923B1}" cache="Slicer_Disease" caption="Disease" rowHeight="241300"/>
  <slicer name="Hospital" xr10:uid="{FCBFAC57-031E-4E97-884B-0A44A8307BFC}" cache="Slicer_Hospital" caption="Hospital" rowHeight="241300"/>
  <slicer name="Insurance_Type" xr10:uid="{FFDFA618-416D-4A1D-96AE-7AEDCA578DB2}" cache="Slicer_Insurance_Type" caption="Insurance_Type" rowHeight="241300"/>
  <slicer name="Admission_month" xr10:uid="{A9613A9C-8DB0-4380-B00D-4C17EA657B0A}" cache="Slicer_Admission_month" caption="Admission_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98A3637-9890-460A-838C-B2A3480C6C9F}" cache="Slicer_Gender" caption="Gender" style="SlicerStyleLight3" rowHeight="241300"/>
  <slicer name="Disease 1" xr10:uid="{66B1926F-960E-475A-B351-E96B73240BBC}" cache="Slicer_Disease" caption="Disease" style="SlicerStyleLight3" rowHeight="241300"/>
  <slicer name="Hospital 1" xr10:uid="{9220C932-D276-4F7B-A40D-F9FA0BE4A1D1}" cache="Slicer_Hospital" caption="Hospital" style="SlicerStyleLight3" rowHeight="241300"/>
  <slicer name="Insurance_Type 1" xr10:uid="{C13EB34D-7B85-4313-8A37-60639516D29F}" cache="Slicer_Insurance_Type" caption="Insurance_Type" style="SlicerStyleLight3" rowHeight="241300"/>
  <slicer name="Admission_month 1" xr10:uid="{1554F3D6-78C3-4132-80F6-3FE7228F2A8A}" cache="Slicer_Admission_month" caption="Admission_month"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13D7D-5DA1-40C2-9512-C62FDE22A9A4}" name="Table1" displayName="Table1" ref="A1:T1001" totalsRowShown="0" headerRowDxfId="12">
  <autoFilter ref="A1:T1001" xr:uid="{37E13D7D-5DA1-40C2-9512-C62FDE22A9A4}"/>
  <tableColumns count="20">
    <tableColumn id="1" xr3:uid="{4EAAA14E-E3C7-44C6-B154-96773427A5B3}" name="Patient_ID"/>
    <tableColumn id="2" xr3:uid="{A9BE6220-AF29-473C-9332-3AE682554BF9}" name="Age"/>
    <tableColumn id="3" xr3:uid="{3B704158-0D4A-488B-8640-3C5302732EA8}" name="Gender"/>
    <tableColumn id="4" xr3:uid="{B39AEC7F-431F-4E0C-B1CD-29D0A8AFC20A}" name="Disease"/>
    <tableColumn id="5" xr3:uid="{D9A935C1-E730-4598-A246-94CECA5B254A}" name="Admission_Date" dataDxfId="11"/>
    <tableColumn id="6" xr3:uid="{89CBD9EA-06A7-4B77-9EC4-6783E45DDE3D}" name="Discharge_Date" dataDxfId="10"/>
    <tableColumn id="7" xr3:uid="{11CF33C4-E9B5-4661-9470-8C1F54E28E4A}" name="Length_of_Stay" dataDxfId="9"/>
    <tableColumn id="8" xr3:uid="{FBE21E90-D9F0-48A4-A3A9-2FE33BA4F739}" name="Readmitted"/>
    <tableColumn id="9" xr3:uid="{5FC977F8-E1B6-4CFC-8F9B-19D71B243F9D}" name="Readmission_Days"/>
    <tableColumn id="10" xr3:uid="{42457410-FB85-4EBE-868E-6863EA89AB2D}" name="Hospital"/>
    <tableColumn id="11" xr3:uid="{88DC6CBB-6B92-46BC-95AC-1CA88583AFA9}" name="Insurance_Type"/>
    <tableColumn id="12" xr3:uid="{B97BB37A-7A4D-4145-9084-516BC19A24BA}" name="Treatment_Cost_USD" dataDxfId="8"/>
    <tableColumn id="13" xr3:uid="{A87D4AF3-8716-4F2F-8E09-E8235E58B2A3}" name="Admission_month" dataDxfId="7">
      <calculatedColumnFormula>TEXT(Table1[[#This Row],[Admission_Date]], "mmm")</calculatedColumnFormula>
    </tableColumn>
    <tableColumn id="14" xr3:uid="{92DD75FA-3AB6-4944-ABF8-B48338687A33}" name="Admission_year" dataDxfId="6">
      <calculatedColumnFormula>YEAR(Table1[[#This Row],[Admission_Date]])</calculatedColumnFormula>
    </tableColumn>
    <tableColumn id="15" xr3:uid="{AAD0C3D0-2375-4074-9095-EFA65750D7D8}" name="Age_Group" dataDxfId="5">
      <calculatedColumnFormula>IF(Table1[[#This Row],[Age]]&lt;30, "Young Adult", IF(Table1[[#This Row],[Age]]&lt;60, "Adult", "Senior"))</calculatedColumnFormula>
    </tableColumn>
    <tableColumn id="16" xr3:uid="{F91BB44A-97BA-4E7C-B9FD-4FC846C14D10}" name="Total Patients" dataDxfId="4"/>
    <tableColumn id="17" xr3:uid="{2FF5EABD-06CA-484E-9907-645A7B0DAB16}" name="Total Readmitted patient" dataDxfId="3"/>
    <tableColumn id="18" xr3:uid="{B66F921A-E2DF-457B-8637-F816D2A77B8F}" name="Readmission Rate" dataDxfId="2"/>
    <tableColumn id="19" xr3:uid="{8373E47D-D61C-42C0-8822-7628316DCFDA}" name="Average Length of stay" dataDxfId="1"/>
    <tableColumn id="20" xr3:uid="{6538D4AA-E6D8-4999-9EE7-CD1ED2178F5D}" name="Total Treatment Cost"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84ED-E130-492D-8C9B-3ADCC8AE8BFA}">
  <dimension ref="A1:H24"/>
  <sheetViews>
    <sheetView topLeftCell="I1" workbookViewId="0">
      <selection activeCell="A18" sqref="A18"/>
    </sheetView>
  </sheetViews>
  <sheetFormatPr defaultRowHeight="15" x14ac:dyDescent="0.25"/>
  <cols>
    <col min="1" max="1" width="13.28515625" bestFit="1" customWidth="1"/>
    <col min="2" max="2" width="18.5703125" bestFit="1" customWidth="1"/>
    <col min="4" max="4" width="13.140625" bestFit="1" customWidth="1"/>
    <col min="5" max="5" width="18.5703125" bestFit="1" customWidth="1"/>
    <col min="7" max="7" width="13.28515625" bestFit="1" customWidth="1"/>
    <col min="8" max="8" width="27" bestFit="1" customWidth="1"/>
  </cols>
  <sheetData>
    <row r="1" spans="1:8" x14ac:dyDescent="0.25">
      <c r="A1" s="10" t="s">
        <v>7</v>
      </c>
      <c r="B1" t="s">
        <v>15</v>
      </c>
      <c r="D1" s="10" t="s">
        <v>7</v>
      </c>
      <c r="E1" t="s">
        <v>15</v>
      </c>
      <c r="G1" s="10" t="s">
        <v>7</v>
      </c>
      <c r="H1" t="s">
        <v>15</v>
      </c>
    </row>
    <row r="3" spans="1:8" x14ac:dyDescent="0.25">
      <c r="A3" s="10" t="s">
        <v>1037</v>
      </c>
      <c r="B3" t="s">
        <v>1039</v>
      </c>
      <c r="D3" s="10" t="s">
        <v>1037</v>
      </c>
      <c r="E3" t="s">
        <v>1039</v>
      </c>
      <c r="G3" s="10" t="s">
        <v>1037</v>
      </c>
      <c r="H3" t="s">
        <v>1039</v>
      </c>
    </row>
    <row r="4" spans="1:8" x14ac:dyDescent="0.25">
      <c r="A4" s="11" t="s">
        <v>32</v>
      </c>
      <c r="B4">
        <v>43</v>
      </c>
      <c r="D4" s="11" t="s">
        <v>16</v>
      </c>
      <c r="E4">
        <v>74</v>
      </c>
      <c r="G4" s="11" t="s">
        <v>1040</v>
      </c>
      <c r="H4">
        <v>24</v>
      </c>
    </row>
    <row r="5" spans="1:8" x14ac:dyDescent="0.25">
      <c r="A5" s="11" t="s">
        <v>34</v>
      </c>
      <c r="B5">
        <v>66</v>
      </c>
      <c r="D5" s="11" t="s">
        <v>25</v>
      </c>
      <c r="E5">
        <v>82</v>
      </c>
      <c r="G5" s="11" t="s">
        <v>1041</v>
      </c>
      <c r="H5">
        <v>26</v>
      </c>
    </row>
    <row r="6" spans="1:8" x14ac:dyDescent="0.25">
      <c r="A6" s="11" t="s">
        <v>19</v>
      </c>
      <c r="B6">
        <v>54</v>
      </c>
      <c r="D6" s="11" t="s">
        <v>29</v>
      </c>
      <c r="E6">
        <v>77</v>
      </c>
      <c r="G6" s="11" t="s">
        <v>1042</v>
      </c>
      <c r="H6">
        <v>21</v>
      </c>
    </row>
    <row r="7" spans="1:8" x14ac:dyDescent="0.25">
      <c r="A7" s="11" t="s">
        <v>28</v>
      </c>
      <c r="B7">
        <v>45</v>
      </c>
      <c r="D7" s="11" t="s">
        <v>21</v>
      </c>
      <c r="E7">
        <v>73</v>
      </c>
      <c r="G7" s="11" t="s">
        <v>1043</v>
      </c>
      <c r="H7">
        <v>32</v>
      </c>
    </row>
    <row r="8" spans="1:8" x14ac:dyDescent="0.25">
      <c r="A8" s="11" t="s">
        <v>14</v>
      </c>
      <c r="B8">
        <v>38</v>
      </c>
      <c r="D8" s="11" t="s">
        <v>1038</v>
      </c>
      <c r="E8">
        <v>306</v>
      </c>
      <c r="G8" s="11" t="s">
        <v>1044</v>
      </c>
      <c r="H8">
        <v>33</v>
      </c>
    </row>
    <row r="9" spans="1:8" x14ac:dyDescent="0.25">
      <c r="A9" s="11" t="s">
        <v>40</v>
      </c>
      <c r="B9">
        <v>60</v>
      </c>
      <c r="G9" s="11" t="s">
        <v>1045</v>
      </c>
      <c r="H9">
        <v>25</v>
      </c>
    </row>
    <row r="10" spans="1:8" x14ac:dyDescent="0.25">
      <c r="A10" s="11" t="s">
        <v>1038</v>
      </c>
      <c r="B10">
        <v>306</v>
      </c>
      <c r="G10" s="11" t="s">
        <v>1046</v>
      </c>
      <c r="H10">
        <v>25</v>
      </c>
    </row>
    <row r="11" spans="1:8" x14ac:dyDescent="0.25">
      <c r="A11" s="11"/>
      <c r="G11" s="11" t="s">
        <v>1047</v>
      </c>
      <c r="H11">
        <v>25</v>
      </c>
    </row>
    <row r="12" spans="1:8" x14ac:dyDescent="0.25">
      <c r="G12" s="11" t="s">
        <v>1048</v>
      </c>
      <c r="H12">
        <v>22</v>
      </c>
    </row>
    <row r="13" spans="1:8" x14ac:dyDescent="0.25">
      <c r="G13" s="11" t="s">
        <v>1049</v>
      </c>
      <c r="H13">
        <v>17</v>
      </c>
    </row>
    <row r="14" spans="1:8" x14ac:dyDescent="0.25">
      <c r="G14" s="11" t="s">
        <v>1050</v>
      </c>
      <c r="H14">
        <v>27</v>
      </c>
    </row>
    <row r="15" spans="1:8" x14ac:dyDescent="0.25">
      <c r="G15" s="11" t="s">
        <v>1051</v>
      </c>
      <c r="H15">
        <v>29</v>
      </c>
    </row>
    <row r="16" spans="1:8" x14ac:dyDescent="0.25">
      <c r="G16" s="11" t="s">
        <v>1038</v>
      </c>
      <c r="H16">
        <v>306</v>
      </c>
    </row>
    <row r="17" spans="1:8" x14ac:dyDescent="0.25">
      <c r="A17" s="10" t="s">
        <v>1037</v>
      </c>
      <c r="B17" t="s">
        <v>1039</v>
      </c>
      <c r="D17" s="10" t="s">
        <v>1037</v>
      </c>
      <c r="E17" t="s">
        <v>1039</v>
      </c>
      <c r="G17" s="10" t="s">
        <v>1037</v>
      </c>
      <c r="H17" t="s">
        <v>1052</v>
      </c>
    </row>
    <row r="18" spans="1:8" x14ac:dyDescent="0.25">
      <c r="A18" s="11" t="s">
        <v>22</v>
      </c>
      <c r="B18">
        <v>321</v>
      </c>
      <c r="D18" s="11" t="s">
        <v>1053</v>
      </c>
      <c r="E18">
        <v>416</v>
      </c>
      <c r="G18" s="11" t="s">
        <v>32</v>
      </c>
      <c r="H18" s="6">
        <v>1197731.9099999992</v>
      </c>
    </row>
    <row r="19" spans="1:8" x14ac:dyDescent="0.25">
      <c r="A19" s="11" t="s">
        <v>47</v>
      </c>
      <c r="B19">
        <v>361</v>
      </c>
      <c r="D19" s="11" t="s">
        <v>1054</v>
      </c>
      <c r="E19">
        <v>424</v>
      </c>
      <c r="G19" s="11" t="s">
        <v>34</v>
      </c>
      <c r="H19" s="6">
        <v>1315128.5699999998</v>
      </c>
    </row>
    <row r="20" spans="1:8" x14ac:dyDescent="0.25">
      <c r="A20" s="11" t="s">
        <v>17</v>
      </c>
      <c r="B20">
        <v>318</v>
      </c>
      <c r="D20" s="11" t="s">
        <v>1055</v>
      </c>
      <c r="E20">
        <v>160</v>
      </c>
      <c r="G20" s="11" t="s">
        <v>19</v>
      </c>
      <c r="H20" s="6">
        <v>1384782.8499999992</v>
      </c>
    </row>
    <row r="21" spans="1:8" x14ac:dyDescent="0.25">
      <c r="A21" s="11" t="s">
        <v>1038</v>
      </c>
      <c r="B21">
        <v>1000</v>
      </c>
      <c r="D21" s="11" t="s">
        <v>1038</v>
      </c>
      <c r="E21">
        <v>1000</v>
      </c>
      <c r="G21" s="11" t="s">
        <v>28</v>
      </c>
      <c r="H21" s="6">
        <v>1207155.6399999994</v>
      </c>
    </row>
    <row r="22" spans="1:8" x14ac:dyDescent="0.25">
      <c r="G22" s="11" t="s">
        <v>14</v>
      </c>
      <c r="H22" s="6">
        <v>1132325.18</v>
      </c>
    </row>
    <row r="23" spans="1:8" x14ac:dyDescent="0.25">
      <c r="G23" s="11" t="s">
        <v>40</v>
      </c>
      <c r="H23" s="6">
        <v>1400438.5400000005</v>
      </c>
    </row>
    <row r="24" spans="1:8" x14ac:dyDescent="0.25">
      <c r="G24" s="11" t="s">
        <v>1038</v>
      </c>
      <c r="H24" s="6">
        <v>7637562.6899999976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E666-ECFA-4D5F-8184-874614973E2F}">
  <dimension ref="B1:T60"/>
  <sheetViews>
    <sheetView showGridLines="0" zoomScale="70" zoomScaleNormal="70" workbookViewId="0">
      <selection activeCell="U23" sqref="U23"/>
    </sheetView>
  </sheetViews>
  <sheetFormatPr defaultRowHeight="15" x14ac:dyDescent="0.25"/>
  <cols>
    <col min="1" max="1" width="6" customWidth="1"/>
  </cols>
  <sheetData>
    <row r="1" spans="2:20" x14ac:dyDescent="0.25">
      <c r="B1" s="12"/>
      <c r="C1" s="12"/>
      <c r="D1" s="12"/>
      <c r="E1" s="12"/>
      <c r="F1" s="12"/>
      <c r="G1" s="12"/>
      <c r="H1" s="12"/>
      <c r="I1" s="12"/>
      <c r="J1" s="12"/>
      <c r="K1" s="12"/>
      <c r="L1" s="12"/>
      <c r="M1" s="12"/>
      <c r="N1" s="12"/>
      <c r="O1" s="12"/>
      <c r="P1" s="12"/>
      <c r="Q1" s="12"/>
      <c r="R1" s="12"/>
      <c r="S1" s="12"/>
      <c r="T1" s="12"/>
    </row>
    <row r="2" spans="2:20" x14ac:dyDescent="0.25">
      <c r="B2" s="12"/>
      <c r="C2" s="12"/>
      <c r="D2" s="12"/>
      <c r="E2" s="12"/>
      <c r="F2" s="12"/>
      <c r="G2" s="12"/>
      <c r="H2" s="12"/>
      <c r="I2" s="12"/>
      <c r="J2" s="12"/>
      <c r="K2" s="12"/>
      <c r="L2" s="12"/>
      <c r="M2" s="12"/>
      <c r="N2" s="12"/>
      <c r="O2" s="12"/>
      <c r="P2" s="12"/>
      <c r="Q2" s="12"/>
      <c r="R2" s="12"/>
      <c r="S2" s="12"/>
      <c r="T2" s="12"/>
    </row>
    <row r="3" spans="2:20" x14ac:dyDescent="0.25">
      <c r="B3" s="12"/>
      <c r="C3" s="12"/>
      <c r="D3" s="12"/>
      <c r="E3" s="12"/>
      <c r="F3" s="12"/>
      <c r="G3" s="12"/>
      <c r="H3" s="12"/>
      <c r="I3" s="12"/>
      <c r="J3" s="12"/>
      <c r="K3" s="12"/>
      <c r="L3" s="12"/>
      <c r="M3" s="12"/>
      <c r="N3" s="12"/>
      <c r="O3" s="12"/>
      <c r="P3" s="12"/>
      <c r="Q3" s="12"/>
      <c r="R3" s="12"/>
      <c r="S3" s="12"/>
      <c r="T3" s="12"/>
    </row>
    <row r="4" spans="2:20" x14ac:dyDescent="0.25">
      <c r="B4" s="12"/>
      <c r="C4" s="12"/>
      <c r="D4" s="12"/>
      <c r="E4" s="12"/>
      <c r="F4" s="12"/>
      <c r="G4" s="12"/>
      <c r="H4" s="12"/>
      <c r="I4" s="12"/>
      <c r="J4" s="12"/>
      <c r="K4" s="12"/>
      <c r="L4" s="12"/>
      <c r="M4" s="12"/>
      <c r="N4" s="12"/>
      <c r="O4" s="12"/>
      <c r="P4" s="12"/>
      <c r="Q4" s="12"/>
      <c r="R4" s="12"/>
      <c r="S4" s="12"/>
      <c r="T4" s="12"/>
    </row>
    <row r="5" spans="2:20" x14ac:dyDescent="0.25">
      <c r="B5" s="12"/>
      <c r="C5" s="12"/>
      <c r="D5" s="12"/>
      <c r="E5" s="12"/>
      <c r="F5" s="12"/>
      <c r="G5" s="12"/>
      <c r="H5" s="12"/>
      <c r="I5" s="12"/>
      <c r="J5" s="12"/>
      <c r="K5" s="12"/>
      <c r="L5" s="12"/>
      <c r="M5" s="12"/>
      <c r="N5" s="12"/>
      <c r="O5" s="12"/>
      <c r="P5" s="12"/>
      <c r="Q5" s="12"/>
      <c r="R5" s="12"/>
      <c r="S5" s="12"/>
      <c r="T5" s="12"/>
    </row>
    <row r="6" spans="2:20" x14ac:dyDescent="0.25">
      <c r="B6" s="12"/>
      <c r="C6" s="12"/>
      <c r="D6" s="12"/>
      <c r="E6" s="12"/>
      <c r="F6" s="12"/>
      <c r="G6" s="12"/>
      <c r="H6" s="12"/>
      <c r="I6" s="12"/>
      <c r="J6" s="12"/>
      <c r="K6" s="12"/>
      <c r="L6" s="12"/>
      <c r="M6" s="12"/>
      <c r="N6" s="12"/>
      <c r="O6" s="12"/>
      <c r="P6" s="12"/>
      <c r="Q6" s="12"/>
      <c r="R6" s="12"/>
      <c r="S6" s="12"/>
      <c r="T6" s="12"/>
    </row>
    <row r="7" spans="2:20" x14ac:dyDescent="0.25">
      <c r="B7" s="12"/>
      <c r="C7" s="12"/>
      <c r="D7" s="12"/>
      <c r="E7" s="12"/>
      <c r="F7" s="12"/>
      <c r="G7" s="12"/>
      <c r="H7" s="12"/>
      <c r="I7" s="12"/>
      <c r="J7" s="12"/>
      <c r="K7" s="12"/>
      <c r="L7" s="12"/>
      <c r="M7" s="12"/>
      <c r="N7" s="12"/>
      <c r="O7" s="12"/>
      <c r="P7" s="12"/>
      <c r="Q7" s="12"/>
      <c r="R7" s="12"/>
      <c r="S7" s="12"/>
      <c r="T7" s="12"/>
    </row>
    <row r="8" spans="2:20" x14ac:dyDescent="0.25">
      <c r="B8" s="12"/>
      <c r="C8" s="12"/>
      <c r="D8" s="12"/>
      <c r="E8" s="12"/>
      <c r="F8" s="12"/>
      <c r="G8" s="12"/>
      <c r="H8" s="12"/>
      <c r="I8" s="12"/>
      <c r="J8" s="12"/>
      <c r="K8" s="12"/>
      <c r="L8" s="12"/>
      <c r="M8" s="12"/>
      <c r="N8" s="12"/>
      <c r="O8" s="12"/>
      <c r="P8" s="12"/>
      <c r="Q8" s="12"/>
      <c r="R8" s="12"/>
      <c r="S8" s="12"/>
      <c r="T8" s="12"/>
    </row>
    <row r="9" spans="2:20" x14ac:dyDescent="0.25">
      <c r="B9" s="12"/>
      <c r="C9" s="12"/>
      <c r="D9" s="12"/>
      <c r="E9" s="12"/>
      <c r="F9" s="12"/>
      <c r="G9" s="12"/>
      <c r="H9" s="12"/>
      <c r="I9" s="12"/>
      <c r="J9" s="12"/>
      <c r="K9" s="12"/>
      <c r="L9" s="12"/>
      <c r="M9" s="12"/>
      <c r="N9" s="12"/>
      <c r="O9" s="12"/>
      <c r="P9" s="12"/>
      <c r="Q9" s="12"/>
      <c r="R9" s="12"/>
      <c r="S9" s="12"/>
      <c r="T9" s="12"/>
    </row>
    <row r="10" spans="2:20" x14ac:dyDescent="0.25">
      <c r="B10" s="12"/>
      <c r="C10" s="12"/>
      <c r="D10" s="12"/>
      <c r="E10" s="12"/>
      <c r="F10" s="12"/>
      <c r="G10" s="12"/>
      <c r="H10" s="12"/>
      <c r="I10" s="12"/>
      <c r="J10" s="12"/>
      <c r="K10" s="12"/>
      <c r="L10" s="12"/>
      <c r="M10" s="12"/>
      <c r="N10" s="12"/>
      <c r="O10" s="12"/>
      <c r="P10" s="12"/>
      <c r="Q10" s="12"/>
      <c r="R10" s="12"/>
      <c r="S10" s="12"/>
      <c r="T10" s="12"/>
    </row>
    <row r="11" spans="2:20" x14ac:dyDescent="0.25">
      <c r="B11" s="12"/>
      <c r="C11" s="12"/>
      <c r="D11" s="12"/>
      <c r="E11" s="12"/>
      <c r="F11" s="12"/>
      <c r="G11" s="12"/>
      <c r="H11" s="12"/>
      <c r="I11" s="12"/>
      <c r="J11" s="12"/>
      <c r="K11" s="12"/>
      <c r="L11" s="12"/>
      <c r="M11" s="12"/>
      <c r="N11" s="12"/>
      <c r="O11" s="12"/>
      <c r="P11" s="12"/>
      <c r="Q11" s="12"/>
      <c r="R11" s="12"/>
      <c r="S11" s="12"/>
      <c r="T11" s="12"/>
    </row>
    <row r="12" spans="2:20" x14ac:dyDescent="0.25">
      <c r="B12" s="12"/>
      <c r="C12" s="12"/>
      <c r="D12" s="12"/>
      <c r="E12" s="12"/>
      <c r="F12" s="12"/>
      <c r="G12" s="12"/>
      <c r="H12" s="12"/>
      <c r="I12" s="12"/>
      <c r="J12" s="12"/>
      <c r="K12" s="12"/>
      <c r="L12" s="12"/>
      <c r="M12" s="12"/>
      <c r="N12" s="12"/>
      <c r="O12" s="12"/>
      <c r="P12" s="12"/>
      <c r="Q12" s="12"/>
      <c r="R12" s="12"/>
      <c r="S12" s="12"/>
      <c r="T12" s="12"/>
    </row>
    <row r="13" spans="2:20" x14ac:dyDescent="0.25">
      <c r="B13" s="12"/>
      <c r="C13" s="12"/>
      <c r="D13" s="12"/>
      <c r="E13" s="12"/>
      <c r="F13" s="12"/>
      <c r="G13" s="12"/>
      <c r="H13" s="12"/>
      <c r="I13" s="12"/>
      <c r="J13" s="12"/>
      <c r="K13" s="12"/>
      <c r="L13" s="12"/>
      <c r="M13" s="12"/>
      <c r="N13" s="12"/>
      <c r="O13" s="12"/>
      <c r="P13" s="12"/>
      <c r="Q13" s="12"/>
      <c r="R13" s="12"/>
      <c r="S13" s="12"/>
      <c r="T13" s="12"/>
    </row>
    <row r="14" spans="2:20" x14ac:dyDescent="0.25">
      <c r="B14" s="12"/>
      <c r="C14" s="12"/>
      <c r="D14" s="12"/>
      <c r="E14" s="12"/>
      <c r="F14" s="12"/>
      <c r="G14" s="12"/>
      <c r="H14" s="12"/>
      <c r="I14" s="12"/>
      <c r="J14" s="12"/>
      <c r="K14" s="12"/>
      <c r="L14" s="12"/>
      <c r="M14" s="12"/>
      <c r="N14" s="12"/>
      <c r="O14" s="12"/>
      <c r="P14" s="12"/>
      <c r="Q14" s="12"/>
      <c r="R14" s="12"/>
      <c r="S14" s="12"/>
      <c r="T14" s="12"/>
    </row>
    <row r="15" spans="2:20" x14ac:dyDescent="0.25">
      <c r="B15" s="12"/>
      <c r="C15" s="12"/>
      <c r="D15" s="12"/>
      <c r="E15" s="12"/>
      <c r="F15" s="12"/>
      <c r="G15" s="12"/>
      <c r="H15" s="12"/>
      <c r="I15" s="12"/>
      <c r="J15" s="12"/>
      <c r="K15" s="12"/>
      <c r="L15" s="12"/>
      <c r="M15" s="12"/>
      <c r="N15" s="12"/>
      <c r="O15" s="12"/>
      <c r="P15" s="12"/>
      <c r="Q15" s="12"/>
      <c r="R15" s="12"/>
      <c r="S15" s="12"/>
      <c r="T15" s="12"/>
    </row>
    <row r="16" spans="2:20" x14ac:dyDescent="0.25">
      <c r="B16" s="12"/>
      <c r="C16" s="12"/>
      <c r="D16" s="12"/>
      <c r="E16" s="12"/>
      <c r="F16" s="12"/>
      <c r="G16" s="12"/>
      <c r="H16" s="12"/>
      <c r="I16" s="12"/>
      <c r="J16" s="12"/>
      <c r="K16" s="12"/>
      <c r="L16" s="12"/>
      <c r="M16" s="12"/>
      <c r="N16" s="12"/>
      <c r="O16" s="12"/>
      <c r="P16" s="12"/>
      <c r="Q16" s="12"/>
      <c r="R16" s="12"/>
      <c r="S16" s="12"/>
      <c r="T16" s="12"/>
    </row>
    <row r="17" spans="2:20" x14ac:dyDescent="0.25">
      <c r="B17" s="12"/>
      <c r="C17" s="12"/>
      <c r="D17" s="12"/>
      <c r="E17" s="12"/>
      <c r="F17" s="12"/>
      <c r="G17" s="12"/>
      <c r="H17" s="12"/>
      <c r="I17" s="12"/>
      <c r="J17" s="12"/>
      <c r="K17" s="12"/>
      <c r="L17" s="12"/>
      <c r="M17" s="12"/>
      <c r="N17" s="12"/>
      <c r="O17" s="12"/>
      <c r="P17" s="12"/>
      <c r="Q17" s="12"/>
      <c r="R17" s="12"/>
      <c r="S17" s="12"/>
      <c r="T17" s="12"/>
    </row>
    <row r="18" spans="2:20" x14ac:dyDescent="0.25">
      <c r="B18" s="12"/>
      <c r="C18" s="12"/>
      <c r="D18" s="12"/>
      <c r="E18" s="12"/>
      <c r="F18" s="12"/>
      <c r="G18" s="12"/>
      <c r="H18" s="12"/>
      <c r="I18" s="12"/>
      <c r="J18" s="12"/>
      <c r="K18" s="12"/>
      <c r="L18" s="12"/>
      <c r="M18" s="12"/>
      <c r="N18" s="12"/>
      <c r="O18" s="12"/>
      <c r="P18" s="12"/>
      <c r="Q18" s="12"/>
      <c r="R18" s="12"/>
      <c r="S18" s="12"/>
      <c r="T18" s="12"/>
    </row>
    <row r="19" spans="2:20" x14ac:dyDescent="0.25">
      <c r="B19" s="12"/>
      <c r="C19" s="12"/>
      <c r="D19" s="12"/>
      <c r="E19" s="12"/>
      <c r="F19" s="12"/>
      <c r="G19" s="12"/>
      <c r="H19" s="12"/>
      <c r="I19" s="12"/>
      <c r="J19" s="12"/>
      <c r="K19" s="12"/>
      <c r="L19" s="12"/>
      <c r="M19" s="12"/>
      <c r="N19" s="12"/>
      <c r="O19" s="12"/>
      <c r="P19" s="12"/>
      <c r="Q19" s="12"/>
      <c r="R19" s="12"/>
      <c r="S19" s="12"/>
      <c r="T19" s="12"/>
    </row>
    <row r="20" spans="2:20" x14ac:dyDescent="0.25">
      <c r="B20" s="12"/>
      <c r="C20" s="12"/>
      <c r="D20" s="12"/>
      <c r="E20" s="12"/>
      <c r="F20" s="12"/>
      <c r="G20" s="12"/>
      <c r="H20" s="12"/>
      <c r="I20" s="12"/>
      <c r="J20" s="12"/>
      <c r="K20" s="12"/>
      <c r="L20" s="12"/>
      <c r="M20" s="12"/>
      <c r="N20" s="12"/>
      <c r="O20" s="12"/>
      <c r="P20" s="12"/>
      <c r="Q20" s="12"/>
      <c r="R20" s="12"/>
      <c r="S20" s="12"/>
      <c r="T20" s="12"/>
    </row>
    <row r="21" spans="2:20" x14ac:dyDescent="0.25">
      <c r="B21" s="12"/>
      <c r="C21" s="12"/>
      <c r="D21" s="12"/>
      <c r="E21" s="12"/>
      <c r="F21" s="12"/>
      <c r="G21" s="12"/>
      <c r="H21" s="12"/>
      <c r="I21" s="12"/>
      <c r="J21" s="12"/>
      <c r="K21" s="12"/>
      <c r="L21" s="12"/>
      <c r="M21" s="12"/>
      <c r="N21" s="12"/>
      <c r="O21" s="12"/>
      <c r="P21" s="12"/>
      <c r="Q21" s="12"/>
      <c r="R21" s="12"/>
      <c r="S21" s="12"/>
      <c r="T21" s="12"/>
    </row>
    <row r="22" spans="2:20" x14ac:dyDescent="0.25">
      <c r="B22" s="12"/>
      <c r="C22" s="12"/>
      <c r="D22" s="12"/>
      <c r="E22" s="12"/>
      <c r="F22" s="12"/>
      <c r="G22" s="12"/>
      <c r="H22" s="12"/>
      <c r="I22" s="12"/>
      <c r="J22" s="12"/>
      <c r="K22" s="12"/>
      <c r="L22" s="12"/>
      <c r="M22" s="12"/>
      <c r="N22" s="12"/>
      <c r="O22" s="12"/>
      <c r="P22" s="12"/>
      <c r="Q22" s="12"/>
      <c r="R22" s="12"/>
      <c r="S22" s="12"/>
      <c r="T22" s="12"/>
    </row>
    <row r="23" spans="2:20" x14ac:dyDescent="0.25">
      <c r="B23" s="12"/>
      <c r="C23" s="12"/>
      <c r="D23" s="12"/>
      <c r="E23" s="12"/>
      <c r="F23" s="12"/>
      <c r="G23" s="12"/>
      <c r="H23" s="12"/>
      <c r="I23" s="12"/>
      <c r="J23" s="12"/>
      <c r="K23" s="12"/>
      <c r="L23" s="12"/>
      <c r="M23" s="12"/>
      <c r="N23" s="12"/>
      <c r="O23" s="12"/>
      <c r="P23" s="12"/>
      <c r="Q23" s="12"/>
      <c r="R23" s="12"/>
      <c r="S23" s="12"/>
      <c r="T23" s="12"/>
    </row>
    <row r="24" spans="2:20" x14ac:dyDescent="0.25">
      <c r="B24" s="12"/>
      <c r="C24" s="12"/>
      <c r="D24" s="12"/>
      <c r="E24" s="12"/>
      <c r="F24" s="12"/>
      <c r="G24" s="12"/>
      <c r="H24" s="12"/>
      <c r="I24" s="12"/>
      <c r="J24" s="12"/>
      <c r="K24" s="12"/>
      <c r="L24" s="12"/>
      <c r="M24" s="12"/>
      <c r="N24" s="12"/>
      <c r="O24" s="12"/>
      <c r="P24" s="12"/>
      <c r="Q24" s="12"/>
      <c r="R24" s="12"/>
      <c r="S24" s="12"/>
      <c r="T24" s="12"/>
    </row>
    <row r="25" spans="2:20" x14ac:dyDescent="0.25">
      <c r="B25" s="12"/>
      <c r="C25" s="12"/>
      <c r="D25" s="12"/>
      <c r="E25" s="12"/>
      <c r="F25" s="12"/>
      <c r="G25" s="12"/>
      <c r="H25" s="12"/>
      <c r="I25" s="12"/>
      <c r="J25" s="12"/>
      <c r="K25" s="12"/>
      <c r="L25" s="12"/>
      <c r="M25" s="12"/>
      <c r="N25" s="12"/>
      <c r="O25" s="12"/>
      <c r="P25" s="12"/>
      <c r="Q25" s="12"/>
      <c r="R25" s="12"/>
      <c r="S25" s="12"/>
      <c r="T25" s="12"/>
    </row>
    <row r="26" spans="2:20" x14ac:dyDescent="0.25">
      <c r="B26" s="12"/>
      <c r="C26" s="12"/>
      <c r="D26" s="12"/>
      <c r="E26" s="12"/>
      <c r="F26" s="12"/>
      <c r="G26" s="12"/>
      <c r="H26" s="12"/>
      <c r="I26" s="12"/>
      <c r="J26" s="12"/>
      <c r="K26" s="12"/>
      <c r="L26" s="12"/>
      <c r="M26" s="12"/>
      <c r="N26" s="12"/>
      <c r="O26" s="12"/>
      <c r="P26" s="12"/>
      <c r="Q26" s="12"/>
      <c r="R26" s="12"/>
      <c r="S26" s="12"/>
      <c r="T26" s="12"/>
    </row>
    <row r="27" spans="2:20" x14ac:dyDescent="0.25">
      <c r="B27" s="12"/>
      <c r="C27" s="12"/>
      <c r="D27" s="12"/>
      <c r="E27" s="12"/>
      <c r="F27" s="12"/>
      <c r="G27" s="12"/>
      <c r="H27" s="12"/>
      <c r="I27" s="12"/>
      <c r="J27" s="12"/>
      <c r="K27" s="12"/>
      <c r="L27" s="12"/>
      <c r="M27" s="12"/>
      <c r="N27" s="12"/>
      <c r="O27" s="12"/>
      <c r="P27" s="12"/>
      <c r="Q27" s="12"/>
      <c r="R27" s="12"/>
      <c r="S27" s="12"/>
      <c r="T27" s="12"/>
    </row>
    <row r="28" spans="2:20" x14ac:dyDescent="0.25">
      <c r="B28" s="12"/>
      <c r="C28" s="12"/>
      <c r="D28" s="12"/>
      <c r="E28" s="12"/>
      <c r="F28" s="12"/>
      <c r="G28" s="12"/>
      <c r="H28" s="12"/>
      <c r="I28" s="12"/>
      <c r="J28" s="12"/>
      <c r="K28" s="12"/>
      <c r="L28" s="12"/>
      <c r="M28" s="12"/>
      <c r="N28" s="12"/>
      <c r="O28" s="12"/>
      <c r="P28" s="12"/>
      <c r="Q28" s="12"/>
      <c r="R28" s="12"/>
      <c r="S28" s="12"/>
      <c r="T28" s="12"/>
    </row>
    <row r="29" spans="2:20" x14ac:dyDescent="0.25">
      <c r="B29" s="12"/>
      <c r="C29" s="12"/>
      <c r="D29" s="12"/>
      <c r="E29" s="12"/>
      <c r="F29" s="12"/>
      <c r="G29" s="12"/>
      <c r="H29" s="12"/>
      <c r="I29" s="12"/>
      <c r="J29" s="12"/>
      <c r="K29" s="12"/>
      <c r="L29" s="12"/>
      <c r="M29" s="12"/>
      <c r="N29" s="12"/>
      <c r="O29" s="12"/>
      <c r="P29" s="12"/>
      <c r="Q29" s="12"/>
      <c r="R29" s="12"/>
      <c r="S29" s="12"/>
      <c r="T29" s="12"/>
    </row>
    <row r="30" spans="2:20" x14ac:dyDescent="0.25">
      <c r="B30" s="12"/>
      <c r="C30" s="12"/>
      <c r="D30" s="12"/>
      <c r="E30" s="12"/>
      <c r="F30" s="12"/>
      <c r="G30" s="12"/>
      <c r="H30" s="12"/>
      <c r="I30" s="12"/>
      <c r="J30" s="12"/>
      <c r="K30" s="12"/>
      <c r="L30" s="12"/>
      <c r="M30" s="12"/>
      <c r="N30" s="12"/>
      <c r="O30" s="12"/>
      <c r="P30" s="12"/>
      <c r="Q30" s="12"/>
      <c r="R30" s="12"/>
      <c r="S30" s="12"/>
      <c r="T30" s="12"/>
    </row>
    <row r="31" spans="2:20" x14ac:dyDescent="0.25">
      <c r="B31" s="12"/>
      <c r="C31" s="12"/>
      <c r="D31" s="12"/>
      <c r="E31" s="12"/>
      <c r="F31" s="12"/>
      <c r="G31" s="12"/>
      <c r="H31" s="12"/>
      <c r="I31" s="12"/>
      <c r="J31" s="12"/>
      <c r="K31" s="12"/>
      <c r="L31" s="12"/>
      <c r="M31" s="12"/>
      <c r="N31" s="12"/>
      <c r="O31" s="12"/>
      <c r="P31" s="12"/>
      <c r="Q31" s="12"/>
      <c r="R31" s="12"/>
      <c r="S31" s="12"/>
      <c r="T31" s="12"/>
    </row>
    <row r="32" spans="2:20" x14ac:dyDescent="0.25">
      <c r="B32" s="12"/>
      <c r="C32" s="12"/>
      <c r="D32" s="12"/>
      <c r="E32" s="12"/>
      <c r="F32" s="12"/>
      <c r="G32" s="12"/>
      <c r="H32" s="12"/>
      <c r="I32" s="12"/>
      <c r="J32" s="12"/>
      <c r="K32" s="12"/>
      <c r="L32" s="12"/>
      <c r="M32" s="12"/>
      <c r="N32" s="12"/>
      <c r="O32" s="12"/>
      <c r="P32" s="12"/>
      <c r="Q32" s="12"/>
      <c r="R32" s="12"/>
      <c r="S32" s="12"/>
      <c r="T32" s="12"/>
    </row>
    <row r="33" spans="2:20" x14ac:dyDescent="0.25">
      <c r="B33" s="12"/>
      <c r="C33" s="12"/>
      <c r="D33" s="12"/>
      <c r="E33" s="12"/>
      <c r="F33" s="12"/>
      <c r="G33" s="12"/>
      <c r="H33" s="12"/>
      <c r="I33" s="12"/>
      <c r="J33" s="12"/>
      <c r="K33" s="12"/>
      <c r="L33" s="12"/>
      <c r="M33" s="12"/>
      <c r="N33" s="12"/>
      <c r="O33" s="12"/>
      <c r="P33" s="12"/>
      <c r="Q33" s="12"/>
      <c r="R33" s="12"/>
      <c r="S33" s="12"/>
      <c r="T33" s="12"/>
    </row>
    <row r="34" spans="2:20" x14ac:dyDescent="0.25">
      <c r="B34" s="12"/>
      <c r="C34" s="12"/>
      <c r="D34" s="12"/>
      <c r="E34" s="12"/>
      <c r="F34" s="12"/>
      <c r="G34" s="12"/>
      <c r="H34" s="12"/>
      <c r="I34" s="12"/>
      <c r="J34" s="12"/>
      <c r="K34" s="12"/>
      <c r="L34" s="12"/>
      <c r="M34" s="12"/>
      <c r="N34" s="12"/>
      <c r="O34" s="12"/>
      <c r="P34" s="12"/>
      <c r="Q34" s="12"/>
      <c r="R34" s="12"/>
      <c r="S34" s="12"/>
      <c r="T34" s="12"/>
    </row>
    <row r="35" spans="2:20" x14ac:dyDescent="0.25">
      <c r="B35" s="12"/>
      <c r="C35" s="12"/>
      <c r="D35" s="12"/>
      <c r="E35" s="12"/>
      <c r="F35" s="12"/>
      <c r="G35" s="12"/>
      <c r="H35" s="12"/>
      <c r="I35" s="12"/>
      <c r="J35" s="12"/>
      <c r="K35" s="12"/>
      <c r="L35" s="12"/>
      <c r="M35" s="12"/>
      <c r="N35" s="12"/>
      <c r="O35" s="12"/>
      <c r="P35" s="12"/>
      <c r="Q35" s="12"/>
      <c r="R35" s="12"/>
      <c r="S35" s="12"/>
      <c r="T35" s="12"/>
    </row>
    <row r="36" spans="2:20" x14ac:dyDescent="0.25">
      <c r="B36" s="12"/>
      <c r="C36" s="12"/>
      <c r="D36" s="12"/>
      <c r="E36" s="12"/>
      <c r="F36" s="12"/>
      <c r="G36" s="12"/>
      <c r="H36" s="12"/>
      <c r="I36" s="12"/>
      <c r="J36" s="12"/>
      <c r="K36" s="12"/>
      <c r="L36" s="12"/>
      <c r="M36" s="12"/>
      <c r="N36" s="12"/>
      <c r="O36" s="12"/>
      <c r="P36" s="12"/>
      <c r="Q36" s="12"/>
      <c r="R36" s="12"/>
      <c r="S36" s="12"/>
      <c r="T36" s="12"/>
    </row>
    <row r="37" spans="2:20" x14ac:dyDescent="0.25">
      <c r="B37" s="12"/>
      <c r="C37" s="12"/>
      <c r="D37" s="12"/>
      <c r="E37" s="12"/>
      <c r="F37" s="12"/>
      <c r="G37" s="12"/>
      <c r="H37" s="12"/>
      <c r="I37" s="12"/>
      <c r="J37" s="12"/>
      <c r="K37" s="12"/>
      <c r="L37" s="12"/>
      <c r="M37" s="12"/>
      <c r="N37" s="12"/>
      <c r="O37" s="12"/>
      <c r="P37" s="12"/>
      <c r="Q37" s="12"/>
      <c r="R37" s="12"/>
      <c r="S37" s="12"/>
      <c r="T37" s="12"/>
    </row>
    <row r="38" spans="2:20" x14ac:dyDescent="0.25">
      <c r="B38" s="12"/>
      <c r="C38" s="12"/>
      <c r="D38" s="12"/>
      <c r="E38" s="12"/>
      <c r="F38" s="12"/>
      <c r="G38" s="12"/>
      <c r="H38" s="12"/>
      <c r="I38" s="12"/>
      <c r="J38" s="12"/>
      <c r="K38" s="12"/>
      <c r="L38" s="12"/>
      <c r="M38" s="12"/>
      <c r="N38" s="12"/>
      <c r="O38" s="12"/>
      <c r="P38" s="12"/>
      <c r="Q38" s="12"/>
      <c r="R38" s="12"/>
      <c r="S38" s="12"/>
      <c r="T38" s="12"/>
    </row>
    <row r="39" spans="2:20" x14ac:dyDescent="0.25">
      <c r="B39" s="12"/>
      <c r="C39" s="12"/>
      <c r="D39" s="12"/>
      <c r="E39" s="12"/>
      <c r="F39" s="12"/>
      <c r="G39" s="12"/>
      <c r="H39" s="12"/>
      <c r="I39" s="12"/>
      <c r="J39" s="12"/>
      <c r="K39" s="12"/>
      <c r="L39" s="12"/>
      <c r="M39" s="12"/>
      <c r="N39" s="12"/>
      <c r="O39" s="12"/>
      <c r="P39" s="12"/>
      <c r="Q39" s="12"/>
      <c r="R39" s="12"/>
      <c r="S39" s="12"/>
      <c r="T39" s="12"/>
    </row>
    <row r="40" spans="2:20" x14ac:dyDescent="0.25">
      <c r="B40" s="12"/>
      <c r="C40" s="12"/>
      <c r="D40" s="12"/>
      <c r="E40" s="12"/>
      <c r="F40" s="12"/>
      <c r="G40" s="12"/>
      <c r="H40" s="12"/>
      <c r="I40" s="12"/>
      <c r="J40" s="12"/>
      <c r="K40" s="12"/>
      <c r="L40" s="12"/>
      <c r="M40" s="12"/>
      <c r="N40" s="12"/>
      <c r="O40" s="12"/>
      <c r="P40" s="12"/>
      <c r="Q40" s="12"/>
      <c r="R40" s="12"/>
      <c r="S40" s="12"/>
      <c r="T40" s="12"/>
    </row>
    <row r="41" spans="2:20" x14ac:dyDescent="0.25">
      <c r="B41" s="12"/>
      <c r="C41" s="12"/>
      <c r="D41" s="12"/>
      <c r="E41" s="12"/>
      <c r="F41" s="12"/>
      <c r="G41" s="12"/>
      <c r="H41" s="12"/>
      <c r="I41" s="12"/>
      <c r="J41" s="12"/>
      <c r="K41" s="12"/>
      <c r="L41" s="12"/>
      <c r="M41" s="12"/>
      <c r="N41" s="12"/>
      <c r="O41" s="12"/>
      <c r="P41" s="12"/>
      <c r="Q41" s="12"/>
      <c r="R41" s="12"/>
      <c r="S41" s="12"/>
      <c r="T41" s="12"/>
    </row>
    <row r="42" spans="2:20" x14ac:dyDescent="0.25">
      <c r="B42" s="12"/>
      <c r="C42" s="12"/>
      <c r="D42" s="12"/>
      <c r="E42" s="12"/>
      <c r="F42" s="12"/>
      <c r="G42" s="12"/>
      <c r="H42" s="12"/>
      <c r="I42" s="12"/>
      <c r="J42" s="12"/>
      <c r="K42" s="12"/>
      <c r="L42" s="12"/>
      <c r="M42" s="12"/>
      <c r="N42" s="12"/>
      <c r="O42" s="12"/>
      <c r="P42" s="12"/>
      <c r="Q42" s="12"/>
      <c r="R42" s="12"/>
      <c r="S42" s="12"/>
      <c r="T42" s="12"/>
    </row>
    <row r="43" spans="2:20" x14ac:dyDescent="0.25">
      <c r="B43" s="12"/>
      <c r="C43" s="12"/>
      <c r="D43" s="12"/>
      <c r="E43" s="12"/>
      <c r="F43" s="12"/>
      <c r="G43" s="12"/>
      <c r="H43" s="12"/>
      <c r="I43" s="12"/>
      <c r="J43" s="12"/>
      <c r="K43" s="12"/>
      <c r="L43" s="12"/>
      <c r="M43" s="12"/>
      <c r="N43" s="12"/>
      <c r="O43" s="12"/>
      <c r="P43" s="12"/>
      <c r="Q43" s="12"/>
      <c r="R43" s="12"/>
      <c r="S43" s="12"/>
      <c r="T43" s="12"/>
    </row>
    <row r="44" spans="2:20" x14ac:dyDescent="0.25">
      <c r="B44" s="12"/>
      <c r="C44" s="12"/>
      <c r="D44" s="12"/>
      <c r="E44" s="12"/>
      <c r="F44" s="12"/>
      <c r="G44" s="12"/>
      <c r="H44" s="12"/>
      <c r="I44" s="12"/>
      <c r="J44" s="12"/>
      <c r="K44" s="12"/>
      <c r="L44" s="12"/>
      <c r="M44" s="12"/>
      <c r="N44" s="12"/>
      <c r="O44" s="12"/>
      <c r="P44" s="12"/>
      <c r="Q44" s="12"/>
      <c r="R44" s="12"/>
      <c r="S44" s="12"/>
      <c r="T44" s="12"/>
    </row>
    <row r="45" spans="2:20" x14ac:dyDescent="0.25">
      <c r="B45" s="12"/>
      <c r="C45" s="12"/>
      <c r="D45" s="12"/>
      <c r="E45" s="12"/>
      <c r="F45" s="12"/>
      <c r="G45" s="12"/>
      <c r="H45" s="12"/>
      <c r="I45" s="12"/>
      <c r="J45" s="12"/>
      <c r="K45" s="12"/>
      <c r="L45" s="12"/>
      <c r="M45" s="12"/>
      <c r="N45" s="12"/>
      <c r="O45" s="12"/>
      <c r="P45" s="12"/>
      <c r="Q45" s="12"/>
      <c r="R45" s="12"/>
      <c r="S45" s="12"/>
      <c r="T45" s="12"/>
    </row>
    <row r="46" spans="2:20" x14ac:dyDescent="0.25">
      <c r="B46" s="12"/>
      <c r="C46" s="12"/>
      <c r="D46" s="12"/>
      <c r="E46" s="12"/>
      <c r="F46" s="12"/>
      <c r="G46" s="12"/>
      <c r="H46" s="12"/>
      <c r="I46" s="12"/>
      <c r="J46" s="12"/>
      <c r="K46" s="12"/>
      <c r="L46" s="12"/>
      <c r="M46" s="12"/>
      <c r="N46" s="12"/>
      <c r="O46" s="12"/>
      <c r="P46" s="12"/>
      <c r="Q46" s="12"/>
      <c r="R46" s="12"/>
      <c r="S46" s="12"/>
      <c r="T46" s="12"/>
    </row>
    <row r="47" spans="2:20" x14ac:dyDescent="0.25">
      <c r="B47" s="12"/>
      <c r="C47" s="12"/>
      <c r="D47" s="12"/>
      <c r="E47" s="12"/>
      <c r="F47" s="12"/>
      <c r="G47" s="12"/>
      <c r="H47" s="12"/>
      <c r="I47" s="12"/>
      <c r="J47" s="12"/>
      <c r="K47" s="12"/>
      <c r="L47" s="12"/>
      <c r="M47" s="12"/>
      <c r="N47" s="12"/>
      <c r="O47" s="12"/>
      <c r="P47" s="12"/>
      <c r="Q47" s="12"/>
      <c r="R47" s="12"/>
      <c r="S47" s="12"/>
      <c r="T47" s="12"/>
    </row>
    <row r="48" spans="2:20" x14ac:dyDescent="0.25">
      <c r="B48" s="12"/>
      <c r="C48" s="12"/>
      <c r="D48" s="12"/>
      <c r="E48" s="12"/>
      <c r="F48" s="12"/>
      <c r="G48" s="12"/>
      <c r="H48" s="12"/>
      <c r="I48" s="12"/>
      <c r="J48" s="12"/>
      <c r="K48" s="12"/>
      <c r="L48" s="12"/>
      <c r="M48" s="12"/>
      <c r="N48" s="12"/>
      <c r="O48" s="12"/>
      <c r="P48" s="12"/>
      <c r="Q48" s="12"/>
      <c r="R48" s="12"/>
      <c r="S48" s="12"/>
      <c r="T48" s="12"/>
    </row>
    <row r="49" spans="2:20" x14ac:dyDescent="0.25">
      <c r="B49" s="12"/>
      <c r="C49" s="12"/>
      <c r="D49" s="12"/>
      <c r="E49" s="12"/>
      <c r="F49" s="12"/>
      <c r="G49" s="12"/>
      <c r="H49" s="12"/>
      <c r="I49" s="12"/>
      <c r="J49" s="12"/>
      <c r="K49" s="12"/>
      <c r="L49" s="12"/>
      <c r="M49" s="12"/>
      <c r="N49" s="12"/>
      <c r="O49" s="12"/>
      <c r="P49" s="12"/>
      <c r="Q49" s="12"/>
      <c r="R49" s="12"/>
      <c r="S49" s="12"/>
      <c r="T49" s="12"/>
    </row>
    <row r="50" spans="2:20" x14ac:dyDescent="0.25">
      <c r="B50" s="12"/>
      <c r="C50" s="12"/>
      <c r="D50" s="12"/>
      <c r="E50" s="12"/>
      <c r="F50" s="12"/>
      <c r="G50" s="12"/>
      <c r="H50" s="12"/>
      <c r="I50" s="12"/>
      <c r="J50" s="12"/>
      <c r="K50" s="12"/>
      <c r="L50" s="12"/>
      <c r="M50" s="12"/>
      <c r="N50" s="12"/>
      <c r="O50" s="12"/>
      <c r="P50" s="12"/>
      <c r="Q50" s="12"/>
      <c r="R50" s="12"/>
      <c r="S50" s="12"/>
      <c r="T50" s="12"/>
    </row>
    <row r="51" spans="2:20" x14ac:dyDescent="0.25">
      <c r="B51" s="12"/>
      <c r="C51" s="12"/>
      <c r="D51" s="12"/>
      <c r="E51" s="12"/>
      <c r="F51" s="12"/>
      <c r="G51" s="12"/>
      <c r="H51" s="12"/>
      <c r="I51" s="12"/>
      <c r="J51" s="12"/>
      <c r="K51" s="12"/>
      <c r="L51" s="12"/>
      <c r="M51" s="12"/>
      <c r="N51" s="12"/>
      <c r="O51" s="12"/>
      <c r="P51" s="12"/>
      <c r="Q51" s="12"/>
      <c r="R51" s="12"/>
      <c r="S51" s="12"/>
      <c r="T51" s="12"/>
    </row>
    <row r="52" spans="2:20" x14ac:dyDescent="0.25">
      <c r="B52" s="12"/>
      <c r="C52" s="12"/>
      <c r="D52" s="12"/>
      <c r="E52" s="12"/>
      <c r="F52" s="12"/>
      <c r="G52" s="12"/>
      <c r="H52" s="12"/>
      <c r="I52" s="12"/>
      <c r="J52" s="12"/>
      <c r="K52" s="12"/>
      <c r="L52" s="12"/>
      <c r="M52" s="12"/>
      <c r="N52" s="12"/>
      <c r="O52" s="12"/>
      <c r="P52" s="12"/>
      <c r="Q52" s="12"/>
      <c r="R52" s="12"/>
      <c r="S52" s="12"/>
      <c r="T52" s="12"/>
    </row>
    <row r="53" spans="2:20" x14ac:dyDescent="0.25">
      <c r="B53" s="12"/>
      <c r="C53" s="12"/>
      <c r="D53" s="12"/>
      <c r="E53" s="12"/>
      <c r="F53" s="12"/>
      <c r="G53" s="12"/>
      <c r="H53" s="12"/>
      <c r="I53" s="12"/>
      <c r="J53" s="12"/>
      <c r="K53" s="12"/>
      <c r="L53" s="12"/>
      <c r="M53" s="12"/>
      <c r="N53" s="12"/>
      <c r="O53" s="12"/>
      <c r="P53" s="12"/>
      <c r="Q53" s="12"/>
      <c r="R53" s="12"/>
      <c r="S53" s="12"/>
      <c r="T53" s="12"/>
    </row>
    <row r="54" spans="2:20" x14ac:dyDescent="0.25">
      <c r="B54" s="12"/>
      <c r="C54" s="12"/>
      <c r="D54" s="12"/>
      <c r="E54" s="12"/>
      <c r="F54" s="12"/>
      <c r="G54" s="12"/>
      <c r="H54" s="12"/>
      <c r="I54" s="12"/>
      <c r="J54" s="12"/>
      <c r="K54" s="12"/>
      <c r="L54" s="12"/>
      <c r="M54" s="12"/>
      <c r="N54" s="12"/>
      <c r="O54" s="12"/>
      <c r="P54" s="12"/>
      <c r="Q54" s="12"/>
      <c r="R54" s="12"/>
      <c r="S54" s="12"/>
      <c r="T54" s="12"/>
    </row>
    <row r="55" spans="2:20" x14ac:dyDescent="0.25">
      <c r="B55" s="12"/>
      <c r="C55" s="12"/>
      <c r="D55" s="12"/>
      <c r="E55" s="12"/>
      <c r="F55" s="12"/>
      <c r="G55" s="12"/>
      <c r="H55" s="12"/>
      <c r="I55" s="12"/>
      <c r="J55" s="12"/>
      <c r="K55" s="12"/>
      <c r="L55" s="12"/>
      <c r="M55" s="12"/>
      <c r="N55" s="12"/>
      <c r="O55" s="12"/>
      <c r="P55" s="12"/>
      <c r="Q55" s="12"/>
      <c r="R55" s="12"/>
      <c r="S55" s="12"/>
      <c r="T55" s="12"/>
    </row>
    <row r="56" spans="2:20" x14ac:dyDescent="0.25">
      <c r="B56" s="12"/>
      <c r="C56" s="12"/>
      <c r="D56" s="12"/>
      <c r="E56" s="12"/>
      <c r="F56" s="12"/>
      <c r="G56" s="12"/>
      <c r="H56" s="12"/>
      <c r="I56" s="12"/>
      <c r="J56" s="12"/>
      <c r="K56" s="12"/>
      <c r="L56" s="12"/>
      <c r="M56" s="12"/>
      <c r="N56" s="12"/>
      <c r="O56" s="12"/>
      <c r="P56" s="12"/>
      <c r="Q56" s="12"/>
      <c r="R56" s="12"/>
      <c r="S56" s="12"/>
      <c r="T56" s="12"/>
    </row>
    <row r="57" spans="2:20" x14ac:dyDescent="0.25">
      <c r="B57" s="12"/>
      <c r="C57" s="12"/>
      <c r="D57" s="12"/>
      <c r="E57" s="12"/>
      <c r="F57" s="12"/>
      <c r="G57" s="12"/>
      <c r="H57" s="12"/>
      <c r="I57" s="12"/>
      <c r="J57" s="12"/>
      <c r="K57" s="12"/>
      <c r="L57" s="12"/>
      <c r="M57" s="12"/>
      <c r="N57" s="12"/>
      <c r="O57" s="12"/>
      <c r="P57" s="12"/>
      <c r="Q57" s="12"/>
      <c r="R57" s="12"/>
      <c r="S57" s="12"/>
      <c r="T57" s="12"/>
    </row>
    <row r="58" spans="2:20" x14ac:dyDescent="0.25">
      <c r="B58" s="12"/>
      <c r="C58" s="12"/>
      <c r="D58" s="12"/>
      <c r="E58" s="12"/>
      <c r="F58" s="12"/>
      <c r="G58" s="12"/>
      <c r="H58" s="12"/>
      <c r="I58" s="12"/>
      <c r="J58" s="12"/>
      <c r="K58" s="12"/>
      <c r="L58" s="12"/>
      <c r="M58" s="12"/>
      <c r="N58" s="12"/>
      <c r="O58" s="12"/>
      <c r="P58" s="12"/>
      <c r="Q58" s="12"/>
      <c r="R58" s="12"/>
      <c r="S58" s="12"/>
      <c r="T58" s="12"/>
    </row>
    <row r="59" spans="2:20" x14ac:dyDescent="0.25">
      <c r="B59" s="12"/>
      <c r="C59" s="12"/>
      <c r="D59" s="12"/>
      <c r="E59" s="12"/>
      <c r="F59" s="12"/>
      <c r="G59" s="12"/>
      <c r="H59" s="12"/>
      <c r="I59" s="12"/>
      <c r="J59" s="12"/>
      <c r="K59" s="12"/>
      <c r="L59" s="12"/>
      <c r="M59" s="12"/>
      <c r="N59" s="12"/>
      <c r="O59" s="12"/>
      <c r="P59" s="12"/>
      <c r="Q59" s="12"/>
      <c r="R59" s="12"/>
      <c r="S59" s="12"/>
      <c r="T59" s="12"/>
    </row>
    <row r="60" spans="2:20" x14ac:dyDescent="0.25">
      <c r="B60" s="12"/>
      <c r="C60" s="12"/>
      <c r="D60" s="12"/>
      <c r="E60" s="12"/>
      <c r="F60" s="12"/>
      <c r="G60" s="12"/>
      <c r="H60" s="12"/>
      <c r="I60" s="12"/>
      <c r="J60" s="12"/>
      <c r="K60" s="12"/>
      <c r="L60" s="12"/>
      <c r="M60" s="12"/>
      <c r="N60" s="12"/>
      <c r="O60" s="12"/>
      <c r="P60" s="12"/>
      <c r="Q60" s="12"/>
      <c r="R60" s="12"/>
      <c r="S60" s="12"/>
      <c r="T6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zoomScaleNormal="100" workbookViewId="0">
      <selection activeCell="O15" sqref="O15"/>
    </sheetView>
  </sheetViews>
  <sheetFormatPr defaultRowHeight="15" x14ac:dyDescent="0.25"/>
  <cols>
    <col min="1" max="1" width="12.42578125" customWidth="1"/>
    <col min="2" max="2" width="6.5703125" customWidth="1"/>
    <col min="3" max="3" width="9.85546875" customWidth="1"/>
    <col min="4" max="4" width="13.28515625" bestFit="1" customWidth="1"/>
    <col min="5" max="5" width="17.5703125" style="4" customWidth="1"/>
    <col min="6" max="6" width="16.85546875" style="4" customWidth="1"/>
    <col min="7" max="7" width="16.7109375" style="8" customWidth="1"/>
    <col min="8" max="8" width="13.5703125" customWidth="1"/>
    <col min="9" max="9" width="19.5703125" customWidth="1"/>
    <col min="10" max="10" width="19.85546875" bestFit="1" customWidth="1"/>
    <col min="11" max="11" width="17" customWidth="1"/>
    <col min="12" max="12" width="22" style="6" customWidth="1"/>
    <col min="13" max="13" width="19.7109375" bestFit="1" customWidth="1"/>
    <col min="14" max="14" width="17.5703125" bestFit="1" customWidth="1"/>
    <col min="15" max="15" width="13.28515625" bestFit="1" customWidth="1"/>
    <col min="16" max="16" width="15.5703125" bestFit="1" customWidth="1"/>
    <col min="17" max="17" width="25.85546875" bestFit="1" customWidth="1"/>
    <col min="18" max="18" width="19.140625" bestFit="1" customWidth="1"/>
    <col min="19" max="19" width="23.7109375" bestFit="1" customWidth="1"/>
    <col min="20" max="20" width="22" bestFit="1" customWidth="1"/>
  </cols>
  <sheetData>
    <row r="1" spans="1:20" x14ac:dyDescent="0.25">
      <c r="A1" s="1" t="s">
        <v>0</v>
      </c>
      <c r="B1" s="1" t="s">
        <v>1</v>
      </c>
      <c r="C1" s="1" t="s">
        <v>2</v>
      </c>
      <c r="D1" s="1" t="s">
        <v>3</v>
      </c>
      <c r="E1" s="3" t="s">
        <v>4</v>
      </c>
      <c r="F1" s="3" t="s">
        <v>5</v>
      </c>
      <c r="G1" s="7" t="s">
        <v>6</v>
      </c>
      <c r="H1" s="1" t="s">
        <v>7</v>
      </c>
      <c r="I1" s="1" t="s">
        <v>8</v>
      </c>
      <c r="J1" s="1" t="s">
        <v>9</v>
      </c>
      <c r="K1" s="1" t="s">
        <v>10</v>
      </c>
      <c r="L1" s="5" t="s">
        <v>11</v>
      </c>
      <c r="M1" s="1" t="s">
        <v>1029</v>
      </c>
      <c r="N1" s="1" t="s">
        <v>1030</v>
      </c>
      <c r="O1" s="1" t="s">
        <v>1031</v>
      </c>
      <c r="P1" s="1" t="s">
        <v>1032</v>
      </c>
      <c r="Q1" s="1" t="s">
        <v>1033</v>
      </c>
      <c r="R1" s="1" t="s">
        <v>1034</v>
      </c>
      <c r="S1" s="9" t="s">
        <v>1035</v>
      </c>
      <c r="T1" s="1" t="s">
        <v>1036</v>
      </c>
    </row>
    <row r="2" spans="1:20" x14ac:dyDescent="0.25">
      <c r="A2" t="s">
        <v>12</v>
      </c>
      <c r="B2">
        <v>53</v>
      </c>
      <c r="C2" t="s">
        <v>13</v>
      </c>
      <c r="D2" t="s">
        <v>14</v>
      </c>
      <c r="E2" s="4">
        <v>45985</v>
      </c>
      <c r="F2" s="4">
        <v>45987</v>
      </c>
      <c r="G2" s="8">
        <v>2</v>
      </c>
      <c r="H2" t="s">
        <v>15</v>
      </c>
      <c r="I2">
        <v>5</v>
      </c>
      <c r="J2" t="s">
        <v>16</v>
      </c>
      <c r="K2" t="s">
        <v>17</v>
      </c>
      <c r="L2" s="6">
        <v>11239.68</v>
      </c>
      <c r="M2" t="str">
        <f>TEXT(Table1[[#This Row],[Admission_Date]], "mmm")</f>
        <v>Nov</v>
      </c>
      <c r="N2">
        <f>YEAR(Table1[[#This Row],[Admission_Date]])</f>
        <v>2025</v>
      </c>
      <c r="O2" t="str">
        <f>IF(Table1[[#This Row],[Age]]&lt;30, "Young Adult", IF(Table1[[#This Row],[Age]]&lt;60, "Adult", "Senior"))</f>
        <v>Adult</v>
      </c>
      <c r="P2">
        <f>COUNTA(A2:A1001)</f>
        <v>1000</v>
      </c>
      <c r="Q2">
        <f>COUNTIF(H:H, "YES")</f>
        <v>306</v>
      </c>
      <c r="R2">
        <f>COUNTIF(H:H, "YES")/(COUNTA(A:A)-1)*100</f>
        <v>30.599999999999998</v>
      </c>
      <c r="S2" s="8">
        <f>AVERAGE(G:G)</f>
        <v>7.423</v>
      </c>
      <c r="T2" s="6">
        <f>SUM(L:L)</f>
        <v>7637562.6900000116</v>
      </c>
    </row>
    <row r="3" spans="1:20" x14ac:dyDescent="0.25">
      <c r="A3" t="s">
        <v>18</v>
      </c>
      <c r="B3">
        <v>22</v>
      </c>
      <c r="C3" t="s">
        <v>13</v>
      </c>
      <c r="D3" t="s">
        <v>19</v>
      </c>
      <c r="E3" s="4">
        <v>45937</v>
      </c>
      <c r="F3" s="4">
        <v>45939</v>
      </c>
      <c r="G3" s="8">
        <v>2</v>
      </c>
      <c r="H3" t="s">
        <v>20</v>
      </c>
      <c r="I3">
        <v>0</v>
      </c>
      <c r="J3" t="s">
        <v>21</v>
      </c>
      <c r="K3" t="s">
        <v>22</v>
      </c>
      <c r="L3" s="6">
        <v>7827.65</v>
      </c>
      <c r="M3" t="str">
        <f>TEXT(Table1[[#This Row],[Admission_Date]], "mmm")</f>
        <v>Oct</v>
      </c>
      <c r="N3">
        <f>YEAR(Table1[[#This Row],[Admission_Date]])</f>
        <v>2025</v>
      </c>
      <c r="O3" t="str">
        <f>IF(Table1[[#This Row],[Age]]&lt;30, "Young Adult", IF(Table1[[#This Row],[Age]]&lt;60, "Adult", "Senior"))</f>
        <v>Young Adult</v>
      </c>
    </row>
    <row r="4" spans="1:20" x14ac:dyDescent="0.25">
      <c r="A4" t="s">
        <v>23</v>
      </c>
      <c r="B4">
        <v>87</v>
      </c>
      <c r="C4" t="s">
        <v>24</v>
      </c>
      <c r="D4" t="s">
        <v>14</v>
      </c>
      <c r="E4" s="4">
        <v>45671</v>
      </c>
      <c r="F4" s="4">
        <v>45680</v>
      </c>
      <c r="G4" s="8">
        <v>9</v>
      </c>
      <c r="H4" t="s">
        <v>15</v>
      </c>
      <c r="I4">
        <v>15</v>
      </c>
      <c r="J4" t="s">
        <v>25</v>
      </c>
      <c r="K4" t="s">
        <v>22</v>
      </c>
      <c r="L4" s="6">
        <v>11502.71</v>
      </c>
      <c r="M4" t="str">
        <f>TEXT(Table1[[#This Row],[Admission_Date]], "mmm")</f>
        <v>Jan</v>
      </c>
      <c r="N4">
        <f>YEAR(Table1[[#This Row],[Admission_Date]])</f>
        <v>2025</v>
      </c>
      <c r="O4" t="str">
        <f>IF(Table1[[#This Row],[Age]]&lt;30, "Young Adult", IF(Table1[[#This Row],[Age]]&lt;60, "Adult", "Senior"))</f>
        <v>Senior</v>
      </c>
    </row>
    <row r="5" spans="1:20" x14ac:dyDescent="0.25">
      <c r="A5" t="s">
        <v>26</v>
      </c>
      <c r="B5">
        <v>53</v>
      </c>
      <c r="C5" t="s">
        <v>13</v>
      </c>
      <c r="D5" t="s">
        <v>14</v>
      </c>
      <c r="E5" s="4">
        <v>45739</v>
      </c>
      <c r="F5" s="4">
        <v>45751</v>
      </c>
      <c r="G5" s="8">
        <v>12</v>
      </c>
      <c r="H5" t="s">
        <v>20</v>
      </c>
      <c r="I5">
        <v>0</v>
      </c>
      <c r="J5" t="s">
        <v>25</v>
      </c>
      <c r="K5" t="s">
        <v>22</v>
      </c>
      <c r="L5" s="6">
        <v>1844.81</v>
      </c>
      <c r="M5" t="str">
        <f>TEXT(Table1[[#This Row],[Admission_Date]], "mmm")</f>
        <v>Mar</v>
      </c>
      <c r="N5">
        <f>YEAR(Table1[[#This Row],[Admission_Date]])</f>
        <v>2025</v>
      </c>
      <c r="O5" t="str">
        <f>IF(Table1[[#This Row],[Age]]&lt;30, "Young Adult", IF(Table1[[#This Row],[Age]]&lt;60, "Adult", "Senior"))</f>
        <v>Adult</v>
      </c>
    </row>
    <row r="6" spans="1:20" x14ac:dyDescent="0.25">
      <c r="A6" t="s">
        <v>27</v>
      </c>
      <c r="B6">
        <v>51</v>
      </c>
      <c r="C6" t="s">
        <v>13</v>
      </c>
      <c r="D6" t="s">
        <v>28</v>
      </c>
      <c r="E6" s="4">
        <v>45707</v>
      </c>
      <c r="F6" s="4">
        <v>45713</v>
      </c>
      <c r="G6" s="8">
        <v>6</v>
      </c>
      <c r="H6" t="s">
        <v>20</v>
      </c>
      <c r="I6">
        <v>0</v>
      </c>
      <c r="J6" t="s">
        <v>29</v>
      </c>
      <c r="K6" t="s">
        <v>17</v>
      </c>
      <c r="L6" s="6">
        <v>2309.98</v>
      </c>
      <c r="M6" t="str">
        <f>TEXT(Table1[[#This Row],[Admission_Date]], "mmm")</f>
        <v>Feb</v>
      </c>
      <c r="N6">
        <f>YEAR(Table1[[#This Row],[Admission_Date]])</f>
        <v>2025</v>
      </c>
      <c r="O6" t="str">
        <f>IF(Table1[[#This Row],[Age]]&lt;30, "Young Adult", IF(Table1[[#This Row],[Age]]&lt;60, "Adult", "Senior"))</f>
        <v>Adult</v>
      </c>
    </row>
    <row r="7" spans="1:20" x14ac:dyDescent="0.25">
      <c r="A7" t="s">
        <v>30</v>
      </c>
      <c r="B7">
        <v>64</v>
      </c>
      <c r="C7" t="s">
        <v>13</v>
      </c>
      <c r="D7" t="s">
        <v>28</v>
      </c>
      <c r="E7" s="4">
        <v>45851</v>
      </c>
      <c r="F7" s="4">
        <v>45853</v>
      </c>
      <c r="G7" s="8">
        <v>2</v>
      </c>
      <c r="H7" t="s">
        <v>20</v>
      </c>
      <c r="I7">
        <v>0</v>
      </c>
      <c r="J7" t="s">
        <v>16</v>
      </c>
      <c r="K7" t="s">
        <v>22</v>
      </c>
      <c r="L7" s="6">
        <v>10088.32</v>
      </c>
      <c r="M7" t="str">
        <f>TEXT(Table1[[#This Row],[Admission_Date]], "mmm")</f>
        <v>Jul</v>
      </c>
      <c r="N7">
        <f>YEAR(Table1[[#This Row],[Admission_Date]])</f>
        <v>2025</v>
      </c>
      <c r="O7" t="str">
        <f>IF(Table1[[#This Row],[Age]]&lt;30, "Young Adult", IF(Table1[[#This Row],[Age]]&lt;60, "Adult", "Senior"))</f>
        <v>Senior</v>
      </c>
    </row>
    <row r="8" spans="1:20" x14ac:dyDescent="0.25">
      <c r="A8" t="s">
        <v>31</v>
      </c>
      <c r="B8">
        <v>30</v>
      </c>
      <c r="C8" t="s">
        <v>24</v>
      </c>
      <c r="D8" t="s">
        <v>32</v>
      </c>
      <c r="E8" s="4">
        <v>45806</v>
      </c>
      <c r="F8" s="4">
        <v>45808</v>
      </c>
      <c r="G8" s="8">
        <v>2</v>
      </c>
      <c r="H8" t="s">
        <v>20</v>
      </c>
      <c r="I8">
        <v>0</v>
      </c>
      <c r="J8" t="s">
        <v>29</v>
      </c>
      <c r="K8" t="s">
        <v>17</v>
      </c>
      <c r="L8" s="6">
        <v>12594.6</v>
      </c>
      <c r="M8" t="str">
        <f>TEXT(Table1[[#This Row],[Admission_Date]], "mmm")</f>
        <v>May</v>
      </c>
      <c r="N8">
        <f>YEAR(Table1[[#This Row],[Admission_Date]])</f>
        <v>2025</v>
      </c>
      <c r="O8" t="str">
        <f>IF(Table1[[#This Row],[Age]]&lt;30, "Young Adult", IF(Table1[[#This Row],[Age]]&lt;60, "Adult", "Senior"))</f>
        <v>Adult</v>
      </c>
    </row>
    <row r="9" spans="1:20" x14ac:dyDescent="0.25">
      <c r="A9" t="s">
        <v>33</v>
      </c>
      <c r="B9">
        <v>52</v>
      </c>
      <c r="C9" t="s">
        <v>13</v>
      </c>
      <c r="D9" t="s">
        <v>34</v>
      </c>
      <c r="E9" s="4">
        <v>45741</v>
      </c>
      <c r="F9" s="4">
        <v>45747</v>
      </c>
      <c r="G9" s="8">
        <v>6</v>
      </c>
      <c r="H9" t="s">
        <v>20</v>
      </c>
      <c r="I9">
        <v>0</v>
      </c>
      <c r="J9" t="s">
        <v>21</v>
      </c>
      <c r="K9" t="s">
        <v>17</v>
      </c>
      <c r="L9" s="6">
        <v>11072.34</v>
      </c>
      <c r="M9" t="str">
        <f>TEXT(Table1[[#This Row],[Admission_Date]], "mmm")</f>
        <v>Mar</v>
      </c>
      <c r="N9">
        <f>YEAR(Table1[[#This Row],[Admission_Date]])</f>
        <v>2025</v>
      </c>
      <c r="O9" t="str">
        <f>IF(Table1[[#This Row],[Age]]&lt;30, "Young Adult", IF(Table1[[#This Row],[Age]]&lt;60, "Adult", "Senior"))</f>
        <v>Adult</v>
      </c>
    </row>
    <row r="10" spans="1:20" x14ac:dyDescent="0.25">
      <c r="A10" t="s">
        <v>35</v>
      </c>
      <c r="B10">
        <v>89</v>
      </c>
      <c r="C10" t="s">
        <v>13</v>
      </c>
      <c r="D10" t="s">
        <v>28</v>
      </c>
      <c r="E10" s="4">
        <v>45741</v>
      </c>
      <c r="F10" s="4">
        <v>45749</v>
      </c>
      <c r="G10" s="8">
        <v>8</v>
      </c>
      <c r="H10" t="s">
        <v>20</v>
      </c>
      <c r="I10">
        <v>0</v>
      </c>
      <c r="J10" t="s">
        <v>25</v>
      </c>
      <c r="K10" t="s">
        <v>22</v>
      </c>
      <c r="L10" s="6">
        <v>3821.2</v>
      </c>
      <c r="M10" t="str">
        <f>TEXT(Table1[[#This Row],[Admission_Date]], "mmm")</f>
        <v>Mar</v>
      </c>
      <c r="N10">
        <f>YEAR(Table1[[#This Row],[Admission_Date]])</f>
        <v>2025</v>
      </c>
      <c r="O10" t="str">
        <f>IF(Table1[[#This Row],[Age]]&lt;30, "Young Adult", IF(Table1[[#This Row],[Age]]&lt;60, "Adult", "Senior"))</f>
        <v>Senior</v>
      </c>
    </row>
    <row r="11" spans="1:20" x14ac:dyDescent="0.25">
      <c r="A11" t="s">
        <v>36</v>
      </c>
      <c r="B11">
        <v>52</v>
      </c>
      <c r="C11" t="s">
        <v>13</v>
      </c>
      <c r="D11" t="s">
        <v>14</v>
      </c>
      <c r="E11" s="4">
        <v>45674</v>
      </c>
      <c r="F11" s="4">
        <v>45687</v>
      </c>
      <c r="G11" s="8">
        <v>13</v>
      </c>
      <c r="H11" t="s">
        <v>20</v>
      </c>
      <c r="I11">
        <v>0</v>
      </c>
      <c r="J11" t="s">
        <v>25</v>
      </c>
      <c r="K11" t="s">
        <v>22</v>
      </c>
      <c r="L11" s="6">
        <v>10003.86</v>
      </c>
      <c r="M11" t="str">
        <f>TEXT(Table1[[#This Row],[Admission_Date]], "mmm")</f>
        <v>Jan</v>
      </c>
      <c r="N11">
        <f>YEAR(Table1[[#This Row],[Admission_Date]])</f>
        <v>2025</v>
      </c>
      <c r="O11" t="str">
        <f>IF(Table1[[#This Row],[Age]]&lt;30, "Young Adult", IF(Table1[[#This Row],[Age]]&lt;60, "Adult", "Senior"))</f>
        <v>Adult</v>
      </c>
    </row>
    <row r="12" spans="1:20" x14ac:dyDescent="0.25">
      <c r="A12" t="s">
        <v>37</v>
      </c>
      <c r="B12">
        <v>51</v>
      </c>
      <c r="C12" t="s">
        <v>13</v>
      </c>
      <c r="D12" t="s">
        <v>14</v>
      </c>
      <c r="E12" s="4">
        <v>45860</v>
      </c>
      <c r="F12" s="4">
        <v>45871</v>
      </c>
      <c r="G12" s="8">
        <v>11</v>
      </c>
      <c r="H12" t="s">
        <v>20</v>
      </c>
      <c r="I12">
        <v>0</v>
      </c>
      <c r="J12" t="s">
        <v>25</v>
      </c>
      <c r="K12" t="s">
        <v>17</v>
      </c>
      <c r="L12" s="6">
        <v>8976.5</v>
      </c>
      <c r="M12" t="str">
        <f>TEXT(Table1[[#This Row],[Admission_Date]], "mmm")</f>
        <v>Jul</v>
      </c>
      <c r="N12">
        <f>YEAR(Table1[[#This Row],[Admission_Date]])</f>
        <v>2025</v>
      </c>
      <c r="O12" t="str">
        <f>IF(Table1[[#This Row],[Age]]&lt;30, "Young Adult", IF(Table1[[#This Row],[Age]]&lt;60, "Adult", "Senior"))</f>
        <v>Adult</v>
      </c>
    </row>
    <row r="13" spans="1:20" x14ac:dyDescent="0.25">
      <c r="A13" t="s">
        <v>38</v>
      </c>
      <c r="B13">
        <v>35</v>
      </c>
      <c r="C13" t="s">
        <v>24</v>
      </c>
      <c r="D13" t="s">
        <v>19</v>
      </c>
      <c r="E13" s="4">
        <v>45956</v>
      </c>
      <c r="F13" s="4">
        <v>45963</v>
      </c>
      <c r="G13" s="8">
        <v>7</v>
      </c>
      <c r="H13" t="s">
        <v>20</v>
      </c>
      <c r="I13">
        <v>0</v>
      </c>
      <c r="J13" t="s">
        <v>16</v>
      </c>
      <c r="K13" t="s">
        <v>22</v>
      </c>
      <c r="L13" s="6">
        <v>2716.2</v>
      </c>
      <c r="M13" t="str">
        <f>TEXT(Table1[[#This Row],[Admission_Date]], "mmm")</f>
        <v>Oct</v>
      </c>
      <c r="N13">
        <f>YEAR(Table1[[#This Row],[Admission_Date]])</f>
        <v>2025</v>
      </c>
      <c r="O13" t="str">
        <f>IF(Table1[[#This Row],[Age]]&lt;30, "Young Adult", IF(Table1[[#This Row],[Age]]&lt;60, "Adult", "Senior"))</f>
        <v>Adult</v>
      </c>
    </row>
    <row r="14" spans="1:20" x14ac:dyDescent="0.25">
      <c r="A14" t="s">
        <v>39</v>
      </c>
      <c r="B14">
        <v>26</v>
      </c>
      <c r="C14" t="s">
        <v>24</v>
      </c>
      <c r="D14" t="s">
        <v>40</v>
      </c>
      <c r="E14" s="4">
        <v>45739</v>
      </c>
      <c r="F14" s="4">
        <v>45752</v>
      </c>
      <c r="G14" s="8">
        <v>13</v>
      </c>
      <c r="H14" t="s">
        <v>20</v>
      </c>
      <c r="I14">
        <v>0</v>
      </c>
      <c r="J14" t="s">
        <v>29</v>
      </c>
      <c r="K14" t="s">
        <v>17</v>
      </c>
      <c r="L14" s="6">
        <v>4145.5</v>
      </c>
      <c r="M14" t="str">
        <f>TEXT(Table1[[#This Row],[Admission_Date]], "mmm")</f>
        <v>Mar</v>
      </c>
      <c r="N14">
        <f>YEAR(Table1[[#This Row],[Admission_Date]])</f>
        <v>2025</v>
      </c>
      <c r="O14" t="str">
        <f>IF(Table1[[#This Row],[Age]]&lt;30, "Young Adult", IF(Table1[[#This Row],[Age]]&lt;60, "Adult", "Senior"))</f>
        <v>Young Adult</v>
      </c>
    </row>
    <row r="15" spans="1:20" x14ac:dyDescent="0.25">
      <c r="A15" t="s">
        <v>41</v>
      </c>
      <c r="B15">
        <v>32</v>
      </c>
      <c r="C15" t="s">
        <v>24</v>
      </c>
      <c r="D15" t="s">
        <v>28</v>
      </c>
      <c r="E15" s="4">
        <v>45941</v>
      </c>
      <c r="F15" s="4">
        <v>45955</v>
      </c>
      <c r="G15" s="8">
        <v>14</v>
      </c>
      <c r="H15" t="s">
        <v>20</v>
      </c>
      <c r="I15">
        <v>0</v>
      </c>
      <c r="J15" t="s">
        <v>25</v>
      </c>
      <c r="K15" t="s">
        <v>22</v>
      </c>
      <c r="L15" s="6">
        <v>4755.75</v>
      </c>
      <c r="M15" t="str">
        <f>TEXT(Table1[[#This Row],[Admission_Date]], "mmm")</f>
        <v>Oct</v>
      </c>
      <c r="N15">
        <f>YEAR(Table1[[#This Row],[Admission_Date]])</f>
        <v>2025</v>
      </c>
      <c r="O15" t="str">
        <f>IF(Table1[[#This Row],[Age]]&lt;30, "Young Adult", IF(Table1[[#This Row],[Age]]&lt;60, "Adult", "Senior"))</f>
        <v>Adult</v>
      </c>
    </row>
    <row r="16" spans="1:20" x14ac:dyDescent="0.25">
      <c r="A16" t="s">
        <v>42</v>
      </c>
      <c r="B16">
        <v>51</v>
      </c>
      <c r="C16" t="s">
        <v>13</v>
      </c>
      <c r="D16" t="s">
        <v>34</v>
      </c>
      <c r="E16" s="4">
        <v>45738</v>
      </c>
      <c r="F16" s="4">
        <v>45746</v>
      </c>
      <c r="G16" s="8">
        <v>8</v>
      </c>
      <c r="H16" t="s">
        <v>15</v>
      </c>
      <c r="I16">
        <v>30</v>
      </c>
      <c r="J16" t="s">
        <v>16</v>
      </c>
      <c r="K16" t="s">
        <v>17</v>
      </c>
      <c r="L16" s="6">
        <v>4827.45</v>
      </c>
      <c r="M16" t="str">
        <f>TEXT(Table1[[#This Row],[Admission_Date]], "mmm")</f>
        <v>Mar</v>
      </c>
      <c r="N16">
        <f>YEAR(Table1[[#This Row],[Admission_Date]])</f>
        <v>2025</v>
      </c>
      <c r="O16" t="str">
        <f>IF(Table1[[#This Row],[Age]]&lt;30, "Young Adult", IF(Table1[[#This Row],[Age]]&lt;60, "Adult", "Senior"))</f>
        <v>Adult</v>
      </c>
    </row>
    <row r="17" spans="1:15" x14ac:dyDescent="0.25">
      <c r="A17" t="s">
        <v>43</v>
      </c>
      <c r="B17">
        <v>37</v>
      </c>
      <c r="C17" t="s">
        <v>24</v>
      </c>
      <c r="D17" t="s">
        <v>14</v>
      </c>
      <c r="E17" s="4">
        <v>45985</v>
      </c>
      <c r="F17" s="4">
        <v>45994</v>
      </c>
      <c r="G17" s="8">
        <v>9</v>
      </c>
      <c r="H17" t="s">
        <v>20</v>
      </c>
      <c r="I17">
        <v>0</v>
      </c>
      <c r="J17" t="s">
        <v>16</v>
      </c>
      <c r="K17" t="s">
        <v>17</v>
      </c>
      <c r="L17" s="6">
        <v>5200.26</v>
      </c>
      <c r="M17" t="str">
        <f>TEXT(Table1[[#This Row],[Admission_Date]], "mmm")</f>
        <v>Nov</v>
      </c>
      <c r="N17">
        <f>YEAR(Table1[[#This Row],[Admission_Date]])</f>
        <v>2025</v>
      </c>
      <c r="O17" t="str">
        <f>IF(Table1[[#This Row],[Age]]&lt;30, "Young Adult", IF(Table1[[#This Row],[Age]]&lt;60, "Adult", "Senior"))</f>
        <v>Adult</v>
      </c>
    </row>
    <row r="18" spans="1:15" x14ac:dyDescent="0.25">
      <c r="A18" t="s">
        <v>44</v>
      </c>
      <c r="B18">
        <v>57</v>
      </c>
      <c r="C18" t="s">
        <v>13</v>
      </c>
      <c r="D18" t="s">
        <v>19</v>
      </c>
      <c r="E18" s="4">
        <v>45667</v>
      </c>
      <c r="F18" s="4">
        <v>45669</v>
      </c>
      <c r="G18" s="8">
        <v>2</v>
      </c>
      <c r="H18" t="s">
        <v>20</v>
      </c>
      <c r="I18">
        <v>0</v>
      </c>
      <c r="J18" t="s">
        <v>21</v>
      </c>
      <c r="K18" t="s">
        <v>17</v>
      </c>
      <c r="L18" s="6">
        <v>14230.77</v>
      </c>
      <c r="M18" t="str">
        <f>TEXT(Table1[[#This Row],[Admission_Date]], "mmm")</f>
        <v>Jan</v>
      </c>
      <c r="N18">
        <f>YEAR(Table1[[#This Row],[Admission_Date]])</f>
        <v>2025</v>
      </c>
      <c r="O18" t="str">
        <f>IF(Table1[[#This Row],[Age]]&lt;30, "Young Adult", IF(Table1[[#This Row],[Age]]&lt;60, "Adult", "Senior"))</f>
        <v>Adult</v>
      </c>
    </row>
    <row r="19" spans="1:15" x14ac:dyDescent="0.25">
      <c r="A19" t="s">
        <v>45</v>
      </c>
      <c r="B19">
        <v>26</v>
      </c>
      <c r="C19" t="s">
        <v>13</v>
      </c>
      <c r="D19" t="s">
        <v>14</v>
      </c>
      <c r="E19" s="4">
        <v>45701</v>
      </c>
      <c r="F19" s="4">
        <v>45713</v>
      </c>
      <c r="G19" s="8">
        <v>12</v>
      </c>
      <c r="H19" t="s">
        <v>20</v>
      </c>
      <c r="I19">
        <v>0</v>
      </c>
      <c r="J19" t="s">
        <v>29</v>
      </c>
      <c r="K19" t="s">
        <v>17</v>
      </c>
      <c r="L19" s="6">
        <v>2894.34</v>
      </c>
      <c r="M19" t="str">
        <f>TEXT(Table1[[#This Row],[Admission_Date]], "mmm")</f>
        <v>Feb</v>
      </c>
      <c r="N19">
        <f>YEAR(Table1[[#This Row],[Admission_Date]])</f>
        <v>2025</v>
      </c>
      <c r="O19" t="str">
        <f>IF(Table1[[#This Row],[Age]]&lt;30, "Young Adult", IF(Table1[[#This Row],[Age]]&lt;60, "Adult", "Senior"))</f>
        <v>Young Adult</v>
      </c>
    </row>
    <row r="20" spans="1:15" x14ac:dyDescent="0.25">
      <c r="A20" t="s">
        <v>46</v>
      </c>
      <c r="B20">
        <v>45</v>
      </c>
      <c r="C20" t="s">
        <v>13</v>
      </c>
      <c r="D20" t="s">
        <v>28</v>
      </c>
      <c r="E20" s="4">
        <v>45928</v>
      </c>
      <c r="F20" s="4">
        <v>45942</v>
      </c>
      <c r="G20" s="8">
        <v>14</v>
      </c>
      <c r="H20" t="s">
        <v>20</v>
      </c>
      <c r="I20">
        <v>0</v>
      </c>
      <c r="J20" t="s">
        <v>25</v>
      </c>
      <c r="K20" t="s">
        <v>47</v>
      </c>
      <c r="L20" s="6">
        <v>14929.67</v>
      </c>
      <c r="M20" t="str">
        <f>TEXT(Table1[[#This Row],[Admission_Date]], "mmm")</f>
        <v>Sep</v>
      </c>
      <c r="N20">
        <f>YEAR(Table1[[#This Row],[Admission_Date]])</f>
        <v>2025</v>
      </c>
      <c r="O20" t="str">
        <f>IF(Table1[[#This Row],[Age]]&lt;30, "Young Adult", IF(Table1[[#This Row],[Age]]&lt;60, "Adult", "Senior"))</f>
        <v>Adult</v>
      </c>
    </row>
    <row r="21" spans="1:15" x14ac:dyDescent="0.25">
      <c r="A21" t="s">
        <v>48</v>
      </c>
      <c r="B21">
        <v>84</v>
      </c>
      <c r="C21" t="s">
        <v>24</v>
      </c>
      <c r="D21" t="s">
        <v>19</v>
      </c>
      <c r="E21" s="4">
        <v>45990</v>
      </c>
      <c r="F21" s="4">
        <v>45996</v>
      </c>
      <c r="G21" s="8">
        <v>6</v>
      </c>
      <c r="H21" t="s">
        <v>20</v>
      </c>
      <c r="I21">
        <v>0</v>
      </c>
      <c r="J21" t="s">
        <v>21</v>
      </c>
      <c r="K21" t="s">
        <v>22</v>
      </c>
      <c r="L21" s="6">
        <v>1428.38</v>
      </c>
      <c r="M21" t="str">
        <f>TEXT(Table1[[#This Row],[Admission_Date]], "mmm")</f>
        <v>Nov</v>
      </c>
      <c r="N21">
        <f>YEAR(Table1[[#This Row],[Admission_Date]])</f>
        <v>2025</v>
      </c>
      <c r="O21" t="str">
        <f>IF(Table1[[#This Row],[Age]]&lt;30, "Young Adult", IF(Table1[[#This Row],[Age]]&lt;60, "Adult", "Senior"))</f>
        <v>Senior</v>
      </c>
    </row>
    <row r="22" spans="1:15" x14ac:dyDescent="0.25">
      <c r="A22" t="s">
        <v>49</v>
      </c>
      <c r="B22">
        <v>46</v>
      </c>
      <c r="C22" t="s">
        <v>13</v>
      </c>
      <c r="D22" t="s">
        <v>19</v>
      </c>
      <c r="E22" s="4">
        <v>45668</v>
      </c>
      <c r="F22" s="4">
        <v>45678</v>
      </c>
      <c r="G22" s="8">
        <v>10</v>
      </c>
      <c r="H22" t="s">
        <v>20</v>
      </c>
      <c r="I22">
        <v>0</v>
      </c>
      <c r="J22" t="s">
        <v>16</v>
      </c>
      <c r="K22" t="s">
        <v>22</v>
      </c>
      <c r="L22" s="6">
        <v>1477.3</v>
      </c>
      <c r="M22" t="str">
        <f>TEXT(Table1[[#This Row],[Admission_Date]], "mmm")</f>
        <v>Jan</v>
      </c>
      <c r="N22">
        <f>YEAR(Table1[[#This Row],[Admission_Date]])</f>
        <v>2025</v>
      </c>
      <c r="O22" t="str">
        <f>IF(Table1[[#This Row],[Age]]&lt;30, "Young Adult", IF(Table1[[#This Row],[Age]]&lt;60, "Adult", "Senior"))</f>
        <v>Adult</v>
      </c>
    </row>
    <row r="23" spans="1:15" x14ac:dyDescent="0.25">
      <c r="A23" t="s">
        <v>50</v>
      </c>
      <c r="B23">
        <v>83</v>
      </c>
      <c r="C23" t="s">
        <v>13</v>
      </c>
      <c r="D23" t="s">
        <v>32</v>
      </c>
      <c r="E23" s="4">
        <v>45674</v>
      </c>
      <c r="F23" s="4">
        <v>45688</v>
      </c>
      <c r="G23" s="8">
        <v>14</v>
      </c>
      <c r="H23" t="s">
        <v>20</v>
      </c>
      <c r="I23">
        <v>0</v>
      </c>
      <c r="J23" t="s">
        <v>29</v>
      </c>
      <c r="K23" t="s">
        <v>22</v>
      </c>
      <c r="L23" s="6">
        <v>8318.89</v>
      </c>
      <c r="M23" t="str">
        <f>TEXT(Table1[[#This Row],[Admission_Date]], "mmm")</f>
        <v>Jan</v>
      </c>
      <c r="N23">
        <f>YEAR(Table1[[#This Row],[Admission_Date]])</f>
        <v>2025</v>
      </c>
      <c r="O23" t="str">
        <f>IF(Table1[[#This Row],[Age]]&lt;30, "Young Adult", IF(Table1[[#This Row],[Age]]&lt;60, "Adult", "Senior"))</f>
        <v>Senior</v>
      </c>
    </row>
    <row r="24" spans="1:15" x14ac:dyDescent="0.25">
      <c r="A24" t="s">
        <v>51</v>
      </c>
      <c r="B24">
        <v>78</v>
      </c>
      <c r="C24" t="s">
        <v>24</v>
      </c>
      <c r="D24" t="s">
        <v>14</v>
      </c>
      <c r="E24" s="4">
        <v>45950</v>
      </c>
      <c r="F24" s="4">
        <v>45960</v>
      </c>
      <c r="G24" s="8">
        <v>10</v>
      </c>
      <c r="H24" t="s">
        <v>20</v>
      </c>
      <c r="I24">
        <v>0</v>
      </c>
      <c r="J24" t="s">
        <v>16</v>
      </c>
      <c r="K24" t="s">
        <v>22</v>
      </c>
      <c r="L24" s="6">
        <v>10055.25</v>
      </c>
      <c r="M24" t="str">
        <f>TEXT(Table1[[#This Row],[Admission_Date]], "mmm")</f>
        <v>Oct</v>
      </c>
      <c r="N24">
        <f>YEAR(Table1[[#This Row],[Admission_Date]])</f>
        <v>2025</v>
      </c>
      <c r="O24" t="str">
        <f>IF(Table1[[#This Row],[Age]]&lt;30, "Young Adult", IF(Table1[[#This Row],[Age]]&lt;60, "Adult", "Senior"))</f>
        <v>Senior</v>
      </c>
    </row>
    <row r="25" spans="1:15" x14ac:dyDescent="0.25">
      <c r="A25" t="s">
        <v>52</v>
      </c>
      <c r="B25">
        <v>24</v>
      </c>
      <c r="C25" t="s">
        <v>13</v>
      </c>
      <c r="D25" t="s">
        <v>19</v>
      </c>
      <c r="E25" s="4">
        <v>45839</v>
      </c>
      <c r="F25" s="4">
        <v>45846</v>
      </c>
      <c r="G25" s="8">
        <v>7</v>
      </c>
      <c r="H25" t="s">
        <v>20</v>
      </c>
      <c r="I25">
        <v>0</v>
      </c>
      <c r="J25" t="s">
        <v>29</v>
      </c>
      <c r="K25" t="s">
        <v>17</v>
      </c>
      <c r="L25" s="6">
        <v>5419.89</v>
      </c>
      <c r="M25" t="str">
        <f>TEXT(Table1[[#This Row],[Admission_Date]], "mmm")</f>
        <v>Jul</v>
      </c>
      <c r="N25">
        <f>YEAR(Table1[[#This Row],[Admission_Date]])</f>
        <v>2025</v>
      </c>
      <c r="O25" t="str">
        <f>IF(Table1[[#This Row],[Age]]&lt;30, "Young Adult", IF(Table1[[#This Row],[Age]]&lt;60, "Adult", "Senior"))</f>
        <v>Young Adult</v>
      </c>
    </row>
    <row r="26" spans="1:15" x14ac:dyDescent="0.25">
      <c r="A26" t="s">
        <v>53</v>
      </c>
      <c r="B26">
        <v>86</v>
      </c>
      <c r="C26" t="s">
        <v>24</v>
      </c>
      <c r="D26" t="s">
        <v>14</v>
      </c>
      <c r="E26" s="4">
        <v>45713</v>
      </c>
      <c r="F26" s="4">
        <v>45717</v>
      </c>
      <c r="G26" s="8">
        <v>4</v>
      </c>
      <c r="H26" t="s">
        <v>15</v>
      </c>
      <c r="I26">
        <v>14</v>
      </c>
      <c r="J26" t="s">
        <v>21</v>
      </c>
      <c r="K26" t="s">
        <v>47</v>
      </c>
      <c r="L26" s="6">
        <v>7208.11</v>
      </c>
      <c r="M26" t="str">
        <f>TEXT(Table1[[#This Row],[Admission_Date]], "mmm")</f>
        <v>Feb</v>
      </c>
      <c r="N26">
        <f>YEAR(Table1[[#This Row],[Admission_Date]])</f>
        <v>2025</v>
      </c>
      <c r="O26" t="str">
        <f>IF(Table1[[#This Row],[Age]]&lt;30, "Young Adult", IF(Table1[[#This Row],[Age]]&lt;60, "Adult", "Senior"))</f>
        <v>Senior</v>
      </c>
    </row>
    <row r="27" spans="1:15" x14ac:dyDescent="0.25">
      <c r="A27" t="s">
        <v>54</v>
      </c>
      <c r="B27">
        <v>88</v>
      </c>
      <c r="C27" t="s">
        <v>13</v>
      </c>
      <c r="D27" t="s">
        <v>19</v>
      </c>
      <c r="E27" s="4">
        <v>45696</v>
      </c>
      <c r="F27" s="4">
        <v>45704</v>
      </c>
      <c r="G27" s="8">
        <v>8</v>
      </c>
      <c r="H27" t="s">
        <v>20</v>
      </c>
      <c r="I27">
        <v>0</v>
      </c>
      <c r="J27" t="s">
        <v>16</v>
      </c>
      <c r="K27" t="s">
        <v>22</v>
      </c>
      <c r="L27" s="6">
        <v>13932.32</v>
      </c>
      <c r="M27" t="str">
        <f>TEXT(Table1[[#This Row],[Admission_Date]], "mmm")</f>
        <v>Feb</v>
      </c>
      <c r="N27">
        <f>YEAR(Table1[[#This Row],[Admission_Date]])</f>
        <v>2025</v>
      </c>
      <c r="O27" t="str">
        <f>IF(Table1[[#This Row],[Age]]&lt;30, "Young Adult", IF(Table1[[#This Row],[Age]]&lt;60, "Adult", "Senior"))</f>
        <v>Senior</v>
      </c>
    </row>
    <row r="28" spans="1:15" x14ac:dyDescent="0.25">
      <c r="A28" t="s">
        <v>55</v>
      </c>
      <c r="B28">
        <v>79</v>
      </c>
      <c r="C28" t="s">
        <v>13</v>
      </c>
      <c r="D28" t="s">
        <v>40</v>
      </c>
      <c r="E28" s="4">
        <v>45779</v>
      </c>
      <c r="F28" s="4">
        <v>45782</v>
      </c>
      <c r="G28" s="8">
        <v>3</v>
      </c>
      <c r="H28" t="s">
        <v>20</v>
      </c>
      <c r="I28">
        <v>0</v>
      </c>
      <c r="J28" t="s">
        <v>16</v>
      </c>
      <c r="K28" t="s">
        <v>22</v>
      </c>
      <c r="L28" s="6">
        <v>5995.11</v>
      </c>
      <c r="M28" t="str">
        <f>TEXT(Table1[[#This Row],[Admission_Date]], "mmm")</f>
        <v>May</v>
      </c>
      <c r="N28">
        <f>YEAR(Table1[[#This Row],[Admission_Date]])</f>
        <v>2025</v>
      </c>
      <c r="O28" t="str">
        <f>IF(Table1[[#This Row],[Age]]&lt;30, "Young Adult", IF(Table1[[#This Row],[Age]]&lt;60, "Adult", "Senior"))</f>
        <v>Senior</v>
      </c>
    </row>
    <row r="29" spans="1:15" x14ac:dyDescent="0.25">
      <c r="A29" t="s">
        <v>56</v>
      </c>
      <c r="B29">
        <v>76</v>
      </c>
      <c r="C29" t="s">
        <v>24</v>
      </c>
      <c r="D29" t="s">
        <v>40</v>
      </c>
      <c r="E29" s="4">
        <v>45857</v>
      </c>
      <c r="F29" s="4">
        <v>45862</v>
      </c>
      <c r="G29" s="8">
        <v>5</v>
      </c>
      <c r="H29" t="s">
        <v>20</v>
      </c>
      <c r="I29">
        <v>0</v>
      </c>
      <c r="J29" t="s">
        <v>29</v>
      </c>
      <c r="K29" t="s">
        <v>22</v>
      </c>
      <c r="L29" s="6">
        <v>3253.52</v>
      </c>
      <c r="M29" t="str">
        <f>TEXT(Table1[[#This Row],[Admission_Date]], "mmm")</f>
        <v>Jul</v>
      </c>
      <c r="N29">
        <f>YEAR(Table1[[#This Row],[Admission_Date]])</f>
        <v>2025</v>
      </c>
      <c r="O29" t="str">
        <f>IF(Table1[[#This Row],[Age]]&lt;30, "Young Adult", IF(Table1[[#This Row],[Age]]&lt;60, "Adult", "Senior"))</f>
        <v>Senior</v>
      </c>
    </row>
    <row r="30" spans="1:15" x14ac:dyDescent="0.25">
      <c r="A30" t="s">
        <v>57</v>
      </c>
      <c r="B30">
        <v>87</v>
      </c>
      <c r="C30" t="s">
        <v>13</v>
      </c>
      <c r="D30" t="s">
        <v>28</v>
      </c>
      <c r="E30" s="4">
        <v>45769</v>
      </c>
      <c r="F30" s="4">
        <v>45770</v>
      </c>
      <c r="G30" s="8">
        <v>1</v>
      </c>
      <c r="H30" t="s">
        <v>20</v>
      </c>
      <c r="I30">
        <v>0</v>
      </c>
      <c r="J30" t="s">
        <v>25</v>
      </c>
      <c r="K30" t="s">
        <v>22</v>
      </c>
      <c r="L30" s="6">
        <v>1227.06</v>
      </c>
      <c r="M30" t="str">
        <f>TEXT(Table1[[#This Row],[Admission_Date]], "mmm")</f>
        <v>Apr</v>
      </c>
      <c r="N30">
        <f>YEAR(Table1[[#This Row],[Admission_Date]])</f>
        <v>2025</v>
      </c>
      <c r="O30" t="str">
        <f>IF(Table1[[#This Row],[Age]]&lt;30, "Young Adult", IF(Table1[[#This Row],[Age]]&lt;60, "Adult", "Senior"))</f>
        <v>Senior</v>
      </c>
    </row>
    <row r="31" spans="1:15" x14ac:dyDescent="0.25">
      <c r="A31" t="s">
        <v>58</v>
      </c>
      <c r="B31">
        <v>85</v>
      </c>
      <c r="C31" t="s">
        <v>13</v>
      </c>
      <c r="D31" t="s">
        <v>19</v>
      </c>
      <c r="E31" s="4">
        <v>45902</v>
      </c>
      <c r="F31" s="4">
        <v>45911</v>
      </c>
      <c r="G31" s="8">
        <v>9</v>
      </c>
      <c r="H31" t="s">
        <v>20</v>
      </c>
      <c r="I31">
        <v>0</v>
      </c>
      <c r="J31" t="s">
        <v>16</v>
      </c>
      <c r="K31" t="s">
        <v>22</v>
      </c>
      <c r="L31" s="6">
        <v>1493.56</v>
      </c>
      <c r="M31" t="str">
        <f>TEXT(Table1[[#This Row],[Admission_Date]], "mmm")</f>
        <v>Sep</v>
      </c>
      <c r="N31">
        <f>YEAR(Table1[[#This Row],[Admission_Date]])</f>
        <v>2025</v>
      </c>
      <c r="O31" t="str">
        <f>IF(Table1[[#This Row],[Age]]&lt;30, "Young Adult", IF(Table1[[#This Row],[Age]]&lt;60, "Adult", "Senior"))</f>
        <v>Senior</v>
      </c>
    </row>
    <row r="32" spans="1:15" x14ac:dyDescent="0.25">
      <c r="A32" t="s">
        <v>59</v>
      </c>
      <c r="B32">
        <v>69</v>
      </c>
      <c r="C32" t="s">
        <v>13</v>
      </c>
      <c r="D32" t="s">
        <v>34</v>
      </c>
      <c r="E32" s="4">
        <v>45692</v>
      </c>
      <c r="F32" s="4">
        <v>45703</v>
      </c>
      <c r="G32" s="8">
        <v>11</v>
      </c>
      <c r="H32" t="s">
        <v>20</v>
      </c>
      <c r="I32">
        <v>0</v>
      </c>
      <c r="J32" t="s">
        <v>21</v>
      </c>
      <c r="K32" t="s">
        <v>17</v>
      </c>
      <c r="L32" s="6">
        <v>9120.5300000000007</v>
      </c>
      <c r="M32" t="str">
        <f>TEXT(Table1[[#This Row],[Admission_Date]], "mmm")</f>
        <v>Feb</v>
      </c>
      <c r="N32">
        <f>YEAR(Table1[[#This Row],[Admission_Date]])</f>
        <v>2025</v>
      </c>
      <c r="O32" t="str">
        <f>IF(Table1[[#This Row],[Age]]&lt;30, "Young Adult", IF(Table1[[#This Row],[Age]]&lt;60, "Adult", "Senior"))</f>
        <v>Senior</v>
      </c>
    </row>
    <row r="33" spans="1:15" x14ac:dyDescent="0.25">
      <c r="A33" t="s">
        <v>60</v>
      </c>
      <c r="B33">
        <v>90</v>
      </c>
      <c r="C33" t="s">
        <v>24</v>
      </c>
      <c r="D33" t="s">
        <v>32</v>
      </c>
      <c r="E33" s="4">
        <v>45975</v>
      </c>
      <c r="F33" s="4">
        <v>45977</v>
      </c>
      <c r="G33" s="8">
        <v>2</v>
      </c>
      <c r="H33" t="s">
        <v>20</v>
      </c>
      <c r="I33">
        <v>0</v>
      </c>
      <c r="J33" t="s">
        <v>21</v>
      </c>
      <c r="K33" t="s">
        <v>17</v>
      </c>
      <c r="L33" s="6">
        <v>10884.78</v>
      </c>
      <c r="M33" t="str">
        <f>TEXT(Table1[[#This Row],[Admission_Date]], "mmm")</f>
        <v>Nov</v>
      </c>
      <c r="N33">
        <f>YEAR(Table1[[#This Row],[Admission_Date]])</f>
        <v>2025</v>
      </c>
      <c r="O33" t="str">
        <f>IF(Table1[[#This Row],[Age]]&lt;30, "Young Adult", IF(Table1[[#This Row],[Age]]&lt;60, "Adult", "Senior"))</f>
        <v>Senior</v>
      </c>
    </row>
    <row r="34" spans="1:15" x14ac:dyDescent="0.25">
      <c r="A34" t="s">
        <v>61</v>
      </c>
      <c r="B34">
        <v>56</v>
      </c>
      <c r="C34" t="s">
        <v>24</v>
      </c>
      <c r="D34" t="s">
        <v>32</v>
      </c>
      <c r="E34" s="4">
        <v>45780</v>
      </c>
      <c r="F34" s="4">
        <v>45785</v>
      </c>
      <c r="G34" s="8">
        <v>5</v>
      </c>
      <c r="H34" t="s">
        <v>20</v>
      </c>
      <c r="I34">
        <v>0</v>
      </c>
      <c r="J34" t="s">
        <v>16</v>
      </c>
      <c r="K34" t="s">
        <v>22</v>
      </c>
      <c r="L34" s="6">
        <v>7145.14</v>
      </c>
      <c r="M34" t="str">
        <f>TEXT(Table1[[#This Row],[Admission_Date]], "mmm")</f>
        <v>May</v>
      </c>
      <c r="N34">
        <f>YEAR(Table1[[#This Row],[Admission_Date]])</f>
        <v>2025</v>
      </c>
      <c r="O34" t="str">
        <f>IF(Table1[[#This Row],[Age]]&lt;30, "Young Adult", IF(Table1[[#This Row],[Age]]&lt;60, "Adult", "Senior"))</f>
        <v>Adult</v>
      </c>
    </row>
    <row r="35" spans="1:15" x14ac:dyDescent="0.25">
      <c r="A35" t="s">
        <v>62</v>
      </c>
      <c r="B35">
        <v>45</v>
      </c>
      <c r="C35" t="s">
        <v>24</v>
      </c>
      <c r="D35" t="s">
        <v>14</v>
      </c>
      <c r="E35" s="4">
        <v>45946</v>
      </c>
      <c r="F35" s="4">
        <v>45948</v>
      </c>
      <c r="G35" s="8">
        <v>2</v>
      </c>
      <c r="H35" t="s">
        <v>15</v>
      </c>
      <c r="I35">
        <v>30</v>
      </c>
      <c r="J35" t="s">
        <v>25</v>
      </c>
      <c r="K35" t="s">
        <v>22</v>
      </c>
      <c r="L35" s="6">
        <v>13249.42</v>
      </c>
      <c r="M35" t="str">
        <f>TEXT(Table1[[#This Row],[Admission_Date]], "mmm")</f>
        <v>Oct</v>
      </c>
      <c r="N35">
        <f>YEAR(Table1[[#This Row],[Admission_Date]])</f>
        <v>2025</v>
      </c>
      <c r="O35" t="str">
        <f>IF(Table1[[#This Row],[Age]]&lt;30, "Young Adult", IF(Table1[[#This Row],[Age]]&lt;60, "Adult", "Senior"))</f>
        <v>Adult</v>
      </c>
    </row>
    <row r="36" spans="1:15" x14ac:dyDescent="0.25">
      <c r="A36" t="s">
        <v>63</v>
      </c>
      <c r="B36">
        <v>87</v>
      </c>
      <c r="C36" t="s">
        <v>24</v>
      </c>
      <c r="D36" t="s">
        <v>34</v>
      </c>
      <c r="E36" s="4">
        <v>45847</v>
      </c>
      <c r="F36" s="4">
        <v>45852</v>
      </c>
      <c r="G36" s="8">
        <v>5</v>
      </c>
      <c r="H36" t="s">
        <v>15</v>
      </c>
      <c r="I36">
        <v>26</v>
      </c>
      <c r="J36" t="s">
        <v>16</v>
      </c>
      <c r="K36" t="s">
        <v>17</v>
      </c>
      <c r="L36" s="6">
        <v>12348.01</v>
      </c>
      <c r="M36" t="str">
        <f>TEXT(Table1[[#This Row],[Admission_Date]], "mmm")</f>
        <v>Jul</v>
      </c>
      <c r="N36">
        <f>YEAR(Table1[[#This Row],[Admission_Date]])</f>
        <v>2025</v>
      </c>
      <c r="O36" t="str">
        <f>IF(Table1[[#This Row],[Age]]&lt;30, "Young Adult", IF(Table1[[#This Row],[Age]]&lt;60, "Adult", "Senior"))</f>
        <v>Senior</v>
      </c>
    </row>
    <row r="37" spans="1:15" x14ac:dyDescent="0.25">
      <c r="A37" t="s">
        <v>64</v>
      </c>
      <c r="B37">
        <v>35</v>
      </c>
      <c r="C37" t="s">
        <v>24</v>
      </c>
      <c r="D37" t="s">
        <v>19</v>
      </c>
      <c r="E37" s="4">
        <v>45811</v>
      </c>
      <c r="F37" s="4">
        <v>45822</v>
      </c>
      <c r="G37" s="8">
        <v>11</v>
      </c>
      <c r="H37" t="s">
        <v>15</v>
      </c>
      <c r="I37">
        <v>29</v>
      </c>
      <c r="J37" t="s">
        <v>16</v>
      </c>
      <c r="K37" t="s">
        <v>17</v>
      </c>
      <c r="L37" s="6">
        <v>8521.74</v>
      </c>
      <c r="M37" t="str">
        <f>TEXT(Table1[[#This Row],[Admission_Date]], "mmm")</f>
        <v>Jun</v>
      </c>
      <c r="N37">
        <f>YEAR(Table1[[#This Row],[Admission_Date]])</f>
        <v>2025</v>
      </c>
      <c r="O37" t="str">
        <f>IF(Table1[[#This Row],[Age]]&lt;30, "Young Adult", IF(Table1[[#This Row],[Age]]&lt;60, "Adult", "Senior"))</f>
        <v>Adult</v>
      </c>
    </row>
    <row r="38" spans="1:15" x14ac:dyDescent="0.25">
      <c r="A38" t="s">
        <v>65</v>
      </c>
      <c r="B38">
        <v>61</v>
      </c>
      <c r="C38" t="s">
        <v>13</v>
      </c>
      <c r="D38" t="s">
        <v>28</v>
      </c>
      <c r="E38" s="4">
        <v>45797</v>
      </c>
      <c r="F38" s="4">
        <v>45802</v>
      </c>
      <c r="G38" s="8">
        <v>5</v>
      </c>
      <c r="H38" t="s">
        <v>20</v>
      </c>
      <c r="I38">
        <v>0</v>
      </c>
      <c r="J38" t="s">
        <v>25</v>
      </c>
      <c r="K38" t="s">
        <v>17</v>
      </c>
      <c r="L38" s="6">
        <v>7583.71</v>
      </c>
      <c r="M38" t="str">
        <f>TEXT(Table1[[#This Row],[Admission_Date]], "mmm")</f>
        <v>May</v>
      </c>
      <c r="N38">
        <f>YEAR(Table1[[#This Row],[Admission_Date]])</f>
        <v>2025</v>
      </c>
      <c r="O38" t="str">
        <f>IF(Table1[[#This Row],[Age]]&lt;30, "Young Adult", IF(Table1[[#This Row],[Age]]&lt;60, "Adult", "Senior"))</f>
        <v>Senior</v>
      </c>
    </row>
    <row r="39" spans="1:15" x14ac:dyDescent="0.25">
      <c r="A39" t="s">
        <v>66</v>
      </c>
      <c r="B39">
        <v>53</v>
      </c>
      <c r="C39" t="s">
        <v>13</v>
      </c>
      <c r="D39" t="s">
        <v>19</v>
      </c>
      <c r="E39" s="4">
        <v>45684</v>
      </c>
      <c r="F39" s="4">
        <v>45686</v>
      </c>
      <c r="G39" s="8">
        <v>2</v>
      </c>
      <c r="H39" t="s">
        <v>20</v>
      </c>
      <c r="I39">
        <v>0</v>
      </c>
      <c r="J39" t="s">
        <v>25</v>
      </c>
      <c r="K39" t="s">
        <v>22</v>
      </c>
      <c r="L39" s="6">
        <v>9738.14</v>
      </c>
      <c r="M39" t="str">
        <f>TEXT(Table1[[#This Row],[Admission_Date]], "mmm")</f>
        <v>Jan</v>
      </c>
      <c r="N39">
        <f>YEAR(Table1[[#This Row],[Admission_Date]])</f>
        <v>2025</v>
      </c>
      <c r="O39" t="str">
        <f>IF(Table1[[#This Row],[Age]]&lt;30, "Young Adult", IF(Table1[[#This Row],[Age]]&lt;60, "Adult", "Senior"))</f>
        <v>Adult</v>
      </c>
    </row>
    <row r="40" spans="1:15" x14ac:dyDescent="0.25">
      <c r="A40" t="s">
        <v>67</v>
      </c>
      <c r="B40">
        <v>88</v>
      </c>
      <c r="C40" t="s">
        <v>24</v>
      </c>
      <c r="D40" t="s">
        <v>34</v>
      </c>
      <c r="E40" s="4">
        <v>45792</v>
      </c>
      <c r="F40" s="4">
        <v>45795</v>
      </c>
      <c r="G40" s="8">
        <v>3</v>
      </c>
      <c r="H40" t="s">
        <v>20</v>
      </c>
      <c r="I40">
        <v>0</v>
      </c>
      <c r="J40" t="s">
        <v>16</v>
      </c>
      <c r="K40" t="s">
        <v>22</v>
      </c>
      <c r="L40" s="6">
        <v>1591.04</v>
      </c>
      <c r="M40" t="str">
        <f>TEXT(Table1[[#This Row],[Admission_Date]], "mmm")</f>
        <v>May</v>
      </c>
      <c r="N40">
        <f>YEAR(Table1[[#This Row],[Admission_Date]])</f>
        <v>2025</v>
      </c>
      <c r="O40" t="str">
        <f>IF(Table1[[#This Row],[Age]]&lt;30, "Young Adult", IF(Table1[[#This Row],[Age]]&lt;60, "Adult", "Senior"))</f>
        <v>Senior</v>
      </c>
    </row>
    <row r="41" spans="1:15" x14ac:dyDescent="0.25">
      <c r="A41" t="s">
        <v>68</v>
      </c>
      <c r="B41">
        <v>65</v>
      </c>
      <c r="C41" t="s">
        <v>13</v>
      </c>
      <c r="D41" t="s">
        <v>40</v>
      </c>
      <c r="E41" s="4">
        <v>46011</v>
      </c>
      <c r="F41" s="4">
        <v>46014</v>
      </c>
      <c r="G41" s="8">
        <v>3</v>
      </c>
      <c r="H41" t="s">
        <v>20</v>
      </c>
      <c r="I41">
        <v>0</v>
      </c>
      <c r="J41" t="s">
        <v>21</v>
      </c>
      <c r="K41" t="s">
        <v>22</v>
      </c>
      <c r="L41" s="6">
        <v>4969.75</v>
      </c>
      <c r="M41" t="str">
        <f>TEXT(Table1[[#This Row],[Admission_Date]], "mmm")</f>
        <v>Dec</v>
      </c>
      <c r="N41">
        <f>YEAR(Table1[[#This Row],[Admission_Date]])</f>
        <v>2025</v>
      </c>
      <c r="O41" t="str">
        <f>IF(Table1[[#This Row],[Age]]&lt;30, "Young Adult", IF(Table1[[#This Row],[Age]]&lt;60, "Adult", "Senior"))</f>
        <v>Senior</v>
      </c>
    </row>
    <row r="42" spans="1:15" x14ac:dyDescent="0.25">
      <c r="A42" t="s">
        <v>69</v>
      </c>
      <c r="B42">
        <v>49</v>
      </c>
      <c r="C42" t="s">
        <v>13</v>
      </c>
      <c r="D42" t="s">
        <v>32</v>
      </c>
      <c r="E42" s="4">
        <v>45678</v>
      </c>
      <c r="F42" s="4">
        <v>45684</v>
      </c>
      <c r="G42" s="8">
        <v>6</v>
      </c>
      <c r="H42" t="s">
        <v>15</v>
      </c>
      <c r="I42">
        <v>25</v>
      </c>
      <c r="J42" t="s">
        <v>29</v>
      </c>
      <c r="K42" t="s">
        <v>17</v>
      </c>
      <c r="L42" s="6">
        <v>11367.43</v>
      </c>
      <c r="M42" t="str">
        <f>TEXT(Table1[[#This Row],[Admission_Date]], "mmm")</f>
        <v>Jan</v>
      </c>
      <c r="N42">
        <f>YEAR(Table1[[#This Row],[Admission_Date]])</f>
        <v>2025</v>
      </c>
      <c r="O42" t="str">
        <f>IF(Table1[[#This Row],[Age]]&lt;30, "Young Adult", IF(Table1[[#This Row],[Age]]&lt;60, "Adult", "Senior"))</f>
        <v>Adult</v>
      </c>
    </row>
    <row r="43" spans="1:15" x14ac:dyDescent="0.25">
      <c r="A43" t="s">
        <v>70</v>
      </c>
      <c r="B43">
        <v>40</v>
      </c>
      <c r="C43" t="s">
        <v>24</v>
      </c>
      <c r="D43" t="s">
        <v>19</v>
      </c>
      <c r="E43" s="4">
        <v>45779</v>
      </c>
      <c r="F43" s="4">
        <v>45793</v>
      </c>
      <c r="G43" s="8">
        <v>14</v>
      </c>
      <c r="H43" t="s">
        <v>15</v>
      </c>
      <c r="I43">
        <v>6</v>
      </c>
      <c r="J43" t="s">
        <v>25</v>
      </c>
      <c r="K43" t="s">
        <v>47</v>
      </c>
      <c r="L43" s="6">
        <v>12132.41</v>
      </c>
      <c r="M43" t="str">
        <f>TEXT(Table1[[#This Row],[Admission_Date]], "mmm")</f>
        <v>May</v>
      </c>
      <c r="N43">
        <f>YEAR(Table1[[#This Row],[Admission_Date]])</f>
        <v>2025</v>
      </c>
      <c r="O43" t="str">
        <f>IF(Table1[[#This Row],[Age]]&lt;30, "Young Adult", IF(Table1[[#This Row],[Age]]&lt;60, "Adult", "Senior"))</f>
        <v>Adult</v>
      </c>
    </row>
    <row r="44" spans="1:15" x14ac:dyDescent="0.25">
      <c r="A44" t="s">
        <v>71</v>
      </c>
      <c r="B44">
        <v>31</v>
      </c>
      <c r="C44" t="s">
        <v>24</v>
      </c>
      <c r="D44" t="s">
        <v>19</v>
      </c>
      <c r="E44" s="4">
        <v>45785</v>
      </c>
      <c r="F44" s="4">
        <v>45790</v>
      </c>
      <c r="G44" s="8">
        <v>5</v>
      </c>
      <c r="H44" t="s">
        <v>15</v>
      </c>
      <c r="I44">
        <v>28</v>
      </c>
      <c r="J44" t="s">
        <v>29</v>
      </c>
      <c r="K44" t="s">
        <v>22</v>
      </c>
      <c r="L44" s="6">
        <v>3393.81</v>
      </c>
      <c r="M44" t="str">
        <f>TEXT(Table1[[#This Row],[Admission_Date]], "mmm")</f>
        <v>May</v>
      </c>
      <c r="N44">
        <f>YEAR(Table1[[#This Row],[Admission_Date]])</f>
        <v>2025</v>
      </c>
      <c r="O44" t="str">
        <f>IF(Table1[[#This Row],[Age]]&lt;30, "Young Adult", IF(Table1[[#This Row],[Age]]&lt;60, "Adult", "Senior"))</f>
        <v>Adult</v>
      </c>
    </row>
    <row r="45" spans="1:15" x14ac:dyDescent="0.25">
      <c r="A45" t="s">
        <v>72</v>
      </c>
      <c r="B45">
        <v>47</v>
      </c>
      <c r="C45" t="s">
        <v>13</v>
      </c>
      <c r="D45" t="s">
        <v>19</v>
      </c>
      <c r="E45" s="4">
        <v>45893</v>
      </c>
      <c r="F45" s="4">
        <v>45899</v>
      </c>
      <c r="G45" s="8">
        <v>6</v>
      </c>
      <c r="H45" t="s">
        <v>20</v>
      </c>
      <c r="I45">
        <v>0</v>
      </c>
      <c r="J45" t="s">
        <v>21</v>
      </c>
      <c r="K45" t="s">
        <v>47</v>
      </c>
      <c r="L45" s="6">
        <v>5259.8</v>
      </c>
      <c r="M45" t="str">
        <f>TEXT(Table1[[#This Row],[Admission_Date]], "mmm")</f>
        <v>Aug</v>
      </c>
      <c r="N45">
        <f>YEAR(Table1[[#This Row],[Admission_Date]])</f>
        <v>2025</v>
      </c>
      <c r="O45" t="str">
        <f>IF(Table1[[#This Row],[Age]]&lt;30, "Young Adult", IF(Table1[[#This Row],[Age]]&lt;60, "Adult", "Senior"))</f>
        <v>Adult</v>
      </c>
    </row>
    <row r="46" spans="1:15" x14ac:dyDescent="0.25">
      <c r="A46" t="s">
        <v>73</v>
      </c>
      <c r="B46">
        <v>83</v>
      </c>
      <c r="C46" t="s">
        <v>24</v>
      </c>
      <c r="D46" t="s">
        <v>28</v>
      </c>
      <c r="E46" s="4">
        <v>45693</v>
      </c>
      <c r="F46" s="4">
        <v>45706</v>
      </c>
      <c r="G46" s="8">
        <v>13</v>
      </c>
      <c r="H46" t="s">
        <v>15</v>
      </c>
      <c r="I46">
        <v>27</v>
      </c>
      <c r="J46" t="s">
        <v>25</v>
      </c>
      <c r="K46" t="s">
        <v>22</v>
      </c>
      <c r="L46" s="6">
        <v>2172.46</v>
      </c>
      <c r="M46" t="str">
        <f>TEXT(Table1[[#This Row],[Admission_Date]], "mmm")</f>
        <v>Feb</v>
      </c>
      <c r="N46">
        <f>YEAR(Table1[[#This Row],[Admission_Date]])</f>
        <v>2025</v>
      </c>
      <c r="O46" t="str">
        <f>IF(Table1[[#This Row],[Age]]&lt;30, "Young Adult", IF(Table1[[#This Row],[Age]]&lt;60, "Adult", "Senior"))</f>
        <v>Senior</v>
      </c>
    </row>
    <row r="47" spans="1:15" x14ac:dyDescent="0.25">
      <c r="A47" t="s">
        <v>74</v>
      </c>
      <c r="B47">
        <v>51</v>
      </c>
      <c r="C47" t="s">
        <v>13</v>
      </c>
      <c r="D47" t="s">
        <v>19</v>
      </c>
      <c r="E47" s="4">
        <v>45791</v>
      </c>
      <c r="F47" s="4">
        <v>45794</v>
      </c>
      <c r="G47" s="8">
        <v>3</v>
      </c>
      <c r="H47" t="s">
        <v>20</v>
      </c>
      <c r="I47">
        <v>0</v>
      </c>
      <c r="J47" t="s">
        <v>29</v>
      </c>
      <c r="K47" t="s">
        <v>47</v>
      </c>
      <c r="L47" s="6">
        <v>11063.9</v>
      </c>
      <c r="M47" t="str">
        <f>TEXT(Table1[[#This Row],[Admission_Date]], "mmm")</f>
        <v>May</v>
      </c>
      <c r="N47">
        <f>YEAR(Table1[[#This Row],[Admission_Date]])</f>
        <v>2025</v>
      </c>
      <c r="O47" t="str">
        <f>IF(Table1[[#This Row],[Age]]&lt;30, "Young Adult", IF(Table1[[#This Row],[Age]]&lt;60, "Adult", "Senior"))</f>
        <v>Adult</v>
      </c>
    </row>
    <row r="48" spans="1:15" x14ac:dyDescent="0.25">
      <c r="A48" t="s">
        <v>75</v>
      </c>
      <c r="B48">
        <v>83</v>
      </c>
      <c r="C48" t="s">
        <v>13</v>
      </c>
      <c r="D48" t="s">
        <v>40</v>
      </c>
      <c r="E48" s="4">
        <v>45818</v>
      </c>
      <c r="F48" s="4">
        <v>45825</v>
      </c>
      <c r="G48" s="8">
        <v>7</v>
      </c>
      <c r="H48" t="s">
        <v>20</v>
      </c>
      <c r="I48">
        <v>0</v>
      </c>
      <c r="J48" t="s">
        <v>21</v>
      </c>
      <c r="K48" t="s">
        <v>47</v>
      </c>
      <c r="L48" s="6">
        <v>1143.5999999999999</v>
      </c>
      <c r="M48" t="str">
        <f>TEXT(Table1[[#This Row],[Admission_Date]], "mmm")</f>
        <v>Jun</v>
      </c>
      <c r="N48">
        <f>YEAR(Table1[[#This Row],[Admission_Date]])</f>
        <v>2025</v>
      </c>
      <c r="O48" t="str">
        <f>IF(Table1[[#This Row],[Age]]&lt;30, "Young Adult", IF(Table1[[#This Row],[Age]]&lt;60, "Adult", "Senior"))</f>
        <v>Senior</v>
      </c>
    </row>
    <row r="49" spans="1:15" x14ac:dyDescent="0.25">
      <c r="A49" t="s">
        <v>76</v>
      </c>
      <c r="B49">
        <v>86</v>
      </c>
      <c r="C49" t="s">
        <v>13</v>
      </c>
      <c r="D49" t="s">
        <v>32</v>
      </c>
      <c r="E49" s="4">
        <v>45881</v>
      </c>
      <c r="F49" s="4">
        <v>45882</v>
      </c>
      <c r="G49" s="8">
        <v>1</v>
      </c>
      <c r="H49" t="s">
        <v>20</v>
      </c>
      <c r="I49">
        <v>0</v>
      </c>
      <c r="J49" t="s">
        <v>29</v>
      </c>
      <c r="K49" t="s">
        <v>22</v>
      </c>
      <c r="L49" s="6">
        <v>14258.68</v>
      </c>
      <c r="M49" t="str">
        <f>TEXT(Table1[[#This Row],[Admission_Date]], "mmm")</f>
        <v>Aug</v>
      </c>
      <c r="N49">
        <f>YEAR(Table1[[#This Row],[Admission_Date]])</f>
        <v>2025</v>
      </c>
      <c r="O49" t="str">
        <f>IF(Table1[[#This Row],[Age]]&lt;30, "Young Adult", IF(Table1[[#This Row],[Age]]&lt;60, "Adult", "Senior"))</f>
        <v>Senior</v>
      </c>
    </row>
    <row r="50" spans="1:15" x14ac:dyDescent="0.25">
      <c r="A50" t="s">
        <v>77</v>
      </c>
      <c r="B50">
        <v>33</v>
      </c>
      <c r="C50" t="s">
        <v>24</v>
      </c>
      <c r="D50" t="s">
        <v>34</v>
      </c>
      <c r="E50" s="4">
        <v>45827</v>
      </c>
      <c r="F50" s="4">
        <v>45837</v>
      </c>
      <c r="G50" s="8">
        <v>10</v>
      </c>
      <c r="H50" t="s">
        <v>20</v>
      </c>
      <c r="I50">
        <v>0</v>
      </c>
      <c r="J50" t="s">
        <v>25</v>
      </c>
      <c r="K50" t="s">
        <v>17</v>
      </c>
      <c r="L50" s="6">
        <v>6421.7</v>
      </c>
      <c r="M50" t="str">
        <f>TEXT(Table1[[#This Row],[Admission_Date]], "mmm")</f>
        <v>Jun</v>
      </c>
      <c r="N50">
        <f>YEAR(Table1[[#This Row],[Admission_Date]])</f>
        <v>2025</v>
      </c>
      <c r="O50" t="str">
        <f>IF(Table1[[#This Row],[Age]]&lt;30, "Young Adult", IF(Table1[[#This Row],[Age]]&lt;60, "Adult", "Senior"))</f>
        <v>Adult</v>
      </c>
    </row>
    <row r="51" spans="1:15" x14ac:dyDescent="0.25">
      <c r="A51" t="s">
        <v>78</v>
      </c>
      <c r="B51">
        <v>34</v>
      </c>
      <c r="C51" t="s">
        <v>13</v>
      </c>
      <c r="D51" t="s">
        <v>40</v>
      </c>
      <c r="E51" s="4">
        <v>45864</v>
      </c>
      <c r="F51" s="4">
        <v>45876</v>
      </c>
      <c r="G51" s="8">
        <v>12</v>
      </c>
      <c r="H51" t="s">
        <v>15</v>
      </c>
      <c r="I51">
        <v>22</v>
      </c>
      <c r="J51" t="s">
        <v>29</v>
      </c>
      <c r="K51" t="s">
        <v>17</v>
      </c>
      <c r="L51" s="6">
        <v>11347.95</v>
      </c>
      <c r="M51" t="str">
        <f>TEXT(Table1[[#This Row],[Admission_Date]], "mmm")</f>
        <v>Jul</v>
      </c>
      <c r="N51">
        <f>YEAR(Table1[[#This Row],[Admission_Date]])</f>
        <v>2025</v>
      </c>
      <c r="O51" t="str">
        <f>IF(Table1[[#This Row],[Age]]&lt;30, "Young Adult", IF(Table1[[#This Row],[Age]]&lt;60, "Adult", "Senior"))</f>
        <v>Adult</v>
      </c>
    </row>
    <row r="52" spans="1:15" x14ac:dyDescent="0.25">
      <c r="A52" t="s">
        <v>79</v>
      </c>
      <c r="B52">
        <v>69</v>
      </c>
      <c r="C52" t="s">
        <v>13</v>
      </c>
      <c r="D52" t="s">
        <v>32</v>
      </c>
      <c r="E52" s="4">
        <v>45747</v>
      </c>
      <c r="F52" s="4">
        <v>45757</v>
      </c>
      <c r="G52" s="8">
        <v>10</v>
      </c>
      <c r="H52" t="s">
        <v>20</v>
      </c>
      <c r="I52">
        <v>0</v>
      </c>
      <c r="J52" t="s">
        <v>25</v>
      </c>
      <c r="K52" t="s">
        <v>22</v>
      </c>
      <c r="L52" s="6">
        <v>6733.38</v>
      </c>
      <c r="M52" t="str">
        <f>TEXT(Table1[[#This Row],[Admission_Date]], "mmm")</f>
        <v>Mar</v>
      </c>
      <c r="N52">
        <f>YEAR(Table1[[#This Row],[Admission_Date]])</f>
        <v>2025</v>
      </c>
      <c r="O52" t="str">
        <f>IF(Table1[[#This Row],[Age]]&lt;30, "Young Adult", IF(Table1[[#This Row],[Age]]&lt;60, "Adult", "Senior"))</f>
        <v>Senior</v>
      </c>
    </row>
    <row r="53" spans="1:15" x14ac:dyDescent="0.25">
      <c r="A53" t="s">
        <v>80</v>
      </c>
      <c r="B53">
        <v>77</v>
      </c>
      <c r="C53" t="s">
        <v>24</v>
      </c>
      <c r="D53" t="s">
        <v>40</v>
      </c>
      <c r="E53" s="4">
        <v>45954</v>
      </c>
      <c r="F53" s="4">
        <v>45964</v>
      </c>
      <c r="G53" s="8">
        <v>10</v>
      </c>
      <c r="H53" t="s">
        <v>20</v>
      </c>
      <c r="I53">
        <v>0</v>
      </c>
      <c r="J53" t="s">
        <v>21</v>
      </c>
      <c r="K53" t="s">
        <v>17</v>
      </c>
      <c r="L53" s="6">
        <v>7361.2</v>
      </c>
      <c r="M53" t="str">
        <f>TEXT(Table1[[#This Row],[Admission_Date]], "mmm")</f>
        <v>Oct</v>
      </c>
      <c r="N53">
        <f>YEAR(Table1[[#This Row],[Admission_Date]])</f>
        <v>2025</v>
      </c>
      <c r="O53" t="str">
        <f>IF(Table1[[#This Row],[Age]]&lt;30, "Young Adult", IF(Table1[[#This Row],[Age]]&lt;60, "Adult", "Senior"))</f>
        <v>Senior</v>
      </c>
    </row>
    <row r="54" spans="1:15" x14ac:dyDescent="0.25">
      <c r="A54" t="s">
        <v>81</v>
      </c>
      <c r="B54">
        <v>83</v>
      </c>
      <c r="C54" t="s">
        <v>24</v>
      </c>
      <c r="D54" t="s">
        <v>19</v>
      </c>
      <c r="E54" s="4">
        <v>45744</v>
      </c>
      <c r="F54" s="4">
        <v>45755</v>
      </c>
      <c r="G54" s="8">
        <v>11</v>
      </c>
      <c r="H54" t="s">
        <v>15</v>
      </c>
      <c r="I54">
        <v>27</v>
      </c>
      <c r="J54" t="s">
        <v>21</v>
      </c>
      <c r="K54" t="s">
        <v>17</v>
      </c>
      <c r="L54" s="6">
        <v>5001.08</v>
      </c>
      <c r="M54" t="str">
        <f>TEXT(Table1[[#This Row],[Admission_Date]], "mmm")</f>
        <v>Mar</v>
      </c>
      <c r="N54">
        <f>YEAR(Table1[[#This Row],[Admission_Date]])</f>
        <v>2025</v>
      </c>
      <c r="O54" t="str">
        <f>IF(Table1[[#This Row],[Age]]&lt;30, "Young Adult", IF(Table1[[#This Row],[Age]]&lt;60, "Adult", "Senior"))</f>
        <v>Senior</v>
      </c>
    </row>
    <row r="55" spans="1:15" x14ac:dyDescent="0.25">
      <c r="A55" t="s">
        <v>82</v>
      </c>
      <c r="B55">
        <v>49</v>
      </c>
      <c r="C55" t="s">
        <v>24</v>
      </c>
      <c r="D55" t="s">
        <v>34</v>
      </c>
      <c r="E55" s="4">
        <v>45759</v>
      </c>
      <c r="F55" s="4">
        <v>45762</v>
      </c>
      <c r="G55" s="8">
        <v>3</v>
      </c>
      <c r="H55" t="s">
        <v>15</v>
      </c>
      <c r="I55">
        <v>28</v>
      </c>
      <c r="J55" t="s">
        <v>16</v>
      </c>
      <c r="K55" t="s">
        <v>47</v>
      </c>
      <c r="L55" s="6">
        <v>6509.39</v>
      </c>
      <c r="M55" t="str">
        <f>TEXT(Table1[[#This Row],[Admission_Date]], "mmm")</f>
        <v>Apr</v>
      </c>
      <c r="N55">
        <f>YEAR(Table1[[#This Row],[Admission_Date]])</f>
        <v>2025</v>
      </c>
      <c r="O55" t="str">
        <f>IF(Table1[[#This Row],[Age]]&lt;30, "Young Adult", IF(Table1[[#This Row],[Age]]&lt;60, "Adult", "Senior"))</f>
        <v>Adult</v>
      </c>
    </row>
    <row r="56" spans="1:15" x14ac:dyDescent="0.25">
      <c r="A56" t="s">
        <v>83</v>
      </c>
      <c r="B56">
        <v>67</v>
      </c>
      <c r="C56" t="s">
        <v>24</v>
      </c>
      <c r="D56" t="s">
        <v>40</v>
      </c>
      <c r="E56" s="4">
        <v>45980</v>
      </c>
      <c r="F56" s="4">
        <v>45990</v>
      </c>
      <c r="G56" s="8">
        <v>10</v>
      </c>
      <c r="H56" t="s">
        <v>15</v>
      </c>
      <c r="I56">
        <v>8</v>
      </c>
      <c r="J56" t="s">
        <v>21</v>
      </c>
      <c r="K56" t="s">
        <v>17</v>
      </c>
      <c r="L56" s="6">
        <v>10470.52</v>
      </c>
      <c r="M56" t="str">
        <f>TEXT(Table1[[#This Row],[Admission_Date]], "mmm")</f>
        <v>Nov</v>
      </c>
      <c r="N56">
        <f>YEAR(Table1[[#This Row],[Admission_Date]])</f>
        <v>2025</v>
      </c>
      <c r="O56" t="str">
        <f>IF(Table1[[#This Row],[Age]]&lt;30, "Young Adult", IF(Table1[[#This Row],[Age]]&lt;60, "Adult", "Senior"))</f>
        <v>Senior</v>
      </c>
    </row>
    <row r="57" spans="1:15" x14ac:dyDescent="0.25">
      <c r="A57" t="s">
        <v>84</v>
      </c>
      <c r="B57">
        <v>40</v>
      </c>
      <c r="C57" t="s">
        <v>24</v>
      </c>
      <c r="D57" t="s">
        <v>19</v>
      </c>
      <c r="E57" s="4">
        <v>45712</v>
      </c>
      <c r="F57" s="4">
        <v>45725</v>
      </c>
      <c r="G57" s="8">
        <v>13</v>
      </c>
      <c r="H57" t="s">
        <v>20</v>
      </c>
      <c r="I57">
        <v>0</v>
      </c>
      <c r="J57" t="s">
        <v>21</v>
      </c>
      <c r="K57" t="s">
        <v>22</v>
      </c>
      <c r="L57" s="6">
        <v>7118.7</v>
      </c>
      <c r="M57" t="str">
        <f>TEXT(Table1[[#This Row],[Admission_Date]], "mmm")</f>
        <v>Feb</v>
      </c>
      <c r="N57">
        <f>YEAR(Table1[[#This Row],[Admission_Date]])</f>
        <v>2025</v>
      </c>
      <c r="O57" t="str">
        <f>IF(Table1[[#This Row],[Age]]&lt;30, "Young Adult", IF(Table1[[#This Row],[Age]]&lt;60, "Adult", "Senior"))</f>
        <v>Adult</v>
      </c>
    </row>
    <row r="58" spans="1:15" x14ac:dyDescent="0.25">
      <c r="A58" t="s">
        <v>85</v>
      </c>
      <c r="B58">
        <v>89</v>
      </c>
      <c r="C58" t="s">
        <v>24</v>
      </c>
      <c r="D58" t="s">
        <v>40</v>
      </c>
      <c r="E58" s="4">
        <v>45895</v>
      </c>
      <c r="F58" s="4">
        <v>45906</v>
      </c>
      <c r="G58" s="8">
        <v>11</v>
      </c>
      <c r="H58" t="s">
        <v>20</v>
      </c>
      <c r="I58">
        <v>0</v>
      </c>
      <c r="J58" t="s">
        <v>29</v>
      </c>
      <c r="K58" t="s">
        <v>17</v>
      </c>
      <c r="L58" s="6">
        <v>6965.75</v>
      </c>
      <c r="M58" t="str">
        <f>TEXT(Table1[[#This Row],[Admission_Date]], "mmm")</f>
        <v>Aug</v>
      </c>
      <c r="N58">
        <f>YEAR(Table1[[#This Row],[Admission_Date]])</f>
        <v>2025</v>
      </c>
      <c r="O58" t="str">
        <f>IF(Table1[[#This Row],[Age]]&lt;30, "Young Adult", IF(Table1[[#This Row],[Age]]&lt;60, "Adult", "Senior"))</f>
        <v>Senior</v>
      </c>
    </row>
    <row r="59" spans="1:15" x14ac:dyDescent="0.25">
      <c r="A59" t="s">
        <v>86</v>
      </c>
      <c r="B59">
        <v>75</v>
      </c>
      <c r="C59" t="s">
        <v>24</v>
      </c>
      <c r="D59" t="s">
        <v>14</v>
      </c>
      <c r="E59" s="4">
        <v>45739</v>
      </c>
      <c r="F59" s="4">
        <v>45751</v>
      </c>
      <c r="G59" s="8">
        <v>12</v>
      </c>
      <c r="H59" t="s">
        <v>20</v>
      </c>
      <c r="I59">
        <v>0</v>
      </c>
      <c r="J59" t="s">
        <v>25</v>
      </c>
      <c r="K59" t="s">
        <v>17</v>
      </c>
      <c r="L59" s="6">
        <v>7526.66</v>
      </c>
      <c r="M59" t="str">
        <f>TEXT(Table1[[#This Row],[Admission_Date]], "mmm")</f>
        <v>Mar</v>
      </c>
      <c r="N59">
        <f>YEAR(Table1[[#This Row],[Admission_Date]])</f>
        <v>2025</v>
      </c>
      <c r="O59" t="str">
        <f>IF(Table1[[#This Row],[Age]]&lt;30, "Young Adult", IF(Table1[[#This Row],[Age]]&lt;60, "Adult", "Senior"))</f>
        <v>Senior</v>
      </c>
    </row>
    <row r="60" spans="1:15" x14ac:dyDescent="0.25">
      <c r="A60" t="s">
        <v>87</v>
      </c>
      <c r="B60">
        <v>54</v>
      </c>
      <c r="C60" t="s">
        <v>13</v>
      </c>
      <c r="D60" t="s">
        <v>32</v>
      </c>
      <c r="E60" s="4">
        <v>45780</v>
      </c>
      <c r="F60" s="4">
        <v>45785</v>
      </c>
      <c r="G60" s="8">
        <v>5</v>
      </c>
      <c r="H60" t="s">
        <v>20</v>
      </c>
      <c r="I60">
        <v>0</v>
      </c>
      <c r="J60" t="s">
        <v>25</v>
      </c>
      <c r="K60" t="s">
        <v>47</v>
      </c>
      <c r="L60" s="6">
        <v>13448.89</v>
      </c>
      <c r="M60" t="str">
        <f>TEXT(Table1[[#This Row],[Admission_Date]], "mmm")</f>
        <v>May</v>
      </c>
      <c r="N60">
        <f>YEAR(Table1[[#This Row],[Admission_Date]])</f>
        <v>2025</v>
      </c>
      <c r="O60" t="str">
        <f>IF(Table1[[#This Row],[Age]]&lt;30, "Young Adult", IF(Table1[[#This Row],[Age]]&lt;60, "Adult", "Senior"))</f>
        <v>Adult</v>
      </c>
    </row>
    <row r="61" spans="1:15" x14ac:dyDescent="0.25">
      <c r="A61" t="s">
        <v>88</v>
      </c>
      <c r="B61">
        <v>67</v>
      </c>
      <c r="C61" t="s">
        <v>13</v>
      </c>
      <c r="D61" t="s">
        <v>28</v>
      </c>
      <c r="E61" s="4">
        <v>45699</v>
      </c>
      <c r="F61" s="4">
        <v>45702</v>
      </c>
      <c r="G61" s="8">
        <v>3</v>
      </c>
      <c r="H61" t="s">
        <v>15</v>
      </c>
      <c r="I61">
        <v>7</v>
      </c>
      <c r="J61" t="s">
        <v>16</v>
      </c>
      <c r="K61" t="s">
        <v>47</v>
      </c>
      <c r="L61" s="6">
        <v>6410.19</v>
      </c>
      <c r="M61" t="str">
        <f>TEXT(Table1[[#This Row],[Admission_Date]], "mmm")</f>
        <v>Feb</v>
      </c>
      <c r="N61">
        <f>YEAR(Table1[[#This Row],[Admission_Date]])</f>
        <v>2025</v>
      </c>
      <c r="O61" t="str">
        <f>IF(Table1[[#This Row],[Age]]&lt;30, "Young Adult", IF(Table1[[#This Row],[Age]]&lt;60, "Adult", "Senior"))</f>
        <v>Senior</v>
      </c>
    </row>
    <row r="62" spans="1:15" x14ac:dyDescent="0.25">
      <c r="A62" t="s">
        <v>89</v>
      </c>
      <c r="B62">
        <v>44</v>
      </c>
      <c r="C62" t="s">
        <v>24</v>
      </c>
      <c r="D62" t="s">
        <v>40</v>
      </c>
      <c r="E62" s="4">
        <v>45935</v>
      </c>
      <c r="F62" s="4">
        <v>45943</v>
      </c>
      <c r="G62" s="8">
        <v>8</v>
      </c>
      <c r="H62" t="s">
        <v>20</v>
      </c>
      <c r="I62">
        <v>0</v>
      </c>
      <c r="J62" t="s">
        <v>16</v>
      </c>
      <c r="K62" t="s">
        <v>17</v>
      </c>
      <c r="L62" s="6">
        <v>6015.52</v>
      </c>
      <c r="M62" t="str">
        <f>TEXT(Table1[[#This Row],[Admission_Date]], "mmm")</f>
        <v>Oct</v>
      </c>
      <c r="N62">
        <f>YEAR(Table1[[#This Row],[Admission_Date]])</f>
        <v>2025</v>
      </c>
      <c r="O62" t="str">
        <f>IF(Table1[[#This Row],[Age]]&lt;30, "Young Adult", IF(Table1[[#This Row],[Age]]&lt;60, "Adult", "Senior"))</f>
        <v>Adult</v>
      </c>
    </row>
    <row r="63" spans="1:15" x14ac:dyDescent="0.25">
      <c r="A63" t="s">
        <v>90</v>
      </c>
      <c r="B63">
        <v>67</v>
      </c>
      <c r="C63" t="s">
        <v>24</v>
      </c>
      <c r="D63" t="s">
        <v>34</v>
      </c>
      <c r="E63" s="4">
        <v>45661</v>
      </c>
      <c r="F63" s="4">
        <v>45667</v>
      </c>
      <c r="G63" s="8">
        <v>6</v>
      </c>
      <c r="H63" t="s">
        <v>15</v>
      </c>
      <c r="I63">
        <v>24</v>
      </c>
      <c r="J63" t="s">
        <v>21</v>
      </c>
      <c r="K63" t="s">
        <v>47</v>
      </c>
      <c r="L63" s="6">
        <v>3681.61</v>
      </c>
      <c r="M63" t="str">
        <f>TEXT(Table1[[#This Row],[Admission_Date]], "mmm")</f>
        <v>Jan</v>
      </c>
      <c r="N63">
        <f>YEAR(Table1[[#This Row],[Admission_Date]])</f>
        <v>2025</v>
      </c>
      <c r="O63" t="str">
        <f>IF(Table1[[#This Row],[Age]]&lt;30, "Young Adult", IF(Table1[[#This Row],[Age]]&lt;60, "Adult", "Senior"))</f>
        <v>Senior</v>
      </c>
    </row>
    <row r="64" spans="1:15" x14ac:dyDescent="0.25">
      <c r="A64" t="s">
        <v>91</v>
      </c>
      <c r="B64">
        <v>61</v>
      </c>
      <c r="C64" t="s">
        <v>24</v>
      </c>
      <c r="D64" t="s">
        <v>28</v>
      </c>
      <c r="E64" s="4">
        <v>45881</v>
      </c>
      <c r="F64" s="4">
        <v>45889</v>
      </c>
      <c r="G64" s="8">
        <v>8</v>
      </c>
      <c r="H64" t="s">
        <v>15</v>
      </c>
      <c r="I64">
        <v>6</v>
      </c>
      <c r="J64" t="s">
        <v>29</v>
      </c>
      <c r="K64" t="s">
        <v>22</v>
      </c>
      <c r="L64" s="6">
        <v>14720.47</v>
      </c>
      <c r="M64" t="str">
        <f>TEXT(Table1[[#This Row],[Admission_Date]], "mmm")</f>
        <v>Aug</v>
      </c>
      <c r="N64">
        <f>YEAR(Table1[[#This Row],[Admission_Date]])</f>
        <v>2025</v>
      </c>
      <c r="O64" t="str">
        <f>IF(Table1[[#This Row],[Age]]&lt;30, "Young Adult", IF(Table1[[#This Row],[Age]]&lt;60, "Adult", "Senior"))</f>
        <v>Senior</v>
      </c>
    </row>
    <row r="65" spans="1:15" x14ac:dyDescent="0.25">
      <c r="A65" t="s">
        <v>92</v>
      </c>
      <c r="B65">
        <v>90</v>
      </c>
      <c r="C65" t="s">
        <v>13</v>
      </c>
      <c r="D65" t="s">
        <v>19</v>
      </c>
      <c r="E65" s="4">
        <v>45931</v>
      </c>
      <c r="F65" s="4">
        <v>45932</v>
      </c>
      <c r="G65" s="8">
        <v>1</v>
      </c>
      <c r="H65" t="s">
        <v>20</v>
      </c>
      <c r="I65">
        <v>0</v>
      </c>
      <c r="J65" t="s">
        <v>29</v>
      </c>
      <c r="K65" t="s">
        <v>22</v>
      </c>
      <c r="L65" s="6">
        <v>13069.34</v>
      </c>
      <c r="M65" t="str">
        <f>TEXT(Table1[[#This Row],[Admission_Date]], "mmm")</f>
        <v>Oct</v>
      </c>
      <c r="N65">
        <f>YEAR(Table1[[#This Row],[Admission_Date]])</f>
        <v>2025</v>
      </c>
      <c r="O65" t="str">
        <f>IF(Table1[[#This Row],[Age]]&lt;30, "Young Adult", IF(Table1[[#This Row],[Age]]&lt;60, "Adult", "Senior"))</f>
        <v>Senior</v>
      </c>
    </row>
    <row r="66" spans="1:15" x14ac:dyDescent="0.25">
      <c r="A66" t="s">
        <v>93</v>
      </c>
      <c r="B66">
        <v>59</v>
      </c>
      <c r="C66" t="s">
        <v>13</v>
      </c>
      <c r="D66" t="s">
        <v>40</v>
      </c>
      <c r="E66" s="4">
        <v>45751</v>
      </c>
      <c r="F66" s="4">
        <v>45752</v>
      </c>
      <c r="G66" s="8">
        <v>1</v>
      </c>
      <c r="H66" t="s">
        <v>15</v>
      </c>
      <c r="I66">
        <v>11</v>
      </c>
      <c r="J66" t="s">
        <v>25</v>
      </c>
      <c r="K66" t="s">
        <v>47</v>
      </c>
      <c r="L66" s="6">
        <v>4534.72</v>
      </c>
      <c r="M66" t="str">
        <f>TEXT(Table1[[#This Row],[Admission_Date]], "mmm")</f>
        <v>Apr</v>
      </c>
      <c r="N66">
        <f>YEAR(Table1[[#This Row],[Admission_Date]])</f>
        <v>2025</v>
      </c>
      <c r="O66" t="str">
        <f>IF(Table1[[#This Row],[Age]]&lt;30, "Young Adult", IF(Table1[[#This Row],[Age]]&lt;60, "Adult", "Senior"))</f>
        <v>Adult</v>
      </c>
    </row>
    <row r="67" spans="1:15" x14ac:dyDescent="0.25">
      <c r="A67" t="s">
        <v>94</v>
      </c>
      <c r="B67">
        <v>78</v>
      </c>
      <c r="C67" t="s">
        <v>13</v>
      </c>
      <c r="D67" t="s">
        <v>28</v>
      </c>
      <c r="E67" s="4">
        <v>45873</v>
      </c>
      <c r="F67" s="4">
        <v>45878</v>
      </c>
      <c r="G67" s="8">
        <v>5</v>
      </c>
      <c r="H67" t="s">
        <v>20</v>
      </c>
      <c r="I67">
        <v>0</v>
      </c>
      <c r="J67" t="s">
        <v>16</v>
      </c>
      <c r="K67" t="s">
        <v>47</v>
      </c>
      <c r="L67" s="6">
        <v>3751.22</v>
      </c>
      <c r="M67" t="str">
        <f>TEXT(Table1[[#This Row],[Admission_Date]], "mmm")</f>
        <v>Aug</v>
      </c>
      <c r="N67">
        <f>YEAR(Table1[[#This Row],[Admission_Date]])</f>
        <v>2025</v>
      </c>
      <c r="O67" t="str">
        <f>IF(Table1[[#This Row],[Age]]&lt;30, "Young Adult", IF(Table1[[#This Row],[Age]]&lt;60, "Adult", "Senior"))</f>
        <v>Senior</v>
      </c>
    </row>
    <row r="68" spans="1:15" x14ac:dyDescent="0.25">
      <c r="A68" t="s">
        <v>95</v>
      </c>
      <c r="B68">
        <v>23</v>
      </c>
      <c r="C68" t="s">
        <v>13</v>
      </c>
      <c r="D68" t="s">
        <v>14</v>
      </c>
      <c r="E68" s="4">
        <v>45693</v>
      </c>
      <c r="F68" s="4">
        <v>45706</v>
      </c>
      <c r="G68" s="8">
        <v>13</v>
      </c>
      <c r="H68" t="s">
        <v>20</v>
      </c>
      <c r="I68">
        <v>0</v>
      </c>
      <c r="J68" t="s">
        <v>21</v>
      </c>
      <c r="K68" t="s">
        <v>22</v>
      </c>
      <c r="L68" s="6">
        <v>9509.3700000000008</v>
      </c>
      <c r="M68" t="str">
        <f>TEXT(Table1[[#This Row],[Admission_Date]], "mmm")</f>
        <v>Feb</v>
      </c>
      <c r="N68">
        <f>YEAR(Table1[[#This Row],[Admission_Date]])</f>
        <v>2025</v>
      </c>
      <c r="O68" t="str">
        <f>IF(Table1[[#This Row],[Age]]&lt;30, "Young Adult", IF(Table1[[#This Row],[Age]]&lt;60, "Adult", "Senior"))</f>
        <v>Young Adult</v>
      </c>
    </row>
    <row r="69" spans="1:15" x14ac:dyDescent="0.25">
      <c r="A69" t="s">
        <v>96</v>
      </c>
      <c r="B69">
        <v>32</v>
      </c>
      <c r="C69" t="s">
        <v>13</v>
      </c>
      <c r="D69" t="s">
        <v>40</v>
      </c>
      <c r="E69" s="4">
        <v>45780</v>
      </c>
      <c r="F69" s="4">
        <v>45783</v>
      </c>
      <c r="G69" s="8">
        <v>3</v>
      </c>
      <c r="H69" t="s">
        <v>20</v>
      </c>
      <c r="I69">
        <v>0</v>
      </c>
      <c r="J69" t="s">
        <v>25</v>
      </c>
      <c r="K69" t="s">
        <v>47</v>
      </c>
      <c r="L69" s="6">
        <v>2932.94</v>
      </c>
      <c r="M69" t="str">
        <f>TEXT(Table1[[#This Row],[Admission_Date]], "mmm")</f>
        <v>May</v>
      </c>
      <c r="N69">
        <f>YEAR(Table1[[#This Row],[Admission_Date]])</f>
        <v>2025</v>
      </c>
      <c r="O69" t="str">
        <f>IF(Table1[[#This Row],[Age]]&lt;30, "Young Adult", IF(Table1[[#This Row],[Age]]&lt;60, "Adult", "Senior"))</f>
        <v>Adult</v>
      </c>
    </row>
    <row r="70" spans="1:15" x14ac:dyDescent="0.25">
      <c r="A70" t="s">
        <v>97</v>
      </c>
      <c r="B70">
        <v>38</v>
      </c>
      <c r="C70" t="s">
        <v>24</v>
      </c>
      <c r="D70" t="s">
        <v>19</v>
      </c>
      <c r="E70" s="4">
        <v>45968</v>
      </c>
      <c r="F70" s="4">
        <v>45980</v>
      </c>
      <c r="G70" s="8">
        <v>12</v>
      </c>
      <c r="H70" t="s">
        <v>20</v>
      </c>
      <c r="I70">
        <v>0</v>
      </c>
      <c r="J70" t="s">
        <v>16</v>
      </c>
      <c r="K70" t="s">
        <v>47</v>
      </c>
      <c r="L70" s="6">
        <v>8849.0499999999993</v>
      </c>
      <c r="M70" t="str">
        <f>TEXT(Table1[[#This Row],[Admission_Date]], "mmm")</f>
        <v>Nov</v>
      </c>
      <c r="N70">
        <f>YEAR(Table1[[#This Row],[Admission_Date]])</f>
        <v>2025</v>
      </c>
      <c r="O70" t="str">
        <f>IF(Table1[[#This Row],[Age]]&lt;30, "Young Adult", IF(Table1[[#This Row],[Age]]&lt;60, "Adult", "Senior"))</f>
        <v>Adult</v>
      </c>
    </row>
    <row r="71" spans="1:15" x14ac:dyDescent="0.25">
      <c r="A71" t="s">
        <v>98</v>
      </c>
      <c r="B71">
        <v>43</v>
      </c>
      <c r="C71" t="s">
        <v>13</v>
      </c>
      <c r="D71" t="s">
        <v>34</v>
      </c>
      <c r="E71" s="4">
        <v>45850</v>
      </c>
      <c r="F71" s="4">
        <v>45857</v>
      </c>
      <c r="G71" s="8">
        <v>7</v>
      </c>
      <c r="H71" t="s">
        <v>20</v>
      </c>
      <c r="I71">
        <v>0</v>
      </c>
      <c r="J71" t="s">
        <v>21</v>
      </c>
      <c r="K71" t="s">
        <v>22</v>
      </c>
      <c r="L71" s="6">
        <v>10609.3</v>
      </c>
      <c r="M71" t="str">
        <f>TEXT(Table1[[#This Row],[Admission_Date]], "mmm")</f>
        <v>Jul</v>
      </c>
      <c r="N71">
        <f>YEAR(Table1[[#This Row],[Admission_Date]])</f>
        <v>2025</v>
      </c>
      <c r="O71" t="str">
        <f>IF(Table1[[#This Row],[Age]]&lt;30, "Young Adult", IF(Table1[[#This Row],[Age]]&lt;60, "Adult", "Senior"))</f>
        <v>Adult</v>
      </c>
    </row>
    <row r="72" spans="1:15" x14ac:dyDescent="0.25">
      <c r="A72" t="s">
        <v>99</v>
      </c>
      <c r="B72">
        <v>33</v>
      </c>
      <c r="C72" t="s">
        <v>13</v>
      </c>
      <c r="D72" t="s">
        <v>32</v>
      </c>
      <c r="E72" s="4">
        <v>45812</v>
      </c>
      <c r="F72" s="4">
        <v>45826</v>
      </c>
      <c r="G72" s="8">
        <v>14</v>
      </c>
      <c r="H72" t="s">
        <v>20</v>
      </c>
      <c r="I72">
        <v>0</v>
      </c>
      <c r="J72" t="s">
        <v>29</v>
      </c>
      <c r="K72" t="s">
        <v>17</v>
      </c>
      <c r="L72" s="6">
        <v>5873.28</v>
      </c>
      <c r="M72" t="str">
        <f>TEXT(Table1[[#This Row],[Admission_Date]], "mmm")</f>
        <v>Jun</v>
      </c>
      <c r="N72">
        <f>YEAR(Table1[[#This Row],[Admission_Date]])</f>
        <v>2025</v>
      </c>
      <c r="O72" t="str">
        <f>IF(Table1[[#This Row],[Age]]&lt;30, "Young Adult", IF(Table1[[#This Row],[Age]]&lt;60, "Adult", "Senior"))</f>
        <v>Adult</v>
      </c>
    </row>
    <row r="73" spans="1:15" x14ac:dyDescent="0.25">
      <c r="A73" t="s">
        <v>100</v>
      </c>
      <c r="B73">
        <v>71</v>
      </c>
      <c r="C73" t="s">
        <v>24</v>
      </c>
      <c r="D73" t="s">
        <v>19</v>
      </c>
      <c r="E73" s="4">
        <v>45917</v>
      </c>
      <c r="F73" s="4">
        <v>45928</v>
      </c>
      <c r="G73" s="8">
        <v>11</v>
      </c>
      <c r="H73" t="s">
        <v>20</v>
      </c>
      <c r="I73">
        <v>0</v>
      </c>
      <c r="J73" t="s">
        <v>29</v>
      </c>
      <c r="K73" t="s">
        <v>47</v>
      </c>
      <c r="L73" s="6">
        <v>9715.98</v>
      </c>
      <c r="M73" t="str">
        <f>TEXT(Table1[[#This Row],[Admission_Date]], "mmm")</f>
        <v>Sep</v>
      </c>
      <c r="N73">
        <f>YEAR(Table1[[#This Row],[Admission_Date]])</f>
        <v>2025</v>
      </c>
      <c r="O73" t="str">
        <f>IF(Table1[[#This Row],[Age]]&lt;30, "Young Adult", IF(Table1[[#This Row],[Age]]&lt;60, "Adult", "Senior"))</f>
        <v>Senior</v>
      </c>
    </row>
    <row r="74" spans="1:15" x14ac:dyDescent="0.25">
      <c r="A74" t="s">
        <v>101</v>
      </c>
      <c r="B74">
        <v>40</v>
      </c>
      <c r="C74" t="s">
        <v>24</v>
      </c>
      <c r="D74" t="s">
        <v>34</v>
      </c>
      <c r="E74" s="4">
        <v>45893</v>
      </c>
      <c r="F74" s="4">
        <v>45905</v>
      </c>
      <c r="G74" s="8">
        <v>12</v>
      </c>
      <c r="H74" t="s">
        <v>15</v>
      </c>
      <c r="I74">
        <v>26</v>
      </c>
      <c r="J74" t="s">
        <v>29</v>
      </c>
      <c r="K74" t="s">
        <v>47</v>
      </c>
      <c r="L74" s="6">
        <v>6815.83</v>
      </c>
      <c r="M74" t="str">
        <f>TEXT(Table1[[#This Row],[Admission_Date]], "mmm")</f>
        <v>Aug</v>
      </c>
      <c r="N74">
        <f>YEAR(Table1[[#This Row],[Admission_Date]])</f>
        <v>2025</v>
      </c>
      <c r="O74" t="str">
        <f>IF(Table1[[#This Row],[Age]]&lt;30, "Young Adult", IF(Table1[[#This Row],[Age]]&lt;60, "Adult", "Senior"))</f>
        <v>Adult</v>
      </c>
    </row>
    <row r="75" spans="1:15" x14ac:dyDescent="0.25">
      <c r="A75" t="s">
        <v>102</v>
      </c>
      <c r="B75">
        <v>49</v>
      </c>
      <c r="C75" t="s">
        <v>13</v>
      </c>
      <c r="D75" t="s">
        <v>32</v>
      </c>
      <c r="E75" s="4">
        <v>45961</v>
      </c>
      <c r="F75" s="4">
        <v>45966</v>
      </c>
      <c r="G75" s="8">
        <v>5</v>
      </c>
      <c r="H75" t="s">
        <v>20</v>
      </c>
      <c r="I75">
        <v>0</v>
      </c>
      <c r="J75" t="s">
        <v>29</v>
      </c>
      <c r="K75" t="s">
        <v>22</v>
      </c>
      <c r="L75" s="6">
        <v>11381.91</v>
      </c>
      <c r="M75" t="str">
        <f>TEXT(Table1[[#This Row],[Admission_Date]], "mmm")</f>
        <v>Oct</v>
      </c>
      <c r="N75">
        <f>YEAR(Table1[[#This Row],[Admission_Date]])</f>
        <v>2025</v>
      </c>
      <c r="O75" t="str">
        <f>IF(Table1[[#This Row],[Age]]&lt;30, "Young Adult", IF(Table1[[#This Row],[Age]]&lt;60, "Adult", "Senior"))</f>
        <v>Adult</v>
      </c>
    </row>
    <row r="76" spans="1:15" x14ac:dyDescent="0.25">
      <c r="A76" t="s">
        <v>103</v>
      </c>
      <c r="B76">
        <v>61</v>
      </c>
      <c r="C76" t="s">
        <v>13</v>
      </c>
      <c r="D76" t="s">
        <v>40</v>
      </c>
      <c r="E76" s="4">
        <v>45949</v>
      </c>
      <c r="F76" s="4">
        <v>45959</v>
      </c>
      <c r="G76" s="8">
        <v>10</v>
      </c>
      <c r="H76" t="s">
        <v>20</v>
      </c>
      <c r="I76">
        <v>0</v>
      </c>
      <c r="J76" t="s">
        <v>25</v>
      </c>
      <c r="K76" t="s">
        <v>22</v>
      </c>
      <c r="L76" s="6">
        <v>7569.47</v>
      </c>
      <c r="M76" t="str">
        <f>TEXT(Table1[[#This Row],[Admission_Date]], "mmm")</f>
        <v>Oct</v>
      </c>
      <c r="N76">
        <f>YEAR(Table1[[#This Row],[Admission_Date]])</f>
        <v>2025</v>
      </c>
      <c r="O76" t="str">
        <f>IF(Table1[[#This Row],[Age]]&lt;30, "Young Adult", IF(Table1[[#This Row],[Age]]&lt;60, "Adult", "Senior"))</f>
        <v>Senior</v>
      </c>
    </row>
    <row r="77" spans="1:15" x14ac:dyDescent="0.25">
      <c r="A77" t="s">
        <v>104</v>
      </c>
      <c r="B77">
        <v>53</v>
      </c>
      <c r="C77" t="s">
        <v>24</v>
      </c>
      <c r="D77" t="s">
        <v>34</v>
      </c>
      <c r="E77" s="4">
        <v>45839</v>
      </c>
      <c r="F77" s="4">
        <v>45852</v>
      </c>
      <c r="G77" s="8">
        <v>13</v>
      </c>
      <c r="H77" t="s">
        <v>15</v>
      </c>
      <c r="I77">
        <v>1</v>
      </c>
      <c r="J77" t="s">
        <v>21</v>
      </c>
      <c r="K77" t="s">
        <v>22</v>
      </c>
      <c r="L77" s="6">
        <v>3999.66</v>
      </c>
      <c r="M77" t="str">
        <f>TEXT(Table1[[#This Row],[Admission_Date]], "mmm")</f>
        <v>Jul</v>
      </c>
      <c r="N77">
        <f>YEAR(Table1[[#This Row],[Admission_Date]])</f>
        <v>2025</v>
      </c>
      <c r="O77" t="str">
        <f>IF(Table1[[#This Row],[Age]]&lt;30, "Young Adult", IF(Table1[[#This Row],[Age]]&lt;60, "Adult", "Senior"))</f>
        <v>Adult</v>
      </c>
    </row>
    <row r="78" spans="1:15" x14ac:dyDescent="0.25">
      <c r="A78" t="s">
        <v>105</v>
      </c>
      <c r="B78">
        <v>48</v>
      </c>
      <c r="C78" t="s">
        <v>24</v>
      </c>
      <c r="D78" t="s">
        <v>28</v>
      </c>
      <c r="E78" s="4">
        <v>45866</v>
      </c>
      <c r="F78" s="4">
        <v>45874</v>
      </c>
      <c r="G78" s="8">
        <v>8</v>
      </c>
      <c r="H78" t="s">
        <v>20</v>
      </c>
      <c r="I78">
        <v>0</v>
      </c>
      <c r="J78" t="s">
        <v>29</v>
      </c>
      <c r="K78" t="s">
        <v>47</v>
      </c>
      <c r="L78" s="6">
        <v>11997.53</v>
      </c>
      <c r="M78" t="str">
        <f>TEXT(Table1[[#This Row],[Admission_Date]], "mmm")</f>
        <v>Jul</v>
      </c>
      <c r="N78">
        <f>YEAR(Table1[[#This Row],[Admission_Date]])</f>
        <v>2025</v>
      </c>
      <c r="O78" t="str">
        <f>IF(Table1[[#This Row],[Age]]&lt;30, "Young Adult", IF(Table1[[#This Row],[Age]]&lt;60, "Adult", "Senior"))</f>
        <v>Adult</v>
      </c>
    </row>
    <row r="79" spans="1:15" x14ac:dyDescent="0.25">
      <c r="A79" t="s">
        <v>106</v>
      </c>
      <c r="B79">
        <v>49</v>
      </c>
      <c r="C79" t="s">
        <v>24</v>
      </c>
      <c r="D79" t="s">
        <v>28</v>
      </c>
      <c r="E79" s="4">
        <v>45705</v>
      </c>
      <c r="F79" s="4">
        <v>45710</v>
      </c>
      <c r="G79" s="8">
        <v>5</v>
      </c>
      <c r="H79" t="s">
        <v>15</v>
      </c>
      <c r="I79">
        <v>19</v>
      </c>
      <c r="J79" t="s">
        <v>25</v>
      </c>
      <c r="K79" t="s">
        <v>47</v>
      </c>
      <c r="L79" s="6">
        <v>8525.36</v>
      </c>
      <c r="M79" t="str">
        <f>TEXT(Table1[[#This Row],[Admission_Date]], "mmm")</f>
        <v>Feb</v>
      </c>
      <c r="N79">
        <f>YEAR(Table1[[#This Row],[Admission_Date]])</f>
        <v>2025</v>
      </c>
      <c r="O79" t="str">
        <f>IF(Table1[[#This Row],[Age]]&lt;30, "Young Adult", IF(Table1[[#This Row],[Age]]&lt;60, "Adult", "Senior"))</f>
        <v>Adult</v>
      </c>
    </row>
    <row r="80" spans="1:15" x14ac:dyDescent="0.25">
      <c r="A80" t="s">
        <v>107</v>
      </c>
      <c r="B80">
        <v>88</v>
      </c>
      <c r="C80" t="s">
        <v>24</v>
      </c>
      <c r="D80" t="s">
        <v>32</v>
      </c>
      <c r="E80" s="4">
        <v>45834</v>
      </c>
      <c r="F80" s="4">
        <v>45841</v>
      </c>
      <c r="G80" s="8">
        <v>7</v>
      </c>
      <c r="H80" t="s">
        <v>20</v>
      </c>
      <c r="I80">
        <v>0</v>
      </c>
      <c r="J80" t="s">
        <v>29</v>
      </c>
      <c r="K80" t="s">
        <v>47</v>
      </c>
      <c r="L80" s="6">
        <v>4946.03</v>
      </c>
      <c r="M80" t="str">
        <f>TEXT(Table1[[#This Row],[Admission_Date]], "mmm")</f>
        <v>Jun</v>
      </c>
      <c r="N80">
        <f>YEAR(Table1[[#This Row],[Admission_Date]])</f>
        <v>2025</v>
      </c>
      <c r="O80" t="str">
        <f>IF(Table1[[#This Row],[Age]]&lt;30, "Young Adult", IF(Table1[[#This Row],[Age]]&lt;60, "Adult", "Senior"))</f>
        <v>Senior</v>
      </c>
    </row>
    <row r="81" spans="1:15" x14ac:dyDescent="0.25">
      <c r="A81" t="s">
        <v>108</v>
      </c>
      <c r="B81">
        <v>58</v>
      </c>
      <c r="C81" t="s">
        <v>13</v>
      </c>
      <c r="D81" t="s">
        <v>28</v>
      </c>
      <c r="E81" s="4">
        <v>45776</v>
      </c>
      <c r="F81" s="4">
        <v>45778</v>
      </c>
      <c r="G81" s="8">
        <v>2</v>
      </c>
      <c r="H81" t="s">
        <v>20</v>
      </c>
      <c r="I81">
        <v>0</v>
      </c>
      <c r="J81" t="s">
        <v>21</v>
      </c>
      <c r="K81" t="s">
        <v>22</v>
      </c>
      <c r="L81" s="6">
        <v>3637.58</v>
      </c>
      <c r="M81" t="str">
        <f>TEXT(Table1[[#This Row],[Admission_Date]], "mmm")</f>
        <v>Apr</v>
      </c>
      <c r="N81">
        <f>YEAR(Table1[[#This Row],[Admission_Date]])</f>
        <v>2025</v>
      </c>
      <c r="O81" t="str">
        <f>IF(Table1[[#This Row],[Age]]&lt;30, "Young Adult", IF(Table1[[#This Row],[Age]]&lt;60, "Adult", "Senior"))</f>
        <v>Adult</v>
      </c>
    </row>
    <row r="82" spans="1:15" x14ac:dyDescent="0.25">
      <c r="A82" t="s">
        <v>109</v>
      </c>
      <c r="B82">
        <v>85</v>
      </c>
      <c r="C82" t="s">
        <v>24</v>
      </c>
      <c r="D82" t="s">
        <v>19</v>
      </c>
      <c r="E82" s="4">
        <v>45905</v>
      </c>
      <c r="F82" s="4">
        <v>45910</v>
      </c>
      <c r="G82" s="8">
        <v>5</v>
      </c>
      <c r="H82" t="s">
        <v>20</v>
      </c>
      <c r="I82">
        <v>0</v>
      </c>
      <c r="J82" t="s">
        <v>21</v>
      </c>
      <c r="K82" t="s">
        <v>47</v>
      </c>
      <c r="L82" s="6">
        <v>3798.51</v>
      </c>
      <c r="M82" t="str">
        <f>TEXT(Table1[[#This Row],[Admission_Date]], "mmm")</f>
        <v>Sep</v>
      </c>
      <c r="N82">
        <f>YEAR(Table1[[#This Row],[Admission_Date]])</f>
        <v>2025</v>
      </c>
      <c r="O82" t="str">
        <f>IF(Table1[[#This Row],[Age]]&lt;30, "Young Adult", IF(Table1[[#This Row],[Age]]&lt;60, "Adult", "Senior"))</f>
        <v>Senior</v>
      </c>
    </row>
    <row r="83" spans="1:15" x14ac:dyDescent="0.25">
      <c r="A83" t="s">
        <v>110</v>
      </c>
      <c r="B83">
        <v>86</v>
      </c>
      <c r="C83" t="s">
        <v>13</v>
      </c>
      <c r="D83" t="s">
        <v>32</v>
      </c>
      <c r="E83" s="4">
        <v>45749</v>
      </c>
      <c r="F83" s="4">
        <v>45754</v>
      </c>
      <c r="G83" s="8">
        <v>5</v>
      </c>
      <c r="H83" t="s">
        <v>15</v>
      </c>
      <c r="I83">
        <v>2</v>
      </c>
      <c r="J83" t="s">
        <v>16</v>
      </c>
      <c r="K83" t="s">
        <v>17</v>
      </c>
      <c r="L83" s="6">
        <v>4735.9799999999996</v>
      </c>
      <c r="M83" t="str">
        <f>TEXT(Table1[[#This Row],[Admission_Date]], "mmm")</f>
        <v>Apr</v>
      </c>
      <c r="N83">
        <f>YEAR(Table1[[#This Row],[Admission_Date]])</f>
        <v>2025</v>
      </c>
      <c r="O83" t="str">
        <f>IF(Table1[[#This Row],[Age]]&lt;30, "Young Adult", IF(Table1[[#This Row],[Age]]&lt;60, "Adult", "Senior"))</f>
        <v>Senior</v>
      </c>
    </row>
    <row r="84" spans="1:15" x14ac:dyDescent="0.25">
      <c r="A84" t="s">
        <v>111</v>
      </c>
      <c r="B84">
        <v>80</v>
      </c>
      <c r="C84" t="s">
        <v>13</v>
      </c>
      <c r="D84" t="s">
        <v>19</v>
      </c>
      <c r="E84" s="4">
        <v>45722</v>
      </c>
      <c r="F84" s="4">
        <v>45733</v>
      </c>
      <c r="G84" s="8">
        <v>11</v>
      </c>
      <c r="H84" t="s">
        <v>20</v>
      </c>
      <c r="I84">
        <v>0</v>
      </c>
      <c r="J84" t="s">
        <v>25</v>
      </c>
      <c r="K84" t="s">
        <v>47</v>
      </c>
      <c r="L84" s="6">
        <v>7441.36</v>
      </c>
      <c r="M84" t="str">
        <f>TEXT(Table1[[#This Row],[Admission_Date]], "mmm")</f>
        <v>Mar</v>
      </c>
      <c r="N84">
        <f>YEAR(Table1[[#This Row],[Admission_Date]])</f>
        <v>2025</v>
      </c>
      <c r="O84" t="str">
        <f>IF(Table1[[#This Row],[Age]]&lt;30, "Young Adult", IF(Table1[[#This Row],[Age]]&lt;60, "Adult", "Senior"))</f>
        <v>Senior</v>
      </c>
    </row>
    <row r="85" spans="1:15" x14ac:dyDescent="0.25">
      <c r="A85" t="s">
        <v>112</v>
      </c>
      <c r="B85">
        <v>50</v>
      </c>
      <c r="C85" t="s">
        <v>24</v>
      </c>
      <c r="D85" t="s">
        <v>19</v>
      </c>
      <c r="E85" s="4">
        <v>45832</v>
      </c>
      <c r="F85" s="4">
        <v>45835</v>
      </c>
      <c r="G85" s="8">
        <v>3</v>
      </c>
      <c r="H85" t="s">
        <v>20</v>
      </c>
      <c r="I85">
        <v>0</v>
      </c>
      <c r="J85" t="s">
        <v>16</v>
      </c>
      <c r="K85" t="s">
        <v>47</v>
      </c>
      <c r="L85" s="6">
        <v>7630.33</v>
      </c>
      <c r="M85" t="str">
        <f>TEXT(Table1[[#This Row],[Admission_Date]], "mmm")</f>
        <v>Jun</v>
      </c>
      <c r="N85">
        <f>YEAR(Table1[[#This Row],[Admission_Date]])</f>
        <v>2025</v>
      </c>
      <c r="O85" t="str">
        <f>IF(Table1[[#This Row],[Age]]&lt;30, "Young Adult", IF(Table1[[#This Row],[Age]]&lt;60, "Adult", "Senior"))</f>
        <v>Adult</v>
      </c>
    </row>
    <row r="86" spans="1:15" x14ac:dyDescent="0.25">
      <c r="A86" t="s">
        <v>113</v>
      </c>
      <c r="B86">
        <v>37</v>
      </c>
      <c r="C86" t="s">
        <v>13</v>
      </c>
      <c r="D86" t="s">
        <v>34</v>
      </c>
      <c r="E86" s="4">
        <v>45953</v>
      </c>
      <c r="F86" s="4">
        <v>45964</v>
      </c>
      <c r="G86" s="8">
        <v>11</v>
      </c>
      <c r="H86" t="s">
        <v>20</v>
      </c>
      <c r="I86">
        <v>0</v>
      </c>
      <c r="J86" t="s">
        <v>25</v>
      </c>
      <c r="K86" t="s">
        <v>22</v>
      </c>
      <c r="L86" s="6">
        <v>14911.81</v>
      </c>
      <c r="M86" t="str">
        <f>TEXT(Table1[[#This Row],[Admission_Date]], "mmm")</f>
        <v>Oct</v>
      </c>
      <c r="N86">
        <f>YEAR(Table1[[#This Row],[Admission_Date]])</f>
        <v>2025</v>
      </c>
      <c r="O86" t="str">
        <f>IF(Table1[[#This Row],[Age]]&lt;30, "Young Adult", IF(Table1[[#This Row],[Age]]&lt;60, "Adult", "Senior"))</f>
        <v>Adult</v>
      </c>
    </row>
    <row r="87" spans="1:15" x14ac:dyDescent="0.25">
      <c r="A87" t="s">
        <v>114</v>
      </c>
      <c r="B87">
        <v>46</v>
      </c>
      <c r="C87" t="s">
        <v>24</v>
      </c>
      <c r="D87" t="s">
        <v>40</v>
      </c>
      <c r="E87" s="4">
        <v>45718</v>
      </c>
      <c r="F87" s="4">
        <v>45727</v>
      </c>
      <c r="G87" s="8">
        <v>9</v>
      </c>
      <c r="H87" t="s">
        <v>20</v>
      </c>
      <c r="I87">
        <v>0</v>
      </c>
      <c r="J87" t="s">
        <v>29</v>
      </c>
      <c r="K87" t="s">
        <v>47</v>
      </c>
      <c r="L87" s="6">
        <v>12972.42</v>
      </c>
      <c r="M87" t="str">
        <f>TEXT(Table1[[#This Row],[Admission_Date]], "mmm")</f>
        <v>Mar</v>
      </c>
      <c r="N87">
        <f>YEAR(Table1[[#This Row],[Admission_Date]])</f>
        <v>2025</v>
      </c>
      <c r="O87" t="str">
        <f>IF(Table1[[#This Row],[Age]]&lt;30, "Young Adult", IF(Table1[[#This Row],[Age]]&lt;60, "Adult", "Senior"))</f>
        <v>Adult</v>
      </c>
    </row>
    <row r="88" spans="1:15" x14ac:dyDescent="0.25">
      <c r="A88" t="s">
        <v>115</v>
      </c>
      <c r="B88">
        <v>25</v>
      </c>
      <c r="C88" t="s">
        <v>13</v>
      </c>
      <c r="D88" t="s">
        <v>14</v>
      </c>
      <c r="E88" s="4">
        <v>45877</v>
      </c>
      <c r="F88" s="4">
        <v>45882</v>
      </c>
      <c r="G88" s="8">
        <v>5</v>
      </c>
      <c r="H88" t="s">
        <v>20</v>
      </c>
      <c r="I88">
        <v>0</v>
      </c>
      <c r="J88" t="s">
        <v>21</v>
      </c>
      <c r="K88" t="s">
        <v>47</v>
      </c>
      <c r="L88" s="6">
        <v>10076.209999999999</v>
      </c>
      <c r="M88" t="str">
        <f>TEXT(Table1[[#This Row],[Admission_Date]], "mmm")</f>
        <v>Aug</v>
      </c>
      <c r="N88">
        <f>YEAR(Table1[[#This Row],[Admission_Date]])</f>
        <v>2025</v>
      </c>
      <c r="O88" t="str">
        <f>IF(Table1[[#This Row],[Age]]&lt;30, "Young Adult", IF(Table1[[#This Row],[Age]]&lt;60, "Adult", "Senior"))</f>
        <v>Young Adult</v>
      </c>
    </row>
    <row r="89" spans="1:15" x14ac:dyDescent="0.25">
      <c r="A89" t="s">
        <v>116</v>
      </c>
      <c r="B89">
        <v>27</v>
      </c>
      <c r="C89" t="s">
        <v>13</v>
      </c>
      <c r="D89" t="s">
        <v>19</v>
      </c>
      <c r="E89" s="4">
        <v>45738</v>
      </c>
      <c r="F89" s="4">
        <v>45742</v>
      </c>
      <c r="G89" s="8">
        <v>4</v>
      </c>
      <c r="H89" t="s">
        <v>15</v>
      </c>
      <c r="I89">
        <v>14</v>
      </c>
      <c r="J89" t="s">
        <v>29</v>
      </c>
      <c r="K89" t="s">
        <v>17</v>
      </c>
      <c r="L89" s="6">
        <v>9110.26</v>
      </c>
      <c r="M89" t="str">
        <f>TEXT(Table1[[#This Row],[Admission_Date]], "mmm")</f>
        <v>Mar</v>
      </c>
      <c r="N89">
        <f>YEAR(Table1[[#This Row],[Admission_Date]])</f>
        <v>2025</v>
      </c>
      <c r="O89" t="str">
        <f>IF(Table1[[#This Row],[Age]]&lt;30, "Young Adult", IF(Table1[[#This Row],[Age]]&lt;60, "Adult", "Senior"))</f>
        <v>Young Adult</v>
      </c>
    </row>
    <row r="90" spans="1:15" x14ac:dyDescent="0.25">
      <c r="A90" t="s">
        <v>117</v>
      </c>
      <c r="B90">
        <v>54</v>
      </c>
      <c r="C90" t="s">
        <v>24</v>
      </c>
      <c r="D90" t="s">
        <v>19</v>
      </c>
      <c r="E90" s="4">
        <v>45807</v>
      </c>
      <c r="F90" s="4">
        <v>45808</v>
      </c>
      <c r="G90" s="8">
        <v>1</v>
      </c>
      <c r="H90" t="s">
        <v>15</v>
      </c>
      <c r="I90">
        <v>22</v>
      </c>
      <c r="J90" t="s">
        <v>21</v>
      </c>
      <c r="K90" t="s">
        <v>47</v>
      </c>
      <c r="L90" s="6">
        <v>11923.51</v>
      </c>
      <c r="M90" t="str">
        <f>TEXT(Table1[[#This Row],[Admission_Date]], "mmm")</f>
        <v>May</v>
      </c>
      <c r="N90">
        <f>YEAR(Table1[[#This Row],[Admission_Date]])</f>
        <v>2025</v>
      </c>
      <c r="O90" t="str">
        <f>IF(Table1[[#This Row],[Age]]&lt;30, "Young Adult", IF(Table1[[#This Row],[Age]]&lt;60, "Adult", "Senior"))</f>
        <v>Adult</v>
      </c>
    </row>
    <row r="91" spans="1:15" x14ac:dyDescent="0.25">
      <c r="A91" t="s">
        <v>118</v>
      </c>
      <c r="B91">
        <v>43</v>
      </c>
      <c r="C91" t="s">
        <v>24</v>
      </c>
      <c r="D91" t="s">
        <v>19</v>
      </c>
      <c r="E91" s="4">
        <v>45978</v>
      </c>
      <c r="F91" s="4">
        <v>45988</v>
      </c>
      <c r="G91" s="8">
        <v>10</v>
      </c>
      <c r="H91" t="s">
        <v>20</v>
      </c>
      <c r="I91">
        <v>0</v>
      </c>
      <c r="J91" t="s">
        <v>21</v>
      </c>
      <c r="K91" t="s">
        <v>17</v>
      </c>
      <c r="L91" s="6">
        <v>2660.35</v>
      </c>
      <c r="M91" t="str">
        <f>TEXT(Table1[[#This Row],[Admission_Date]], "mmm")</f>
        <v>Nov</v>
      </c>
      <c r="N91">
        <f>YEAR(Table1[[#This Row],[Admission_Date]])</f>
        <v>2025</v>
      </c>
      <c r="O91" t="str">
        <f>IF(Table1[[#This Row],[Age]]&lt;30, "Young Adult", IF(Table1[[#This Row],[Age]]&lt;60, "Adult", "Senior"))</f>
        <v>Adult</v>
      </c>
    </row>
    <row r="92" spans="1:15" x14ac:dyDescent="0.25">
      <c r="A92" t="s">
        <v>119</v>
      </c>
      <c r="B92">
        <v>25</v>
      </c>
      <c r="C92" t="s">
        <v>13</v>
      </c>
      <c r="D92" t="s">
        <v>32</v>
      </c>
      <c r="E92" s="4">
        <v>45794</v>
      </c>
      <c r="F92" s="4">
        <v>45808</v>
      </c>
      <c r="G92" s="8">
        <v>14</v>
      </c>
      <c r="H92" t="s">
        <v>15</v>
      </c>
      <c r="I92">
        <v>20</v>
      </c>
      <c r="J92" t="s">
        <v>25</v>
      </c>
      <c r="K92" t="s">
        <v>47</v>
      </c>
      <c r="L92" s="6">
        <v>2303.13</v>
      </c>
      <c r="M92" t="str">
        <f>TEXT(Table1[[#This Row],[Admission_Date]], "mmm")</f>
        <v>May</v>
      </c>
      <c r="N92">
        <f>YEAR(Table1[[#This Row],[Admission_Date]])</f>
        <v>2025</v>
      </c>
      <c r="O92" t="str">
        <f>IF(Table1[[#This Row],[Age]]&lt;30, "Young Adult", IF(Table1[[#This Row],[Age]]&lt;60, "Adult", "Senior"))</f>
        <v>Young Adult</v>
      </c>
    </row>
    <row r="93" spans="1:15" x14ac:dyDescent="0.25">
      <c r="A93" t="s">
        <v>120</v>
      </c>
      <c r="B93">
        <v>52</v>
      </c>
      <c r="C93" t="s">
        <v>24</v>
      </c>
      <c r="D93" t="s">
        <v>40</v>
      </c>
      <c r="E93" s="4">
        <v>46010</v>
      </c>
      <c r="F93" s="4">
        <v>46015</v>
      </c>
      <c r="G93" s="8">
        <v>5</v>
      </c>
      <c r="H93" t="s">
        <v>20</v>
      </c>
      <c r="I93">
        <v>0</v>
      </c>
      <c r="J93" t="s">
        <v>16</v>
      </c>
      <c r="K93" t="s">
        <v>17</v>
      </c>
      <c r="L93" s="6">
        <v>1077.98</v>
      </c>
      <c r="M93" t="str">
        <f>TEXT(Table1[[#This Row],[Admission_Date]], "mmm")</f>
        <v>Dec</v>
      </c>
      <c r="N93">
        <f>YEAR(Table1[[#This Row],[Admission_Date]])</f>
        <v>2025</v>
      </c>
      <c r="O93" t="str">
        <f>IF(Table1[[#This Row],[Age]]&lt;30, "Young Adult", IF(Table1[[#This Row],[Age]]&lt;60, "Adult", "Senior"))</f>
        <v>Adult</v>
      </c>
    </row>
    <row r="94" spans="1:15" x14ac:dyDescent="0.25">
      <c r="A94" t="s">
        <v>121</v>
      </c>
      <c r="B94">
        <v>50</v>
      </c>
      <c r="C94" t="s">
        <v>13</v>
      </c>
      <c r="D94" t="s">
        <v>19</v>
      </c>
      <c r="E94" s="4">
        <v>45879</v>
      </c>
      <c r="F94" s="4">
        <v>45891</v>
      </c>
      <c r="G94" s="8">
        <v>12</v>
      </c>
      <c r="H94" t="s">
        <v>20</v>
      </c>
      <c r="I94">
        <v>0</v>
      </c>
      <c r="J94" t="s">
        <v>21</v>
      </c>
      <c r="K94" t="s">
        <v>17</v>
      </c>
      <c r="L94" s="6">
        <v>12621.4</v>
      </c>
      <c r="M94" t="str">
        <f>TEXT(Table1[[#This Row],[Admission_Date]], "mmm")</f>
        <v>Aug</v>
      </c>
      <c r="N94">
        <f>YEAR(Table1[[#This Row],[Admission_Date]])</f>
        <v>2025</v>
      </c>
      <c r="O94" t="str">
        <f>IF(Table1[[#This Row],[Age]]&lt;30, "Young Adult", IF(Table1[[#This Row],[Age]]&lt;60, "Adult", "Senior"))</f>
        <v>Adult</v>
      </c>
    </row>
    <row r="95" spans="1:15" x14ac:dyDescent="0.25">
      <c r="A95" t="s">
        <v>122</v>
      </c>
      <c r="B95">
        <v>52</v>
      </c>
      <c r="C95" t="s">
        <v>13</v>
      </c>
      <c r="D95" t="s">
        <v>14</v>
      </c>
      <c r="E95" s="4">
        <v>45952</v>
      </c>
      <c r="F95" s="4">
        <v>45962</v>
      </c>
      <c r="G95" s="8">
        <v>10</v>
      </c>
      <c r="H95" t="s">
        <v>20</v>
      </c>
      <c r="I95">
        <v>0</v>
      </c>
      <c r="J95" t="s">
        <v>29</v>
      </c>
      <c r="K95" t="s">
        <v>17</v>
      </c>
      <c r="L95" s="6">
        <v>9946.89</v>
      </c>
      <c r="M95" t="str">
        <f>TEXT(Table1[[#This Row],[Admission_Date]], "mmm")</f>
        <v>Oct</v>
      </c>
      <c r="N95">
        <f>YEAR(Table1[[#This Row],[Admission_Date]])</f>
        <v>2025</v>
      </c>
      <c r="O95" t="str">
        <f>IF(Table1[[#This Row],[Age]]&lt;30, "Young Adult", IF(Table1[[#This Row],[Age]]&lt;60, "Adult", "Senior"))</f>
        <v>Adult</v>
      </c>
    </row>
    <row r="96" spans="1:15" x14ac:dyDescent="0.25">
      <c r="A96" t="s">
        <v>123</v>
      </c>
      <c r="B96">
        <v>73</v>
      </c>
      <c r="C96" t="s">
        <v>24</v>
      </c>
      <c r="D96" t="s">
        <v>19</v>
      </c>
      <c r="E96" s="4">
        <v>45800</v>
      </c>
      <c r="F96" s="4">
        <v>45803</v>
      </c>
      <c r="G96" s="8">
        <v>3</v>
      </c>
      <c r="H96" t="s">
        <v>20</v>
      </c>
      <c r="I96">
        <v>0</v>
      </c>
      <c r="J96" t="s">
        <v>29</v>
      </c>
      <c r="K96" t="s">
        <v>47</v>
      </c>
      <c r="L96" s="6">
        <v>6421.05</v>
      </c>
      <c r="M96" t="str">
        <f>TEXT(Table1[[#This Row],[Admission_Date]], "mmm")</f>
        <v>May</v>
      </c>
      <c r="N96">
        <f>YEAR(Table1[[#This Row],[Admission_Date]])</f>
        <v>2025</v>
      </c>
      <c r="O96" t="str">
        <f>IF(Table1[[#This Row],[Age]]&lt;30, "Young Adult", IF(Table1[[#This Row],[Age]]&lt;60, "Adult", "Senior"))</f>
        <v>Senior</v>
      </c>
    </row>
    <row r="97" spans="1:15" x14ac:dyDescent="0.25">
      <c r="A97" t="s">
        <v>124</v>
      </c>
      <c r="B97">
        <v>38</v>
      </c>
      <c r="C97" t="s">
        <v>24</v>
      </c>
      <c r="D97" t="s">
        <v>40</v>
      </c>
      <c r="E97" s="4">
        <v>45822</v>
      </c>
      <c r="F97" s="4">
        <v>45833</v>
      </c>
      <c r="G97" s="8">
        <v>11</v>
      </c>
      <c r="H97" t="s">
        <v>15</v>
      </c>
      <c r="I97">
        <v>23</v>
      </c>
      <c r="J97" t="s">
        <v>29</v>
      </c>
      <c r="K97" t="s">
        <v>47</v>
      </c>
      <c r="L97" s="6">
        <v>10107.459999999999</v>
      </c>
      <c r="M97" t="str">
        <f>TEXT(Table1[[#This Row],[Admission_Date]], "mmm")</f>
        <v>Jun</v>
      </c>
      <c r="N97">
        <f>YEAR(Table1[[#This Row],[Admission_Date]])</f>
        <v>2025</v>
      </c>
      <c r="O97" t="str">
        <f>IF(Table1[[#This Row],[Age]]&lt;30, "Young Adult", IF(Table1[[#This Row],[Age]]&lt;60, "Adult", "Senior"))</f>
        <v>Adult</v>
      </c>
    </row>
    <row r="98" spans="1:15" x14ac:dyDescent="0.25">
      <c r="A98" t="s">
        <v>125</v>
      </c>
      <c r="B98">
        <v>22</v>
      </c>
      <c r="C98" t="s">
        <v>24</v>
      </c>
      <c r="D98" t="s">
        <v>19</v>
      </c>
      <c r="E98" s="4">
        <v>45863</v>
      </c>
      <c r="F98" s="4">
        <v>45877</v>
      </c>
      <c r="G98" s="8">
        <v>14</v>
      </c>
      <c r="H98" t="s">
        <v>20</v>
      </c>
      <c r="I98">
        <v>0</v>
      </c>
      <c r="J98" t="s">
        <v>25</v>
      </c>
      <c r="K98" t="s">
        <v>47</v>
      </c>
      <c r="L98" s="6">
        <v>5187.47</v>
      </c>
      <c r="M98" t="str">
        <f>TEXT(Table1[[#This Row],[Admission_Date]], "mmm")</f>
        <v>Jul</v>
      </c>
      <c r="N98">
        <f>YEAR(Table1[[#This Row],[Admission_Date]])</f>
        <v>2025</v>
      </c>
      <c r="O98" t="str">
        <f>IF(Table1[[#This Row],[Age]]&lt;30, "Young Adult", IF(Table1[[#This Row],[Age]]&lt;60, "Adult", "Senior"))</f>
        <v>Young Adult</v>
      </c>
    </row>
    <row r="99" spans="1:15" x14ac:dyDescent="0.25">
      <c r="A99" t="s">
        <v>126</v>
      </c>
      <c r="B99">
        <v>18</v>
      </c>
      <c r="C99" t="s">
        <v>24</v>
      </c>
      <c r="D99" t="s">
        <v>40</v>
      </c>
      <c r="E99" s="4">
        <v>45864</v>
      </c>
      <c r="F99" s="4">
        <v>45878</v>
      </c>
      <c r="G99" s="8">
        <v>14</v>
      </c>
      <c r="H99" t="s">
        <v>20</v>
      </c>
      <c r="I99">
        <v>0</v>
      </c>
      <c r="J99" t="s">
        <v>16</v>
      </c>
      <c r="K99" t="s">
        <v>22</v>
      </c>
      <c r="L99" s="6">
        <v>8017.37</v>
      </c>
      <c r="M99" t="str">
        <f>TEXT(Table1[[#This Row],[Admission_Date]], "mmm")</f>
        <v>Jul</v>
      </c>
      <c r="N99">
        <f>YEAR(Table1[[#This Row],[Admission_Date]])</f>
        <v>2025</v>
      </c>
      <c r="O99" t="str">
        <f>IF(Table1[[#This Row],[Age]]&lt;30, "Young Adult", IF(Table1[[#This Row],[Age]]&lt;60, "Adult", "Senior"))</f>
        <v>Young Adult</v>
      </c>
    </row>
    <row r="100" spans="1:15" x14ac:dyDescent="0.25">
      <c r="A100" t="s">
        <v>127</v>
      </c>
      <c r="B100">
        <v>74</v>
      </c>
      <c r="C100" t="s">
        <v>13</v>
      </c>
      <c r="D100" t="s">
        <v>14</v>
      </c>
      <c r="E100" s="4">
        <v>45976</v>
      </c>
      <c r="F100" s="4">
        <v>45989</v>
      </c>
      <c r="G100" s="8">
        <v>13</v>
      </c>
      <c r="H100" t="s">
        <v>20</v>
      </c>
      <c r="I100">
        <v>0</v>
      </c>
      <c r="J100" t="s">
        <v>25</v>
      </c>
      <c r="K100" t="s">
        <v>17</v>
      </c>
      <c r="L100" s="6">
        <v>2399.69</v>
      </c>
      <c r="M100" t="str">
        <f>TEXT(Table1[[#This Row],[Admission_Date]], "mmm")</f>
        <v>Nov</v>
      </c>
      <c r="N100">
        <f>YEAR(Table1[[#This Row],[Admission_Date]])</f>
        <v>2025</v>
      </c>
      <c r="O100" t="str">
        <f>IF(Table1[[#This Row],[Age]]&lt;30, "Young Adult", IF(Table1[[#This Row],[Age]]&lt;60, "Adult", "Senior"))</f>
        <v>Senior</v>
      </c>
    </row>
    <row r="101" spans="1:15" x14ac:dyDescent="0.25">
      <c r="A101" t="s">
        <v>128</v>
      </c>
      <c r="B101">
        <v>80</v>
      </c>
      <c r="C101" t="s">
        <v>13</v>
      </c>
      <c r="D101" t="s">
        <v>19</v>
      </c>
      <c r="E101" s="4">
        <v>45805</v>
      </c>
      <c r="F101" s="4">
        <v>45813</v>
      </c>
      <c r="G101" s="8">
        <v>8</v>
      </c>
      <c r="H101" t="s">
        <v>20</v>
      </c>
      <c r="I101">
        <v>0</v>
      </c>
      <c r="J101" t="s">
        <v>21</v>
      </c>
      <c r="K101" t="s">
        <v>17</v>
      </c>
      <c r="L101" s="6">
        <v>2796.48</v>
      </c>
      <c r="M101" t="str">
        <f>TEXT(Table1[[#This Row],[Admission_Date]], "mmm")</f>
        <v>May</v>
      </c>
      <c r="N101">
        <f>YEAR(Table1[[#This Row],[Admission_Date]])</f>
        <v>2025</v>
      </c>
      <c r="O101" t="str">
        <f>IF(Table1[[#This Row],[Age]]&lt;30, "Young Adult", IF(Table1[[#This Row],[Age]]&lt;60, "Adult", "Senior"))</f>
        <v>Senior</v>
      </c>
    </row>
    <row r="102" spans="1:15" x14ac:dyDescent="0.25">
      <c r="A102" t="s">
        <v>129</v>
      </c>
      <c r="B102">
        <v>29</v>
      </c>
      <c r="C102" t="s">
        <v>13</v>
      </c>
      <c r="D102" t="s">
        <v>19</v>
      </c>
      <c r="E102" s="4">
        <v>45940</v>
      </c>
      <c r="F102" s="4">
        <v>45941</v>
      </c>
      <c r="G102" s="8">
        <v>1</v>
      </c>
      <c r="H102" t="s">
        <v>20</v>
      </c>
      <c r="I102">
        <v>0</v>
      </c>
      <c r="J102" t="s">
        <v>29</v>
      </c>
      <c r="K102" t="s">
        <v>22</v>
      </c>
      <c r="L102" s="6">
        <v>9891.7900000000009</v>
      </c>
      <c r="M102" t="str">
        <f>TEXT(Table1[[#This Row],[Admission_Date]], "mmm")</f>
        <v>Oct</v>
      </c>
      <c r="N102">
        <f>YEAR(Table1[[#This Row],[Admission_Date]])</f>
        <v>2025</v>
      </c>
      <c r="O102" t="str">
        <f>IF(Table1[[#This Row],[Age]]&lt;30, "Young Adult", IF(Table1[[#This Row],[Age]]&lt;60, "Adult", "Senior"))</f>
        <v>Young Adult</v>
      </c>
    </row>
    <row r="103" spans="1:15" x14ac:dyDescent="0.25">
      <c r="A103" t="s">
        <v>130</v>
      </c>
      <c r="B103">
        <v>55</v>
      </c>
      <c r="C103" t="s">
        <v>24</v>
      </c>
      <c r="D103" t="s">
        <v>40</v>
      </c>
      <c r="E103" s="4">
        <v>45736</v>
      </c>
      <c r="F103" s="4">
        <v>45744</v>
      </c>
      <c r="G103" s="8">
        <v>8</v>
      </c>
      <c r="H103" t="s">
        <v>20</v>
      </c>
      <c r="I103">
        <v>0</v>
      </c>
      <c r="J103" t="s">
        <v>29</v>
      </c>
      <c r="K103" t="s">
        <v>47</v>
      </c>
      <c r="L103" s="6">
        <v>4034.1</v>
      </c>
      <c r="M103" t="str">
        <f>TEXT(Table1[[#This Row],[Admission_Date]], "mmm")</f>
        <v>Mar</v>
      </c>
      <c r="N103">
        <f>YEAR(Table1[[#This Row],[Admission_Date]])</f>
        <v>2025</v>
      </c>
      <c r="O103" t="str">
        <f>IF(Table1[[#This Row],[Age]]&lt;30, "Young Adult", IF(Table1[[#This Row],[Age]]&lt;60, "Adult", "Senior"))</f>
        <v>Adult</v>
      </c>
    </row>
    <row r="104" spans="1:15" x14ac:dyDescent="0.25">
      <c r="A104" t="s">
        <v>131</v>
      </c>
      <c r="B104">
        <v>83</v>
      </c>
      <c r="C104" t="s">
        <v>13</v>
      </c>
      <c r="D104" t="s">
        <v>19</v>
      </c>
      <c r="E104" s="4">
        <v>45940</v>
      </c>
      <c r="F104" s="4">
        <v>45943</v>
      </c>
      <c r="G104" s="8">
        <v>3</v>
      </c>
      <c r="H104" t="s">
        <v>20</v>
      </c>
      <c r="I104">
        <v>0</v>
      </c>
      <c r="J104" t="s">
        <v>25</v>
      </c>
      <c r="K104" t="s">
        <v>47</v>
      </c>
      <c r="L104" s="6">
        <v>5428.19</v>
      </c>
      <c r="M104" t="str">
        <f>TEXT(Table1[[#This Row],[Admission_Date]], "mmm")</f>
        <v>Oct</v>
      </c>
      <c r="N104">
        <f>YEAR(Table1[[#This Row],[Admission_Date]])</f>
        <v>2025</v>
      </c>
      <c r="O104" t="str">
        <f>IF(Table1[[#This Row],[Age]]&lt;30, "Young Adult", IF(Table1[[#This Row],[Age]]&lt;60, "Adult", "Senior"))</f>
        <v>Senior</v>
      </c>
    </row>
    <row r="105" spans="1:15" x14ac:dyDescent="0.25">
      <c r="A105" t="s">
        <v>132</v>
      </c>
      <c r="B105">
        <v>54</v>
      </c>
      <c r="C105" t="s">
        <v>24</v>
      </c>
      <c r="D105" t="s">
        <v>34</v>
      </c>
      <c r="E105" s="4">
        <v>45917</v>
      </c>
      <c r="F105" s="4">
        <v>45922</v>
      </c>
      <c r="G105" s="8">
        <v>5</v>
      </c>
      <c r="H105" t="s">
        <v>20</v>
      </c>
      <c r="I105">
        <v>0</v>
      </c>
      <c r="J105" t="s">
        <v>29</v>
      </c>
      <c r="K105" t="s">
        <v>22</v>
      </c>
      <c r="L105" s="6">
        <v>6974.94</v>
      </c>
      <c r="M105" t="str">
        <f>TEXT(Table1[[#This Row],[Admission_Date]], "mmm")</f>
        <v>Sep</v>
      </c>
      <c r="N105">
        <f>YEAR(Table1[[#This Row],[Admission_Date]])</f>
        <v>2025</v>
      </c>
      <c r="O105" t="str">
        <f>IF(Table1[[#This Row],[Age]]&lt;30, "Young Adult", IF(Table1[[#This Row],[Age]]&lt;60, "Adult", "Senior"))</f>
        <v>Adult</v>
      </c>
    </row>
    <row r="106" spans="1:15" x14ac:dyDescent="0.25">
      <c r="A106" t="s">
        <v>133</v>
      </c>
      <c r="B106">
        <v>87</v>
      </c>
      <c r="C106" t="s">
        <v>24</v>
      </c>
      <c r="D106" t="s">
        <v>40</v>
      </c>
      <c r="E106" s="4">
        <v>45905</v>
      </c>
      <c r="F106" s="4">
        <v>45911</v>
      </c>
      <c r="G106" s="8">
        <v>6</v>
      </c>
      <c r="H106" t="s">
        <v>20</v>
      </c>
      <c r="I106">
        <v>0</v>
      </c>
      <c r="J106" t="s">
        <v>25</v>
      </c>
      <c r="K106" t="s">
        <v>22</v>
      </c>
      <c r="L106" s="6">
        <v>14721.23</v>
      </c>
      <c r="M106" t="str">
        <f>TEXT(Table1[[#This Row],[Admission_Date]], "mmm")</f>
        <v>Sep</v>
      </c>
      <c r="N106">
        <f>YEAR(Table1[[#This Row],[Admission_Date]])</f>
        <v>2025</v>
      </c>
      <c r="O106" t="str">
        <f>IF(Table1[[#This Row],[Age]]&lt;30, "Young Adult", IF(Table1[[#This Row],[Age]]&lt;60, "Adult", "Senior"))</f>
        <v>Senior</v>
      </c>
    </row>
    <row r="107" spans="1:15" x14ac:dyDescent="0.25">
      <c r="A107" t="s">
        <v>134</v>
      </c>
      <c r="B107">
        <v>70</v>
      </c>
      <c r="C107" t="s">
        <v>13</v>
      </c>
      <c r="D107" t="s">
        <v>32</v>
      </c>
      <c r="E107" s="4">
        <v>45780</v>
      </c>
      <c r="F107" s="4">
        <v>45790</v>
      </c>
      <c r="G107" s="8">
        <v>10</v>
      </c>
      <c r="H107" t="s">
        <v>20</v>
      </c>
      <c r="I107">
        <v>0</v>
      </c>
      <c r="J107" t="s">
        <v>29</v>
      </c>
      <c r="K107" t="s">
        <v>17</v>
      </c>
      <c r="L107" s="6">
        <v>13744.74</v>
      </c>
      <c r="M107" t="str">
        <f>TEXT(Table1[[#This Row],[Admission_Date]], "mmm")</f>
        <v>May</v>
      </c>
      <c r="N107">
        <f>YEAR(Table1[[#This Row],[Admission_Date]])</f>
        <v>2025</v>
      </c>
      <c r="O107" t="str">
        <f>IF(Table1[[#This Row],[Age]]&lt;30, "Young Adult", IF(Table1[[#This Row],[Age]]&lt;60, "Adult", "Senior"))</f>
        <v>Senior</v>
      </c>
    </row>
    <row r="108" spans="1:15" x14ac:dyDescent="0.25">
      <c r="A108" t="s">
        <v>135</v>
      </c>
      <c r="B108">
        <v>37</v>
      </c>
      <c r="C108" t="s">
        <v>24</v>
      </c>
      <c r="D108" t="s">
        <v>19</v>
      </c>
      <c r="E108" s="4">
        <v>45853</v>
      </c>
      <c r="F108" s="4">
        <v>45860</v>
      </c>
      <c r="G108" s="8">
        <v>7</v>
      </c>
      <c r="H108" t="s">
        <v>20</v>
      </c>
      <c r="I108">
        <v>0</v>
      </c>
      <c r="J108" t="s">
        <v>21</v>
      </c>
      <c r="K108" t="s">
        <v>17</v>
      </c>
      <c r="L108" s="6">
        <v>14497.63</v>
      </c>
      <c r="M108" t="str">
        <f>TEXT(Table1[[#This Row],[Admission_Date]], "mmm")</f>
        <v>Jul</v>
      </c>
      <c r="N108">
        <f>YEAR(Table1[[#This Row],[Admission_Date]])</f>
        <v>2025</v>
      </c>
      <c r="O108" t="str">
        <f>IF(Table1[[#This Row],[Age]]&lt;30, "Young Adult", IF(Table1[[#This Row],[Age]]&lt;60, "Adult", "Senior"))</f>
        <v>Adult</v>
      </c>
    </row>
    <row r="109" spans="1:15" x14ac:dyDescent="0.25">
      <c r="A109" t="s">
        <v>136</v>
      </c>
      <c r="B109">
        <v>74</v>
      </c>
      <c r="C109" t="s">
        <v>13</v>
      </c>
      <c r="D109" t="s">
        <v>34</v>
      </c>
      <c r="E109" s="4">
        <v>45827</v>
      </c>
      <c r="F109" s="4">
        <v>45841</v>
      </c>
      <c r="G109" s="8">
        <v>14</v>
      </c>
      <c r="H109" t="s">
        <v>15</v>
      </c>
      <c r="I109">
        <v>30</v>
      </c>
      <c r="J109" t="s">
        <v>29</v>
      </c>
      <c r="K109" t="s">
        <v>22</v>
      </c>
      <c r="L109" s="6">
        <v>10975.44</v>
      </c>
      <c r="M109" t="str">
        <f>TEXT(Table1[[#This Row],[Admission_Date]], "mmm")</f>
        <v>Jun</v>
      </c>
      <c r="N109">
        <f>YEAR(Table1[[#This Row],[Admission_Date]])</f>
        <v>2025</v>
      </c>
      <c r="O109" t="str">
        <f>IF(Table1[[#This Row],[Age]]&lt;30, "Young Adult", IF(Table1[[#This Row],[Age]]&lt;60, "Adult", "Senior"))</f>
        <v>Senior</v>
      </c>
    </row>
    <row r="110" spans="1:15" x14ac:dyDescent="0.25">
      <c r="A110" t="s">
        <v>137</v>
      </c>
      <c r="B110">
        <v>37</v>
      </c>
      <c r="C110" t="s">
        <v>13</v>
      </c>
      <c r="D110" t="s">
        <v>40</v>
      </c>
      <c r="E110" s="4">
        <v>45867</v>
      </c>
      <c r="F110" s="4">
        <v>45881</v>
      </c>
      <c r="G110" s="8">
        <v>14</v>
      </c>
      <c r="H110" t="s">
        <v>20</v>
      </c>
      <c r="I110">
        <v>0</v>
      </c>
      <c r="J110" t="s">
        <v>25</v>
      </c>
      <c r="K110" t="s">
        <v>47</v>
      </c>
      <c r="L110" s="6">
        <v>9537.26</v>
      </c>
      <c r="M110" t="str">
        <f>TEXT(Table1[[#This Row],[Admission_Date]], "mmm")</f>
        <v>Jul</v>
      </c>
      <c r="N110">
        <f>YEAR(Table1[[#This Row],[Admission_Date]])</f>
        <v>2025</v>
      </c>
      <c r="O110" t="str">
        <f>IF(Table1[[#This Row],[Age]]&lt;30, "Young Adult", IF(Table1[[#This Row],[Age]]&lt;60, "Adult", "Senior"))</f>
        <v>Adult</v>
      </c>
    </row>
    <row r="111" spans="1:15" x14ac:dyDescent="0.25">
      <c r="A111" t="s">
        <v>138</v>
      </c>
      <c r="B111">
        <v>60</v>
      </c>
      <c r="C111" t="s">
        <v>24</v>
      </c>
      <c r="D111" t="s">
        <v>32</v>
      </c>
      <c r="E111" s="4">
        <v>45861</v>
      </c>
      <c r="F111" s="4">
        <v>45872</v>
      </c>
      <c r="G111" s="8">
        <v>11</v>
      </c>
      <c r="H111" t="s">
        <v>15</v>
      </c>
      <c r="I111">
        <v>21</v>
      </c>
      <c r="J111" t="s">
        <v>29</v>
      </c>
      <c r="K111" t="s">
        <v>17</v>
      </c>
      <c r="L111" s="6">
        <v>1020.54</v>
      </c>
      <c r="M111" t="str">
        <f>TEXT(Table1[[#This Row],[Admission_Date]], "mmm")</f>
        <v>Jul</v>
      </c>
      <c r="N111">
        <f>YEAR(Table1[[#This Row],[Admission_Date]])</f>
        <v>2025</v>
      </c>
      <c r="O111" t="str">
        <f>IF(Table1[[#This Row],[Age]]&lt;30, "Young Adult", IF(Table1[[#This Row],[Age]]&lt;60, "Adult", "Senior"))</f>
        <v>Senior</v>
      </c>
    </row>
    <row r="112" spans="1:15" x14ac:dyDescent="0.25">
      <c r="A112" t="s">
        <v>139</v>
      </c>
      <c r="B112">
        <v>54</v>
      </c>
      <c r="C112" t="s">
        <v>13</v>
      </c>
      <c r="D112" t="s">
        <v>28</v>
      </c>
      <c r="E112" s="4">
        <v>45693</v>
      </c>
      <c r="F112" s="4">
        <v>45697</v>
      </c>
      <c r="G112" s="8">
        <v>4</v>
      </c>
      <c r="H112" t="s">
        <v>20</v>
      </c>
      <c r="I112">
        <v>0</v>
      </c>
      <c r="J112" t="s">
        <v>16</v>
      </c>
      <c r="K112" t="s">
        <v>47</v>
      </c>
      <c r="L112" s="6">
        <v>14685.9</v>
      </c>
      <c r="M112" t="str">
        <f>TEXT(Table1[[#This Row],[Admission_Date]], "mmm")</f>
        <v>Feb</v>
      </c>
      <c r="N112">
        <f>YEAR(Table1[[#This Row],[Admission_Date]])</f>
        <v>2025</v>
      </c>
      <c r="O112" t="str">
        <f>IF(Table1[[#This Row],[Age]]&lt;30, "Young Adult", IF(Table1[[#This Row],[Age]]&lt;60, "Adult", "Senior"))</f>
        <v>Adult</v>
      </c>
    </row>
    <row r="113" spans="1:15" x14ac:dyDescent="0.25">
      <c r="A113" t="s">
        <v>140</v>
      </c>
      <c r="B113">
        <v>74</v>
      </c>
      <c r="C113" t="s">
        <v>13</v>
      </c>
      <c r="D113" t="s">
        <v>28</v>
      </c>
      <c r="E113" s="4">
        <v>45982</v>
      </c>
      <c r="F113" s="4">
        <v>45994</v>
      </c>
      <c r="G113" s="8">
        <v>12</v>
      </c>
      <c r="H113" t="s">
        <v>20</v>
      </c>
      <c r="I113">
        <v>0</v>
      </c>
      <c r="J113" t="s">
        <v>25</v>
      </c>
      <c r="K113" t="s">
        <v>22</v>
      </c>
      <c r="L113" s="6">
        <v>1166.8699999999999</v>
      </c>
      <c r="M113" t="str">
        <f>TEXT(Table1[[#This Row],[Admission_Date]], "mmm")</f>
        <v>Nov</v>
      </c>
      <c r="N113">
        <f>YEAR(Table1[[#This Row],[Admission_Date]])</f>
        <v>2025</v>
      </c>
      <c r="O113" t="str">
        <f>IF(Table1[[#This Row],[Age]]&lt;30, "Young Adult", IF(Table1[[#This Row],[Age]]&lt;60, "Adult", "Senior"))</f>
        <v>Senior</v>
      </c>
    </row>
    <row r="114" spans="1:15" x14ac:dyDescent="0.25">
      <c r="A114" t="s">
        <v>141</v>
      </c>
      <c r="B114">
        <v>73</v>
      </c>
      <c r="C114" t="s">
        <v>13</v>
      </c>
      <c r="D114" t="s">
        <v>14</v>
      </c>
      <c r="E114" s="4">
        <v>45686</v>
      </c>
      <c r="F114" s="4">
        <v>45691</v>
      </c>
      <c r="G114" s="8">
        <v>5</v>
      </c>
      <c r="H114" t="s">
        <v>20</v>
      </c>
      <c r="I114">
        <v>0</v>
      </c>
      <c r="J114" t="s">
        <v>29</v>
      </c>
      <c r="K114" t="s">
        <v>17</v>
      </c>
      <c r="L114" s="6">
        <v>10386.11</v>
      </c>
      <c r="M114" t="str">
        <f>TEXT(Table1[[#This Row],[Admission_Date]], "mmm")</f>
        <v>Jan</v>
      </c>
      <c r="N114">
        <f>YEAR(Table1[[#This Row],[Admission_Date]])</f>
        <v>2025</v>
      </c>
      <c r="O114" t="str">
        <f>IF(Table1[[#This Row],[Age]]&lt;30, "Young Adult", IF(Table1[[#This Row],[Age]]&lt;60, "Adult", "Senior"))</f>
        <v>Senior</v>
      </c>
    </row>
    <row r="115" spans="1:15" x14ac:dyDescent="0.25">
      <c r="A115" t="s">
        <v>142</v>
      </c>
      <c r="B115">
        <v>66</v>
      </c>
      <c r="C115" t="s">
        <v>13</v>
      </c>
      <c r="D115" t="s">
        <v>40</v>
      </c>
      <c r="E115" s="4">
        <v>45750</v>
      </c>
      <c r="F115" s="4">
        <v>45753</v>
      </c>
      <c r="G115" s="8">
        <v>3</v>
      </c>
      <c r="H115" t="s">
        <v>15</v>
      </c>
      <c r="I115">
        <v>30</v>
      </c>
      <c r="J115" t="s">
        <v>21</v>
      </c>
      <c r="K115" t="s">
        <v>22</v>
      </c>
      <c r="L115" s="6">
        <v>7186.67</v>
      </c>
      <c r="M115" t="str">
        <f>TEXT(Table1[[#This Row],[Admission_Date]], "mmm")</f>
        <v>Apr</v>
      </c>
      <c r="N115">
        <f>YEAR(Table1[[#This Row],[Admission_Date]])</f>
        <v>2025</v>
      </c>
      <c r="O115" t="str">
        <f>IF(Table1[[#This Row],[Age]]&lt;30, "Young Adult", IF(Table1[[#This Row],[Age]]&lt;60, "Adult", "Senior"))</f>
        <v>Senior</v>
      </c>
    </row>
    <row r="116" spans="1:15" x14ac:dyDescent="0.25">
      <c r="A116" t="s">
        <v>143</v>
      </c>
      <c r="B116">
        <v>19</v>
      </c>
      <c r="C116" t="s">
        <v>24</v>
      </c>
      <c r="D116" t="s">
        <v>32</v>
      </c>
      <c r="E116" s="4">
        <v>45788</v>
      </c>
      <c r="F116" s="4">
        <v>45796</v>
      </c>
      <c r="G116" s="8">
        <v>8</v>
      </c>
      <c r="H116" t="s">
        <v>15</v>
      </c>
      <c r="I116">
        <v>22</v>
      </c>
      <c r="J116" t="s">
        <v>21</v>
      </c>
      <c r="K116" t="s">
        <v>22</v>
      </c>
      <c r="L116" s="6">
        <v>6905.08</v>
      </c>
      <c r="M116" t="str">
        <f>TEXT(Table1[[#This Row],[Admission_Date]], "mmm")</f>
        <v>May</v>
      </c>
      <c r="N116">
        <f>YEAR(Table1[[#This Row],[Admission_Date]])</f>
        <v>2025</v>
      </c>
      <c r="O116" t="str">
        <f>IF(Table1[[#This Row],[Age]]&lt;30, "Young Adult", IF(Table1[[#This Row],[Age]]&lt;60, "Adult", "Senior"))</f>
        <v>Young Adult</v>
      </c>
    </row>
    <row r="117" spans="1:15" x14ac:dyDescent="0.25">
      <c r="A117" t="s">
        <v>144</v>
      </c>
      <c r="B117">
        <v>72</v>
      </c>
      <c r="C117" t="s">
        <v>24</v>
      </c>
      <c r="D117" t="s">
        <v>40</v>
      </c>
      <c r="E117" s="4">
        <v>45834</v>
      </c>
      <c r="F117" s="4">
        <v>45844</v>
      </c>
      <c r="G117" s="8">
        <v>10</v>
      </c>
      <c r="H117" t="s">
        <v>15</v>
      </c>
      <c r="I117">
        <v>28</v>
      </c>
      <c r="J117" t="s">
        <v>25</v>
      </c>
      <c r="K117" t="s">
        <v>22</v>
      </c>
      <c r="L117" s="6">
        <v>14990.92</v>
      </c>
      <c r="M117" t="str">
        <f>TEXT(Table1[[#This Row],[Admission_Date]], "mmm")</f>
        <v>Jun</v>
      </c>
      <c r="N117">
        <f>YEAR(Table1[[#This Row],[Admission_Date]])</f>
        <v>2025</v>
      </c>
      <c r="O117" t="str">
        <f>IF(Table1[[#This Row],[Age]]&lt;30, "Young Adult", IF(Table1[[#This Row],[Age]]&lt;60, "Adult", "Senior"))</f>
        <v>Senior</v>
      </c>
    </row>
    <row r="118" spans="1:15" x14ac:dyDescent="0.25">
      <c r="A118" t="s">
        <v>145</v>
      </c>
      <c r="B118">
        <v>63</v>
      </c>
      <c r="C118" t="s">
        <v>24</v>
      </c>
      <c r="D118" t="s">
        <v>28</v>
      </c>
      <c r="E118" s="4">
        <v>45905</v>
      </c>
      <c r="F118" s="4">
        <v>45907</v>
      </c>
      <c r="G118" s="8">
        <v>2</v>
      </c>
      <c r="H118" t="s">
        <v>15</v>
      </c>
      <c r="I118">
        <v>10</v>
      </c>
      <c r="J118" t="s">
        <v>16</v>
      </c>
      <c r="K118" t="s">
        <v>17</v>
      </c>
      <c r="L118" s="6">
        <v>6239.18</v>
      </c>
      <c r="M118" t="str">
        <f>TEXT(Table1[[#This Row],[Admission_Date]], "mmm")</f>
        <v>Sep</v>
      </c>
      <c r="N118">
        <f>YEAR(Table1[[#This Row],[Admission_Date]])</f>
        <v>2025</v>
      </c>
      <c r="O118" t="str">
        <f>IF(Table1[[#This Row],[Age]]&lt;30, "Young Adult", IF(Table1[[#This Row],[Age]]&lt;60, "Adult", "Senior"))</f>
        <v>Senior</v>
      </c>
    </row>
    <row r="119" spans="1:15" x14ac:dyDescent="0.25">
      <c r="A119" t="s">
        <v>146</v>
      </c>
      <c r="B119">
        <v>24</v>
      </c>
      <c r="C119" t="s">
        <v>24</v>
      </c>
      <c r="D119" t="s">
        <v>32</v>
      </c>
      <c r="E119" s="4">
        <v>45662</v>
      </c>
      <c r="F119" s="4">
        <v>45672</v>
      </c>
      <c r="G119" s="8">
        <v>10</v>
      </c>
      <c r="H119" t="s">
        <v>20</v>
      </c>
      <c r="I119">
        <v>0</v>
      </c>
      <c r="J119" t="s">
        <v>21</v>
      </c>
      <c r="K119" t="s">
        <v>17</v>
      </c>
      <c r="L119" s="6">
        <v>12128.01</v>
      </c>
      <c r="M119" t="str">
        <f>TEXT(Table1[[#This Row],[Admission_Date]], "mmm")</f>
        <v>Jan</v>
      </c>
      <c r="N119">
        <f>YEAR(Table1[[#This Row],[Admission_Date]])</f>
        <v>2025</v>
      </c>
      <c r="O119" t="str">
        <f>IF(Table1[[#This Row],[Age]]&lt;30, "Young Adult", IF(Table1[[#This Row],[Age]]&lt;60, "Adult", "Senior"))</f>
        <v>Young Adult</v>
      </c>
    </row>
    <row r="120" spans="1:15" x14ac:dyDescent="0.25">
      <c r="A120" t="s">
        <v>147</v>
      </c>
      <c r="B120">
        <v>50</v>
      </c>
      <c r="C120" t="s">
        <v>13</v>
      </c>
      <c r="D120" t="s">
        <v>28</v>
      </c>
      <c r="E120" s="4">
        <v>45770</v>
      </c>
      <c r="F120" s="4">
        <v>45781</v>
      </c>
      <c r="G120" s="8">
        <v>11</v>
      </c>
      <c r="H120" t="s">
        <v>15</v>
      </c>
      <c r="I120">
        <v>4</v>
      </c>
      <c r="J120" t="s">
        <v>16</v>
      </c>
      <c r="K120" t="s">
        <v>47</v>
      </c>
      <c r="L120" s="6">
        <v>11934.85</v>
      </c>
      <c r="M120" t="str">
        <f>TEXT(Table1[[#This Row],[Admission_Date]], "mmm")</f>
        <v>Apr</v>
      </c>
      <c r="N120">
        <f>YEAR(Table1[[#This Row],[Admission_Date]])</f>
        <v>2025</v>
      </c>
      <c r="O120" t="str">
        <f>IF(Table1[[#This Row],[Age]]&lt;30, "Young Adult", IF(Table1[[#This Row],[Age]]&lt;60, "Adult", "Senior"))</f>
        <v>Adult</v>
      </c>
    </row>
    <row r="121" spans="1:15" x14ac:dyDescent="0.25">
      <c r="A121" t="s">
        <v>148</v>
      </c>
      <c r="B121">
        <v>34</v>
      </c>
      <c r="C121" t="s">
        <v>13</v>
      </c>
      <c r="D121" t="s">
        <v>32</v>
      </c>
      <c r="E121" s="4">
        <v>45675</v>
      </c>
      <c r="F121" s="4">
        <v>45685</v>
      </c>
      <c r="G121" s="8">
        <v>10</v>
      </c>
      <c r="H121" t="s">
        <v>20</v>
      </c>
      <c r="I121">
        <v>0</v>
      </c>
      <c r="J121" t="s">
        <v>25</v>
      </c>
      <c r="K121" t="s">
        <v>17</v>
      </c>
      <c r="L121" s="6">
        <v>6524.79</v>
      </c>
      <c r="M121" t="str">
        <f>TEXT(Table1[[#This Row],[Admission_Date]], "mmm")</f>
        <v>Jan</v>
      </c>
      <c r="N121">
        <f>YEAR(Table1[[#This Row],[Admission_Date]])</f>
        <v>2025</v>
      </c>
      <c r="O121" t="str">
        <f>IF(Table1[[#This Row],[Age]]&lt;30, "Young Adult", IF(Table1[[#This Row],[Age]]&lt;60, "Adult", "Senior"))</f>
        <v>Adult</v>
      </c>
    </row>
    <row r="122" spans="1:15" x14ac:dyDescent="0.25">
      <c r="A122" t="s">
        <v>149</v>
      </c>
      <c r="B122">
        <v>64</v>
      </c>
      <c r="C122" t="s">
        <v>24</v>
      </c>
      <c r="D122" t="s">
        <v>14</v>
      </c>
      <c r="E122" s="4">
        <v>45760</v>
      </c>
      <c r="F122" s="4">
        <v>45763</v>
      </c>
      <c r="G122" s="8">
        <v>3</v>
      </c>
      <c r="H122" t="s">
        <v>20</v>
      </c>
      <c r="I122">
        <v>0</v>
      </c>
      <c r="J122" t="s">
        <v>25</v>
      </c>
      <c r="K122" t="s">
        <v>47</v>
      </c>
      <c r="L122" s="6">
        <v>14527.07</v>
      </c>
      <c r="M122" t="str">
        <f>TEXT(Table1[[#This Row],[Admission_Date]], "mmm")</f>
        <v>Apr</v>
      </c>
      <c r="N122">
        <f>YEAR(Table1[[#This Row],[Admission_Date]])</f>
        <v>2025</v>
      </c>
      <c r="O122" t="str">
        <f>IF(Table1[[#This Row],[Age]]&lt;30, "Young Adult", IF(Table1[[#This Row],[Age]]&lt;60, "Adult", "Senior"))</f>
        <v>Senior</v>
      </c>
    </row>
    <row r="123" spans="1:15" x14ac:dyDescent="0.25">
      <c r="A123" t="s">
        <v>150</v>
      </c>
      <c r="B123">
        <v>32</v>
      </c>
      <c r="C123" t="s">
        <v>24</v>
      </c>
      <c r="D123" t="s">
        <v>19</v>
      </c>
      <c r="E123" s="4">
        <v>45809</v>
      </c>
      <c r="F123" s="4">
        <v>45821</v>
      </c>
      <c r="G123" s="8">
        <v>12</v>
      </c>
      <c r="H123" t="s">
        <v>20</v>
      </c>
      <c r="I123">
        <v>0</v>
      </c>
      <c r="J123" t="s">
        <v>21</v>
      </c>
      <c r="K123" t="s">
        <v>22</v>
      </c>
      <c r="L123" s="6">
        <v>12972.04</v>
      </c>
      <c r="M123" t="str">
        <f>TEXT(Table1[[#This Row],[Admission_Date]], "mmm")</f>
        <v>Jun</v>
      </c>
      <c r="N123">
        <f>YEAR(Table1[[#This Row],[Admission_Date]])</f>
        <v>2025</v>
      </c>
      <c r="O123" t="str">
        <f>IF(Table1[[#This Row],[Age]]&lt;30, "Young Adult", IF(Table1[[#This Row],[Age]]&lt;60, "Adult", "Senior"))</f>
        <v>Adult</v>
      </c>
    </row>
    <row r="124" spans="1:15" x14ac:dyDescent="0.25">
      <c r="A124" t="s">
        <v>151</v>
      </c>
      <c r="B124">
        <v>89</v>
      </c>
      <c r="C124" t="s">
        <v>24</v>
      </c>
      <c r="D124" t="s">
        <v>19</v>
      </c>
      <c r="E124" s="4">
        <v>46003</v>
      </c>
      <c r="F124" s="4">
        <v>46010</v>
      </c>
      <c r="G124" s="8">
        <v>7</v>
      </c>
      <c r="H124" t="s">
        <v>20</v>
      </c>
      <c r="I124">
        <v>0</v>
      </c>
      <c r="J124" t="s">
        <v>29</v>
      </c>
      <c r="K124" t="s">
        <v>22</v>
      </c>
      <c r="L124" s="6">
        <v>4334.6499999999996</v>
      </c>
      <c r="M124" t="str">
        <f>TEXT(Table1[[#This Row],[Admission_Date]], "mmm")</f>
        <v>Dec</v>
      </c>
      <c r="N124">
        <f>YEAR(Table1[[#This Row],[Admission_Date]])</f>
        <v>2025</v>
      </c>
      <c r="O124" t="str">
        <f>IF(Table1[[#This Row],[Age]]&lt;30, "Young Adult", IF(Table1[[#This Row],[Age]]&lt;60, "Adult", "Senior"))</f>
        <v>Senior</v>
      </c>
    </row>
    <row r="125" spans="1:15" x14ac:dyDescent="0.25">
      <c r="A125" t="s">
        <v>152</v>
      </c>
      <c r="B125">
        <v>51</v>
      </c>
      <c r="C125" t="s">
        <v>24</v>
      </c>
      <c r="D125" t="s">
        <v>28</v>
      </c>
      <c r="E125" s="4">
        <v>45721</v>
      </c>
      <c r="F125" s="4">
        <v>45729</v>
      </c>
      <c r="G125" s="8">
        <v>8</v>
      </c>
      <c r="H125" t="s">
        <v>20</v>
      </c>
      <c r="I125">
        <v>0</v>
      </c>
      <c r="J125" t="s">
        <v>25</v>
      </c>
      <c r="K125" t="s">
        <v>22</v>
      </c>
      <c r="L125" s="6">
        <v>10285.129999999999</v>
      </c>
      <c r="M125" t="str">
        <f>TEXT(Table1[[#This Row],[Admission_Date]], "mmm")</f>
        <v>Mar</v>
      </c>
      <c r="N125">
        <f>YEAR(Table1[[#This Row],[Admission_Date]])</f>
        <v>2025</v>
      </c>
      <c r="O125" t="str">
        <f>IF(Table1[[#This Row],[Age]]&lt;30, "Young Adult", IF(Table1[[#This Row],[Age]]&lt;60, "Adult", "Senior"))</f>
        <v>Adult</v>
      </c>
    </row>
    <row r="126" spans="1:15" x14ac:dyDescent="0.25">
      <c r="A126" t="s">
        <v>153</v>
      </c>
      <c r="B126">
        <v>89</v>
      </c>
      <c r="C126" t="s">
        <v>24</v>
      </c>
      <c r="D126" t="s">
        <v>34</v>
      </c>
      <c r="E126" s="4">
        <v>45899</v>
      </c>
      <c r="F126" s="4">
        <v>45900</v>
      </c>
      <c r="G126" s="8">
        <v>1</v>
      </c>
      <c r="H126" t="s">
        <v>20</v>
      </c>
      <c r="I126">
        <v>0</v>
      </c>
      <c r="J126" t="s">
        <v>21</v>
      </c>
      <c r="K126" t="s">
        <v>17</v>
      </c>
      <c r="L126" s="6">
        <v>1416.65</v>
      </c>
      <c r="M126" t="str">
        <f>TEXT(Table1[[#This Row],[Admission_Date]], "mmm")</f>
        <v>Aug</v>
      </c>
      <c r="N126">
        <f>YEAR(Table1[[#This Row],[Admission_Date]])</f>
        <v>2025</v>
      </c>
      <c r="O126" t="str">
        <f>IF(Table1[[#This Row],[Age]]&lt;30, "Young Adult", IF(Table1[[#This Row],[Age]]&lt;60, "Adult", "Senior"))</f>
        <v>Senior</v>
      </c>
    </row>
    <row r="127" spans="1:15" x14ac:dyDescent="0.25">
      <c r="A127" t="s">
        <v>154</v>
      </c>
      <c r="B127">
        <v>70</v>
      </c>
      <c r="C127" t="s">
        <v>13</v>
      </c>
      <c r="D127" t="s">
        <v>14</v>
      </c>
      <c r="E127" s="4">
        <v>45895</v>
      </c>
      <c r="F127" s="4">
        <v>45907</v>
      </c>
      <c r="G127" s="8">
        <v>12</v>
      </c>
      <c r="H127" t="s">
        <v>20</v>
      </c>
      <c r="I127">
        <v>0</v>
      </c>
      <c r="J127" t="s">
        <v>16</v>
      </c>
      <c r="K127" t="s">
        <v>22</v>
      </c>
      <c r="L127" s="6">
        <v>4913.29</v>
      </c>
      <c r="M127" t="str">
        <f>TEXT(Table1[[#This Row],[Admission_Date]], "mmm")</f>
        <v>Aug</v>
      </c>
      <c r="N127">
        <f>YEAR(Table1[[#This Row],[Admission_Date]])</f>
        <v>2025</v>
      </c>
      <c r="O127" t="str">
        <f>IF(Table1[[#This Row],[Age]]&lt;30, "Young Adult", IF(Table1[[#This Row],[Age]]&lt;60, "Adult", "Senior"))</f>
        <v>Senior</v>
      </c>
    </row>
    <row r="128" spans="1:15" x14ac:dyDescent="0.25">
      <c r="A128" t="s">
        <v>155</v>
      </c>
      <c r="B128">
        <v>86</v>
      </c>
      <c r="C128" t="s">
        <v>13</v>
      </c>
      <c r="D128" t="s">
        <v>40</v>
      </c>
      <c r="E128" s="4">
        <v>45910</v>
      </c>
      <c r="F128" s="4">
        <v>45912</v>
      </c>
      <c r="G128" s="8">
        <v>2</v>
      </c>
      <c r="H128" t="s">
        <v>15</v>
      </c>
      <c r="I128">
        <v>15</v>
      </c>
      <c r="J128" t="s">
        <v>25</v>
      </c>
      <c r="K128" t="s">
        <v>17</v>
      </c>
      <c r="L128" s="6">
        <v>14266.02</v>
      </c>
      <c r="M128" t="str">
        <f>TEXT(Table1[[#This Row],[Admission_Date]], "mmm")</f>
        <v>Sep</v>
      </c>
      <c r="N128">
        <f>YEAR(Table1[[#This Row],[Admission_Date]])</f>
        <v>2025</v>
      </c>
      <c r="O128" t="str">
        <f>IF(Table1[[#This Row],[Age]]&lt;30, "Young Adult", IF(Table1[[#This Row],[Age]]&lt;60, "Adult", "Senior"))</f>
        <v>Senior</v>
      </c>
    </row>
    <row r="129" spans="1:15" x14ac:dyDescent="0.25">
      <c r="A129" t="s">
        <v>156</v>
      </c>
      <c r="B129">
        <v>37</v>
      </c>
      <c r="C129" t="s">
        <v>24</v>
      </c>
      <c r="D129" t="s">
        <v>28</v>
      </c>
      <c r="E129" s="4">
        <v>46014</v>
      </c>
      <c r="F129" s="4">
        <v>46023</v>
      </c>
      <c r="G129" s="8">
        <v>9</v>
      </c>
      <c r="H129" t="s">
        <v>20</v>
      </c>
      <c r="I129">
        <v>0</v>
      </c>
      <c r="J129" t="s">
        <v>16</v>
      </c>
      <c r="K129" t="s">
        <v>47</v>
      </c>
      <c r="L129" s="6">
        <v>9426.9599999999991</v>
      </c>
      <c r="M129" t="str">
        <f>TEXT(Table1[[#This Row],[Admission_Date]], "mmm")</f>
        <v>Dec</v>
      </c>
      <c r="N129">
        <f>YEAR(Table1[[#This Row],[Admission_Date]])</f>
        <v>2025</v>
      </c>
      <c r="O129" t="str">
        <f>IF(Table1[[#This Row],[Age]]&lt;30, "Young Adult", IF(Table1[[#This Row],[Age]]&lt;60, "Adult", "Senior"))</f>
        <v>Adult</v>
      </c>
    </row>
    <row r="130" spans="1:15" x14ac:dyDescent="0.25">
      <c r="A130" t="s">
        <v>157</v>
      </c>
      <c r="B130">
        <v>45</v>
      </c>
      <c r="C130" t="s">
        <v>24</v>
      </c>
      <c r="D130" t="s">
        <v>40</v>
      </c>
      <c r="E130" s="4">
        <v>45801</v>
      </c>
      <c r="F130" s="4">
        <v>45802</v>
      </c>
      <c r="G130" s="8">
        <v>1</v>
      </c>
      <c r="H130" t="s">
        <v>20</v>
      </c>
      <c r="I130">
        <v>0</v>
      </c>
      <c r="J130" t="s">
        <v>21</v>
      </c>
      <c r="K130" t="s">
        <v>47</v>
      </c>
      <c r="L130" s="6">
        <v>1940.64</v>
      </c>
      <c r="M130" t="str">
        <f>TEXT(Table1[[#This Row],[Admission_Date]], "mmm")</f>
        <v>May</v>
      </c>
      <c r="N130">
        <f>YEAR(Table1[[#This Row],[Admission_Date]])</f>
        <v>2025</v>
      </c>
      <c r="O130" t="str">
        <f>IF(Table1[[#This Row],[Age]]&lt;30, "Young Adult", IF(Table1[[#This Row],[Age]]&lt;60, "Adult", "Senior"))</f>
        <v>Adult</v>
      </c>
    </row>
    <row r="131" spans="1:15" x14ac:dyDescent="0.25">
      <c r="A131" t="s">
        <v>158</v>
      </c>
      <c r="B131">
        <v>63</v>
      </c>
      <c r="C131" t="s">
        <v>13</v>
      </c>
      <c r="D131" t="s">
        <v>40</v>
      </c>
      <c r="E131" s="4">
        <v>46009</v>
      </c>
      <c r="F131" s="4">
        <v>46015</v>
      </c>
      <c r="G131" s="8">
        <v>6</v>
      </c>
      <c r="H131" t="s">
        <v>20</v>
      </c>
      <c r="I131">
        <v>0</v>
      </c>
      <c r="J131" t="s">
        <v>25</v>
      </c>
      <c r="K131" t="s">
        <v>22</v>
      </c>
      <c r="L131" s="6">
        <v>14539</v>
      </c>
      <c r="M131" t="str">
        <f>TEXT(Table1[[#This Row],[Admission_Date]], "mmm")</f>
        <v>Dec</v>
      </c>
      <c r="N131">
        <f>YEAR(Table1[[#This Row],[Admission_Date]])</f>
        <v>2025</v>
      </c>
      <c r="O131" t="str">
        <f>IF(Table1[[#This Row],[Age]]&lt;30, "Young Adult", IF(Table1[[#This Row],[Age]]&lt;60, "Adult", "Senior"))</f>
        <v>Senior</v>
      </c>
    </row>
    <row r="132" spans="1:15" x14ac:dyDescent="0.25">
      <c r="A132" t="s">
        <v>159</v>
      </c>
      <c r="B132">
        <v>20</v>
      </c>
      <c r="C132" t="s">
        <v>13</v>
      </c>
      <c r="D132" t="s">
        <v>32</v>
      </c>
      <c r="E132" s="4">
        <v>45890</v>
      </c>
      <c r="F132" s="4">
        <v>45892</v>
      </c>
      <c r="G132" s="8">
        <v>2</v>
      </c>
      <c r="H132" t="s">
        <v>20</v>
      </c>
      <c r="I132">
        <v>0</v>
      </c>
      <c r="J132" t="s">
        <v>21</v>
      </c>
      <c r="K132" t="s">
        <v>22</v>
      </c>
      <c r="L132" s="6">
        <v>11911.18</v>
      </c>
      <c r="M132" t="str">
        <f>TEXT(Table1[[#This Row],[Admission_Date]], "mmm")</f>
        <v>Aug</v>
      </c>
      <c r="N132">
        <f>YEAR(Table1[[#This Row],[Admission_Date]])</f>
        <v>2025</v>
      </c>
      <c r="O132" t="str">
        <f>IF(Table1[[#This Row],[Age]]&lt;30, "Young Adult", IF(Table1[[#This Row],[Age]]&lt;60, "Adult", "Senior"))</f>
        <v>Young Adult</v>
      </c>
    </row>
    <row r="133" spans="1:15" x14ac:dyDescent="0.25">
      <c r="A133" t="s">
        <v>160</v>
      </c>
      <c r="B133">
        <v>88</v>
      </c>
      <c r="C133" t="s">
        <v>13</v>
      </c>
      <c r="D133" t="s">
        <v>34</v>
      </c>
      <c r="E133" s="4">
        <v>45763</v>
      </c>
      <c r="F133" s="4">
        <v>45765</v>
      </c>
      <c r="G133" s="8">
        <v>2</v>
      </c>
      <c r="H133" t="s">
        <v>20</v>
      </c>
      <c r="I133">
        <v>0</v>
      </c>
      <c r="J133" t="s">
        <v>21</v>
      </c>
      <c r="K133" t="s">
        <v>22</v>
      </c>
      <c r="L133" s="6">
        <v>5264.11</v>
      </c>
      <c r="M133" t="str">
        <f>TEXT(Table1[[#This Row],[Admission_Date]], "mmm")</f>
        <v>Apr</v>
      </c>
      <c r="N133">
        <f>YEAR(Table1[[#This Row],[Admission_Date]])</f>
        <v>2025</v>
      </c>
      <c r="O133" t="str">
        <f>IF(Table1[[#This Row],[Age]]&lt;30, "Young Adult", IF(Table1[[#This Row],[Age]]&lt;60, "Adult", "Senior"))</f>
        <v>Senior</v>
      </c>
    </row>
    <row r="134" spans="1:15" x14ac:dyDescent="0.25">
      <c r="A134" t="s">
        <v>161</v>
      </c>
      <c r="B134">
        <v>18</v>
      </c>
      <c r="C134" t="s">
        <v>24</v>
      </c>
      <c r="D134" t="s">
        <v>14</v>
      </c>
      <c r="E134" s="4">
        <v>45733</v>
      </c>
      <c r="F134" s="4">
        <v>45746</v>
      </c>
      <c r="G134" s="8">
        <v>13</v>
      </c>
      <c r="H134" t="s">
        <v>20</v>
      </c>
      <c r="I134">
        <v>0</v>
      </c>
      <c r="J134" t="s">
        <v>21</v>
      </c>
      <c r="K134" t="s">
        <v>17</v>
      </c>
      <c r="L134" s="6">
        <v>4134.49</v>
      </c>
      <c r="M134" t="str">
        <f>TEXT(Table1[[#This Row],[Admission_Date]], "mmm")</f>
        <v>Mar</v>
      </c>
      <c r="N134">
        <f>YEAR(Table1[[#This Row],[Admission_Date]])</f>
        <v>2025</v>
      </c>
      <c r="O134" t="str">
        <f>IF(Table1[[#This Row],[Age]]&lt;30, "Young Adult", IF(Table1[[#This Row],[Age]]&lt;60, "Adult", "Senior"))</f>
        <v>Young Adult</v>
      </c>
    </row>
    <row r="135" spans="1:15" x14ac:dyDescent="0.25">
      <c r="A135" t="s">
        <v>162</v>
      </c>
      <c r="B135">
        <v>21</v>
      </c>
      <c r="C135" t="s">
        <v>13</v>
      </c>
      <c r="D135" t="s">
        <v>19</v>
      </c>
      <c r="E135" s="4">
        <v>45747</v>
      </c>
      <c r="F135" s="4">
        <v>45749</v>
      </c>
      <c r="G135" s="8">
        <v>2</v>
      </c>
      <c r="H135" t="s">
        <v>20</v>
      </c>
      <c r="I135">
        <v>0</v>
      </c>
      <c r="J135" t="s">
        <v>25</v>
      </c>
      <c r="K135" t="s">
        <v>22</v>
      </c>
      <c r="L135" s="6">
        <v>9038.3700000000008</v>
      </c>
      <c r="M135" t="str">
        <f>TEXT(Table1[[#This Row],[Admission_Date]], "mmm")</f>
        <v>Mar</v>
      </c>
      <c r="N135">
        <f>YEAR(Table1[[#This Row],[Admission_Date]])</f>
        <v>2025</v>
      </c>
      <c r="O135" t="str">
        <f>IF(Table1[[#This Row],[Age]]&lt;30, "Young Adult", IF(Table1[[#This Row],[Age]]&lt;60, "Adult", "Senior"))</f>
        <v>Young Adult</v>
      </c>
    </row>
    <row r="136" spans="1:15" x14ac:dyDescent="0.25">
      <c r="A136" t="s">
        <v>163</v>
      </c>
      <c r="B136">
        <v>34</v>
      </c>
      <c r="C136" t="s">
        <v>24</v>
      </c>
      <c r="D136" t="s">
        <v>34</v>
      </c>
      <c r="E136" s="4">
        <v>45666</v>
      </c>
      <c r="F136" s="4">
        <v>45669</v>
      </c>
      <c r="G136" s="8">
        <v>3</v>
      </c>
      <c r="H136" t="s">
        <v>15</v>
      </c>
      <c r="I136">
        <v>4</v>
      </c>
      <c r="J136" t="s">
        <v>16</v>
      </c>
      <c r="K136" t="s">
        <v>47</v>
      </c>
      <c r="L136" s="6">
        <v>6999.99</v>
      </c>
      <c r="M136" t="str">
        <f>TEXT(Table1[[#This Row],[Admission_Date]], "mmm")</f>
        <v>Jan</v>
      </c>
      <c r="N136">
        <f>YEAR(Table1[[#This Row],[Admission_Date]])</f>
        <v>2025</v>
      </c>
      <c r="O136" t="str">
        <f>IF(Table1[[#This Row],[Age]]&lt;30, "Young Adult", IF(Table1[[#This Row],[Age]]&lt;60, "Adult", "Senior"))</f>
        <v>Adult</v>
      </c>
    </row>
    <row r="137" spans="1:15" x14ac:dyDescent="0.25">
      <c r="A137" t="s">
        <v>164</v>
      </c>
      <c r="B137">
        <v>75</v>
      </c>
      <c r="C137" t="s">
        <v>13</v>
      </c>
      <c r="D137" t="s">
        <v>34</v>
      </c>
      <c r="E137" s="4">
        <v>45843</v>
      </c>
      <c r="F137" s="4">
        <v>45852</v>
      </c>
      <c r="G137" s="8">
        <v>9</v>
      </c>
      <c r="H137" t="s">
        <v>20</v>
      </c>
      <c r="I137">
        <v>0</v>
      </c>
      <c r="J137" t="s">
        <v>16</v>
      </c>
      <c r="K137" t="s">
        <v>17</v>
      </c>
      <c r="L137" s="6">
        <v>11856.79</v>
      </c>
      <c r="M137" t="str">
        <f>TEXT(Table1[[#This Row],[Admission_Date]], "mmm")</f>
        <v>Jul</v>
      </c>
      <c r="N137">
        <f>YEAR(Table1[[#This Row],[Admission_Date]])</f>
        <v>2025</v>
      </c>
      <c r="O137" t="str">
        <f>IF(Table1[[#This Row],[Age]]&lt;30, "Young Adult", IF(Table1[[#This Row],[Age]]&lt;60, "Adult", "Senior"))</f>
        <v>Senior</v>
      </c>
    </row>
    <row r="138" spans="1:15" x14ac:dyDescent="0.25">
      <c r="A138" t="s">
        <v>165</v>
      </c>
      <c r="B138">
        <v>21</v>
      </c>
      <c r="C138" t="s">
        <v>13</v>
      </c>
      <c r="D138" t="s">
        <v>40</v>
      </c>
      <c r="E138" s="4">
        <v>45995</v>
      </c>
      <c r="F138" s="4">
        <v>46004</v>
      </c>
      <c r="G138" s="8">
        <v>9</v>
      </c>
      <c r="H138" t="s">
        <v>20</v>
      </c>
      <c r="I138">
        <v>0</v>
      </c>
      <c r="J138" t="s">
        <v>29</v>
      </c>
      <c r="K138" t="s">
        <v>47</v>
      </c>
      <c r="L138" s="6">
        <v>10448.41</v>
      </c>
      <c r="M138" t="str">
        <f>TEXT(Table1[[#This Row],[Admission_Date]], "mmm")</f>
        <v>Dec</v>
      </c>
      <c r="N138">
        <f>YEAR(Table1[[#This Row],[Admission_Date]])</f>
        <v>2025</v>
      </c>
      <c r="O138" t="str">
        <f>IF(Table1[[#This Row],[Age]]&lt;30, "Young Adult", IF(Table1[[#This Row],[Age]]&lt;60, "Adult", "Senior"))</f>
        <v>Young Adult</v>
      </c>
    </row>
    <row r="139" spans="1:15" x14ac:dyDescent="0.25">
      <c r="A139" t="s">
        <v>166</v>
      </c>
      <c r="B139">
        <v>27</v>
      </c>
      <c r="C139" t="s">
        <v>13</v>
      </c>
      <c r="D139" t="s">
        <v>32</v>
      </c>
      <c r="E139" s="4">
        <v>45909</v>
      </c>
      <c r="F139" s="4">
        <v>45921</v>
      </c>
      <c r="G139" s="8">
        <v>12</v>
      </c>
      <c r="H139" t="s">
        <v>20</v>
      </c>
      <c r="I139">
        <v>0</v>
      </c>
      <c r="J139" t="s">
        <v>21</v>
      </c>
      <c r="K139" t="s">
        <v>22</v>
      </c>
      <c r="L139" s="6">
        <v>2329.7800000000002</v>
      </c>
      <c r="M139" t="str">
        <f>TEXT(Table1[[#This Row],[Admission_Date]], "mmm")</f>
        <v>Sep</v>
      </c>
      <c r="N139">
        <f>YEAR(Table1[[#This Row],[Admission_Date]])</f>
        <v>2025</v>
      </c>
      <c r="O139" t="str">
        <f>IF(Table1[[#This Row],[Age]]&lt;30, "Young Adult", IF(Table1[[#This Row],[Age]]&lt;60, "Adult", "Senior"))</f>
        <v>Young Adult</v>
      </c>
    </row>
    <row r="140" spans="1:15" x14ac:dyDescent="0.25">
      <c r="A140" t="s">
        <v>167</v>
      </c>
      <c r="B140">
        <v>59</v>
      </c>
      <c r="C140" t="s">
        <v>24</v>
      </c>
      <c r="D140" t="s">
        <v>34</v>
      </c>
      <c r="E140" s="4">
        <v>45977</v>
      </c>
      <c r="F140" s="4">
        <v>45988</v>
      </c>
      <c r="G140" s="8">
        <v>11</v>
      </c>
      <c r="H140" t="s">
        <v>20</v>
      </c>
      <c r="I140">
        <v>0</v>
      </c>
      <c r="J140" t="s">
        <v>25</v>
      </c>
      <c r="K140" t="s">
        <v>47</v>
      </c>
      <c r="L140" s="6">
        <v>7830.49</v>
      </c>
      <c r="M140" t="str">
        <f>TEXT(Table1[[#This Row],[Admission_Date]], "mmm")</f>
        <v>Nov</v>
      </c>
      <c r="N140">
        <f>YEAR(Table1[[#This Row],[Admission_Date]])</f>
        <v>2025</v>
      </c>
      <c r="O140" t="str">
        <f>IF(Table1[[#This Row],[Age]]&lt;30, "Young Adult", IF(Table1[[#This Row],[Age]]&lt;60, "Adult", "Senior"))</f>
        <v>Adult</v>
      </c>
    </row>
    <row r="141" spans="1:15" x14ac:dyDescent="0.25">
      <c r="A141" t="s">
        <v>168</v>
      </c>
      <c r="B141">
        <v>32</v>
      </c>
      <c r="C141" t="s">
        <v>13</v>
      </c>
      <c r="D141" t="s">
        <v>40</v>
      </c>
      <c r="E141" s="4">
        <v>45878</v>
      </c>
      <c r="F141" s="4">
        <v>45880</v>
      </c>
      <c r="G141" s="8">
        <v>2</v>
      </c>
      <c r="H141" t="s">
        <v>20</v>
      </c>
      <c r="I141">
        <v>0</v>
      </c>
      <c r="J141" t="s">
        <v>29</v>
      </c>
      <c r="K141" t="s">
        <v>22</v>
      </c>
      <c r="L141" s="6">
        <v>6500.3</v>
      </c>
      <c r="M141" t="str">
        <f>TEXT(Table1[[#This Row],[Admission_Date]], "mmm")</f>
        <v>Aug</v>
      </c>
      <c r="N141">
        <f>YEAR(Table1[[#This Row],[Admission_Date]])</f>
        <v>2025</v>
      </c>
      <c r="O141" t="str">
        <f>IF(Table1[[#This Row],[Age]]&lt;30, "Young Adult", IF(Table1[[#This Row],[Age]]&lt;60, "Adult", "Senior"))</f>
        <v>Adult</v>
      </c>
    </row>
    <row r="142" spans="1:15" x14ac:dyDescent="0.25">
      <c r="A142" t="s">
        <v>169</v>
      </c>
      <c r="B142">
        <v>30</v>
      </c>
      <c r="C142" t="s">
        <v>24</v>
      </c>
      <c r="D142" t="s">
        <v>40</v>
      </c>
      <c r="E142" s="4">
        <v>45890</v>
      </c>
      <c r="F142" s="4">
        <v>45897</v>
      </c>
      <c r="G142" s="8">
        <v>7</v>
      </c>
      <c r="H142" t="s">
        <v>20</v>
      </c>
      <c r="I142">
        <v>0</v>
      </c>
      <c r="J142" t="s">
        <v>25</v>
      </c>
      <c r="K142" t="s">
        <v>17</v>
      </c>
      <c r="L142" s="6">
        <v>4195.8999999999996</v>
      </c>
      <c r="M142" t="str">
        <f>TEXT(Table1[[#This Row],[Admission_Date]], "mmm")</f>
        <v>Aug</v>
      </c>
      <c r="N142">
        <f>YEAR(Table1[[#This Row],[Admission_Date]])</f>
        <v>2025</v>
      </c>
      <c r="O142" t="str">
        <f>IF(Table1[[#This Row],[Age]]&lt;30, "Young Adult", IF(Table1[[#This Row],[Age]]&lt;60, "Adult", "Senior"))</f>
        <v>Adult</v>
      </c>
    </row>
    <row r="143" spans="1:15" x14ac:dyDescent="0.25">
      <c r="A143" t="s">
        <v>170</v>
      </c>
      <c r="B143">
        <v>26</v>
      </c>
      <c r="C143" t="s">
        <v>13</v>
      </c>
      <c r="D143" t="s">
        <v>19</v>
      </c>
      <c r="E143" s="4">
        <v>45736</v>
      </c>
      <c r="F143" s="4">
        <v>45747</v>
      </c>
      <c r="G143" s="8">
        <v>11</v>
      </c>
      <c r="H143" t="s">
        <v>20</v>
      </c>
      <c r="I143">
        <v>0</v>
      </c>
      <c r="J143" t="s">
        <v>16</v>
      </c>
      <c r="K143" t="s">
        <v>47</v>
      </c>
      <c r="L143" s="6">
        <v>1900.18</v>
      </c>
      <c r="M143" t="str">
        <f>TEXT(Table1[[#This Row],[Admission_Date]], "mmm")</f>
        <v>Mar</v>
      </c>
      <c r="N143">
        <f>YEAR(Table1[[#This Row],[Admission_Date]])</f>
        <v>2025</v>
      </c>
      <c r="O143" t="str">
        <f>IF(Table1[[#This Row],[Age]]&lt;30, "Young Adult", IF(Table1[[#This Row],[Age]]&lt;60, "Adult", "Senior"))</f>
        <v>Young Adult</v>
      </c>
    </row>
    <row r="144" spans="1:15" x14ac:dyDescent="0.25">
      <c r="A144" t="s">
        <v>171</v>
      </c>
      <c r="B144">
        <v>25</v>
      </c>
      <c r="C144" t="s">
        <v>24</v>
      </c>
      <c r="D144" t="s">
        <v>28</v>
      </c>
      <c r="E144" s="4">
        <v>45848</v>
      </c>
      <c r="F144" s="4">
        <v>45861</v>
      </c>
      <c r="G144" s="8">
        <v>13</v>
      </c>
      <c r="H144" t="s">
        <v>15</v>
      </c>
      <c r="I144">
        <v>4</v>
      </c>
      <c r="J144" t="s">
        <v>29</v>
      </c>
      <c r="K144" t="s">
        <v>47</v>
      </c>
      <c r="L144" s="6">
        <v>13167.31</v>
      </c>
      <c r="M144" t="str">
        <f>TEXT(Table1[[#This Row],[Admission_Date]], "mmm")</f>
        <v>Jul</v>
      </c>
      <c r="N144">
        <f>YEAR(Table1[[#This Row],[Admission_Date]])</f>
        <v>2025</v>
      </c>
      <c r="O144" t="str">
        <f>IF(Table1[[#This Row],[Age]]&lt;30, "Young Adult", IF(Table1[[#This Row],[Age]]&lt;60, "Adult", "Senior"))</f>
        <v>Young Adult</v>
      </c>
    </row>
    <row r="145" spans="1:15" x14ac:dyDescent="0.25">
      <c r="A145" t="s">
        <v>172</v>
      </c>
      <c r="B145">
        <v>24</v>
      </c>
      <c r="C145" t="s">
        <v>24</v>
      </c>
      <c r="D145" t="s">
        <v>34</v>
      </c>
      <c r="E145" s="4">
        <v>45874</v>
      </c>
      <c r="F145" s="4">
        <v>45888</v>
      </c>
      <c r="G145" s="8">
        <v>14</v>
      </c>
      <c r="H145" t="s">
        <v>20</v>
      </c>
      <c r="I145">
        <v>0</v>
      </c>
      <c r="J145" t="s">
        <v>25</v>
      </c>
      <c r="K145" t="s">
        <v>47</v>
      </c>
      <c r="L145" s="6">
        <v>2002.21</v>
      </c>
      <c r="M145" t="str">
        <f>TEXT(Table1[[#This Row],[Admission_Date]], "mmm")</f>
        <v>Aug</v>
      </c>
      <c r="N145">
        <f>YEAR(Table1[[#This Row],[Admission_Date]])</f>
        <v>2025</v>
      </c>
      <c r="O145" t="str">
        <f>IF(Table1[[#This Row],[Age]]&lt;30, "Young Adult", IF(Table1[[#This Row],[Age]]&lt;60, "Adult", "Senior"))</f>
        <v>Young Adult</v>
      </c>
    </row>
    <row r="146" spans="1:15" x14ac:dyDescent="0.25">
      <c r="A146" t="s">
        <v>173</v>
      </c>
      <c r="B146">
        <v>79</v>
      </c>
      <c r="C146" t="s">
        <v>13</v>
      </c>
      <c r="D146" t="s">
        <v>19</v>
      </c>
      <c r="E146" s="4">
        <v>45917</v>
      </c>
      <c r="F146" s="4">
        <v>45921</v>
      </c>
      <c r="G146" s="8">
        <v>4</v>
      </c>
      <c r="H146" t="s">
        <v>15</v>
      </c>
      <c r="I146">
        <v>12</v>
      </c>
      <c r="J146" t="s">
        <v>25</v>
      </c>
      <c r="K146" t="s">
        <v>22</v>
      </c>
      <c r="L146" s="6">
        <v>11557.78</v>
      </c>
      <c r="M146" t="str">
        <f>TEXT(Table1[[#This Row],[Admission_Date]], "mmm")</f>
        <v>Sep</v>
      </c>
      <c r="N146">
        <f>YEAR(Table1[[#This Row],[Admission_Date]])</f>
        <v>2025</v>
      </c>
      <c r="O146" t="str">
        <f>IF(Table1[[#This Row],[Age]]&lt;30, "Young Adult", IF(Table1[[#This Row],[Age]]&lt;60, "Adult", "Senior"))</f>
        <v>Senior</v>
      </c>
    </row>
    <row r="147" spans="1:15" x14ac:dyDescent="0.25">
      <c r="A147" t="s">
        <v>174</v>
      </c>
      <c r="B147">
        <v>89</v>
      </c>
      <c r="C147" t="s">
        <v>13</v>
      </c>
      <c r="D147" t="s">
        <v>34</v>
      </c>
      <c r="E147" s="4">
        <v>45951</v>
      </c>
      <c r="F147" s="4">
        <v>45955</v>
      </c>
      <c r="G147" s="8">
        <v>4</v>
      </c>
      <c r="H147" t="s">
        <v>20</v>
      </c>
      <c r="I147">
        <v>0</v>
      </c>
      <c r="J147" t="s">
        <v>25</v>
      </c>
      <c r="K147" t="s">
        <v>22</v>
      </c>
      <c r="L147" s="6">
        <v>3116.03</v>
      </c>
      <c r="M147" t="str">
        <f>TEXT(Table1[[#This Row],[Admission_Date]], "mmm")</f>
        <v>Oct</v>
      </c>
      <c r="N147">
        <f>YEAR(Table1[[#This Row],[Admission_Date]])</f>
        <v>2025</v>
      </c>
      <c r="O147" t="str">
        <f>IF(Table1[[#This Row],[Age]]&lt;30, "Young Adult", IF(Table1[[#This Row],[Age]]&lt;60, "Adult", "Senior"))</f>
        <v>Senior</v>
      </c>
    </row>
    <row r="148" spans="1:15" x14ac:dyDescent="0.25">
      <c r="A148" t="s">
        <v>175</v>
      </c>
      <c r="B148">
        <v>61</v>
      </c>
      <c r="C148" t="s">
        <v>24</v>
      </c>
      <c r="D148" t="s">
        <v>19</v>
      </c>
      <c r="E148" s="4">
        <v>46017</v>
      </c>
      <c r="F148" s="4">
        <v>46030</v>
      </c>
      <c r="G148" s="8">
        <v>13</v>
      </c>
      <c r="H148" t="s">
        <v>20</v>
      </c>
      <c r="I148">
        <v>0</v>
      </c>
      <c r="J148" t="s">
        <v>21</v>
      </c>
      <c r="K148" t="s">
        <v>22</v>
      </c>
      <c r="L148" s="6">
        <v>8711.66</v>
      </c>
      <c r="M148" t="str">
        <f>TEXT(Table1[[#This Row],[Admission_Date]], "mmm")</f>
        <v>Dec</v>
      </c>
      <c r="N148">
        <f>YEAR(Table1[[#This Row],[Admission_Date]])</f>
        <v>2025</v>
      </c>
      <c r="O148" t="str">
        <f>IF(Table1[[#This Row],[Age]]&lt;30, "Young Adult", IF(Table1[[#This Row],[Age]]&lt;60, "Adult", "Senior"))</f>
        <v>Senior</v>
      </c>
    </row>
    <row r="149" spans="1:15" x14ac:dyDescent="0.25">
      <c r="A149" t="s">
        <v>176</v>
      </c>
      <c r="B149">
        <v>21</v>
      </c>
      <c r="C149" t="s">
        <v>13</v>
      </c>
      <c r="D149" t="s">
        <v>28</v>
      </c>
      <c r="E149" s="4">
        <v>45863</v>
      </c>
      <c r="F149" s="4">
        <v>45865</v>
      </c>
      <c r="G149" s="8">
        <v>2</v>
      </c>
      <c r="H149" t="s">
        <v>15</v>
      </c>
      <c r="I149">
        <v>17</v>
      </c>
      <c r="J149" t="s">
        <v>21</v>
      </c>
      <c r="K149" t="s">
        <v>47</v>
      </c>
      <c r="L149" s="6">
        <v>6587.57</v>
      </c>
      <c r="M149" t="str">
        <f>TEXT(Table1[[#This Row],[Admission_Date]], "mmm")</f>
        <v>Jul</v>
      </c>
      <c r="N149">
        <f>YEAR(Table1[[#This Row],[Admission_Date]])</f>
        <v>2025</v>
      </c>
      <c r="O149" t="str">
        <f>IF(Table1[[#This Row],[Age]]&lt;30, "Young Adult", IF(Table1[[#This Row],[Age]]&lt;60, "Adult", "Senior"))</f>
        <v>Young Adult</v>
      </c>
    </row>
    <row r="150" spans="1:15" x14ac:dyDescent="0.25">
      <c r="A150" t="s">
        <v>177</v>
      </c>
      <c r="B150">
        <v>59</v>
      </c>
      <c r="C150" t="s">
        <v>13</v>
      </c>
      <c r="D150" t="s">
        <v>19</v>
      </c>
      <c r="E150" s="4">
        <v>45832</v>
      </c>
      <c r="F150" s="4">
        <v>45835</v>
      </c>
      <c r="G150" s="8">
        <v>3</v>
      </c>
      <c r="H150" t="s">
        <v>20</v>
      </c>
      <c r="I150">
        <v>0</v>
      </c>
      <c r="J150" t="s">
        <v>21</v>
      </c>
      <c r="K150" t="s">
        <v>22</v>
      </c>
      <c r="L150" s="6">
        <v>11439.32</v>
      </c>
      <c r="M150" t="str">
        <f>TEXT(Table1[[#This Row],[Admission_Date]], "mmm")</f>
        <v>Jun</v>
      </c>
      <c r="N150">
        <f>YEAR(Table1[[#This Row],[Admission_Date]])</f>
        <v>2025</v>
      </c>
      <c r="O150" t="str">
        <f>IF(Table1[[#This Row],[Age]]&lt;30, "Young Adult", IF(Table1[[#This Row],[Age]]&lt;60, "Adult", "Senior"))</f>
        <v>Adult</v>
      </c>
    </row>
    <row r="151" spans="1:15" x14ac:dyDescent="0.25">
      <c r="A151" t="s">
        <v>178</v>
      </c>
      <c r="B151">
        <v>74</v>
      </c>
      <c r="C151" t="s">
        <v>24</v>
      </c>
      <c r="D151" t="s">
        <v>40</v>
      </c>
      <c r="E151" s="4">
        <v>45683</v>
      </c>
      <c r="F151" s="4">
        <v>45694</v>
      </c>
      <c r="G151" s="8">
        <v>11</v>
      </c>
      <c r="H151" t="s">
        <v>15</v>
      </c>
      <c r="I151">
        <v>20</v>
      </c>
      <c r="J151" t="s">
        <v>29</v>
      </c>
      <c r="K151" t="s">
        <v>47</v>
      </c>
      <c r="L151" s="6">
        <v>4460.92</v>
      </c>
      <c r="M151" t="str">
        <f>TEXT(Table1[[#This Row],[Admission_Date]], "mmm")</f>
        <v>Jan</v>
      </c>
      <c r="N151">
        <f>YEAR(Table1[[#This Row],[Admission_Date]])</f>
        <v>2025</v>
      </c>
      <c r="O151" t="str">
        <f>IF(Table1[[#This Row],[Age]]&lt;30, "Young Adult", IF(Table1[[#This Row],[Age]]&lt;60, "Adult", "Senior"))</f>
        <v>Senior</v>
      </c>
    </row>
    <row r="152" spans="1:15" x14ac:dyDescent="0.25">
      <c r="A152" t="s">
        <v>179</v>
      </c>
      <c r="B152">
        <v>32</v>
      </c>
      <c r="C152" t="s">
        <v>24</v>
      </c>
      <c r="D152" t="s">
        <v>28</v>
      </c>
      <c r="E152" s="4">
        <v>45920</v>
      </c>
      <c r="F152" s="4">
        <v>45922</v>
      </c>
      <c r="G152" s="8">
        <v>2</v>
      </c>
      <c r="H152" t="s">
        <v>20</v>
      </c>
      <c r="I152">
        <v>0</v>
      </c>
      <c r="J152" t="s">
        <v>29</v>
      </c>
      <c r="K152" t="s">
        <v>17</v>
      </c>
      <c r="L152" s="6">
        <v>10173.42</v>
      </c>
      <c r="M152" t="str">
        <f>TEXT(Table1[[#This Row],[Admission_Date]], "mmm")</f>
        <v>Sep</v>
      </c>
      <c r="N152">
        <f>YEAR(Table1[[#This Row],[Admission_Date]])</f>
        <v>2025</v>
      </c>
      <c r="O152" t="str">
        <f>IF(Table1[[#This Row],[Age]]&lt;30, "Young Adult", IF(Table1[[#This Row],[Age]]&lt;60, "Adult", "Senior"))</f>
        <v>Adult</v>
      </c>
    </row>
    <row r="153" spans="1:15" x14ac:dyDescent="0.25">
      <c r="A153" t="s">
        <v>180</v>
      </c>
      <c r="B153">
        <v>25</v>
      </c>
      <c r="C153" t="s">
        <v>13</v>
      </c>
      <c r="D153" t="s">
        <v>14</v>
      </c>
      <c r="E153" s="4">
        <v>45681</v>
      </c>
      <c r="F153" s="4">
        <v>45685</v>
      </c>
      <c r="G153" s="8">
        <v>4</v>
      </c>
      <c r="H153" t="s">
        <v>20</v>
      </c>
      <c r="I153">
        <v>0</v>
      </c>
      <c r="J153" t="s">
        <v>25</v>
      </c>
      <c r="K153" t="s">
        <v>22</v>
      </c>
      <c r="L153" s="6">
        <v>11626.57</v>
      </c>
      <c r="M153" t="str">
        <f>TEXT(Table1[[#This Row],[Admission_Date]], "mmm")</f>
        <v>Jan</v>
      </c>
      <c r="N153">
        <f>YEAR(Table1[[#This Row],[Admission_Date]])</f>
        <v>2025</v>
      </c>
      <c r="O153" t="str">
        <f>IF(Table1[[#This Row],[Age]]&lt;30, "Young Adult", IF(Table1[[#This Row],[Age]]&lt;60, "Adult", "Senior"))</f>
        <v>Young Adult</v>
      </c>
    </row>
    <row r="154" spans="1:15" x14ac:dyDescent="0.25">
      <c r="A154" t="s">
        <v>181</v>
      </c>
      <c r="B154">
        <v>18</v>
      </c>
      <c r="C154" t="s">
        <v>24</v>
      </c>
      <c r="D154" t="s">
        <v>28</v>
      </c>
      <c r="E154" s="4">
        <v>45788</v>
      </c>
      <c r="F154" s="4">
        <v>45793</v>
      </c>
      <c r="G154" s="8">
        <v>5</v>
      </c>
      <c r="H154" t="s">
        <v>20</v>
      </c>
      <c r="I154">
        <v>0</v>
      </c>
      <c r="J154" t="s">
        <v>29</v>
      </c>
      <c r="K154" t="s">
        <v>22</v>
      </c>
      <c r="L154" s="6">
        <v>2373.19</v>
      </c>
      <c r="M154" t="str">
        <f>TEXT(Table1[[#This Row],[Admission_Date]], "mmm")</f>
        <v>May</v>
      </c>
      <c r="N154">
        <f>YEAR(Table1[[#This Row],[Admission_Date]])</f>
        <v>2025</v>
      </c>
      <c r="O154" t="str">
        <f>IF(Table1[[#This Row],[Age]]&lt;30, "Young Adult", IF(Table1[[#This Row],[Age]]&lt;60, "Adult", "Senior"))</f>
        <v>Young Adult</v>
      </c>
    </row>
    <row r="155" spans="1:15" x14ac:dyDescent="0.25">
      <c r="A155" t="s">
        <v>182</v>
      </c>
      <c r="B155">
        <v>89</v>
      </c>
      <c r="C155" t="s">
        <v>24</v>
      </c>
      <c r="D155" t="s">
        <v>19</v>
      </c>
      <c r="E155" s="4">
        <v>45930</v>
      </c>
      <c r="F155" s="4">
        <v>45942</v>
      </c>
      <c r="G155" s="8">
        <v>12</v>
      </c>
      <c r="H155" t="s">
        <v>15</v>
      </c>
      <c r="I155">
        <v>13</v>
      </c>
      <c r="J155" t="s">
        <v>16</v>
      </c>
      <c r="K155" t="s">
        <v>47</v>
      </c>
      <c r="L155" s="6">
        <v>771.75</v>
      </c>
      <c r="M155" t="str">
        <f>TEXT(Table1[[#This Row],[Admission_Date]], "mmm")</f>
        <v>Sep</v>
      </c>
      <c r="N155">
        <f>YEAR(Table1[[#This Row],[Admission_Date]])</f>
        <v>2025</v>
      </c>
      <c r="O155" t="str">
        <f>IF(Table1[[#This Row],[Age]]&lt;30, "Young Adult", IF(Table1[[#This Row],[Age]]&lt;60, "Adult", "Senior"))</f>
        <v>Senior</v>
      </c>
    </row>
    <row r="156" spans="1:15" x14ac:dyDescent="0.25">
      <c r="A156" t="s">
        <v>183</v>
      </c>
      <c r="B156">
        <v>72</v>
      </c>
      <c r="C156" t="s">
        <v>24</v>
      </c>
      <c r="D156" t="s">
        <v>28</v>
      </c>
      <c r="E156" s="4">
        <v>45697</v>
      </c>
      <c r="F156" s="4">
        <v>45711</v>
      </c>
      <c r="G156" s="8">
        <v>14</v>
      </c>
      <c r="H156" t="s">
        <v>20</v>
      </c>
      <c r="I156">
        <v>0</v>
      </c>
      <c r="J156" t="s">
        <v>29</v>
      </c>
      <c r="K156" t="s">
        <v>47</v>
      </c>
      <c r="L156" s="6">
        <v>2170.0100000000002</v>
      </c>
      <c r="M156" t="str">
        <f>TEXT(Table1[[#This Row],[Admission_Date]], "mmm")</f>
        <v>Feb</v>
      </c>
      <c r="N156">
        <f>YEAR(Table1[[#This Row],[Admission_Date]])</f>
        <v>2025</v>
      </c>
      <c r="O156" t="str">
        <f>IF(Table1[[#This Row],[Age]]&lt;30, "Young Adult", IF(Table1[[#This Row],[Age]]&lt;60, "Adult", "Senior"))</f>
        <v>Senior</v>
      </c>
    </row>
    <row r="157" spans="1:15" x14ac:dyDescent="0.25">
      <c r="A157" t="s">
        <v>184</v>
      </c>
      <c r="B157">
        <v>76</v>
      </c>
      <c r="C157" t="s">
        <v>24</v>
      </c>
      <c r="D157" t="s">
        <v>19</v>
      </c>
      <c r="E157" s="4">
        <v>45668</v>
      </c>
      <c r="F157" s="4">
        <v>45674</v>
      </c>
      <c r="G157" s="8">
        <v>6</v>
      </c>
      <c r="H157" t="s">
        <v>15</v>
      </c>
      <c r="I157">
        <v>14</v>
      </c>
      <c r="J157" t="s">
        <v>16</v>
      </c>
      <c r="K157" t="s">
        <v>22</v>
      </c>
      <c r="L157" s="6">
        <v>6817.31</v>
      </c>
      <c r="M157" t="str">
        <f>TEXT(Table1[[#This Row],[Admission_Date]], "mmm")</f>
        <v>Jan</v>
      </c>
      <c r="N157">
        <f>YEAR(Table1[[#This Row],[Admission_Date]])</f>
        <v>2025</v>
      </c>
      <c r="O157" t="str">
        <f>IF(Table1[[#This Row],[Age]]&lt;30, "Young Adult", IF(Table1[[#This Row],[Age]]&lt;60, "Adult", "Senior"))</f>
        <v>Senior</v>
      </c>
    </row>
    <row r="158" spans="1:15" x14ac:dyDescent="0.25">
      <c r="A158" t="s">
        <v>185</v>
      </c>
      <c r="B158">
        <v>57</v>
      </c>
      <c r="C158" t="s">
        <v>24</v>
      </c>
      <c r="D158" t="s">
        <v>14</v>
      </c>
      <c r="E158" s="4">
        <v>45863</v>
      </c>
      <c r="F158" s="4">
        <v>45872</v>
      </c>
      <c r="G158" s="8">
        <v>9</v>
      </c>
      <c r="H158" t="s">
        <v>15</v>
      </c>
      <c r="I158">
        <v>11</v>
      </c>
      <c r="J158" t="s">
        <v>21</v>
      </c>
      <c r="K158" t="s">
        <v>22</v>
      </c>
      <c r="L158" s="6">
        <v>7902.01</v>
      </c>
      <c r="M158" t="str">
        <f>TEXT(Table1[[#This Row],[Admission_Date]], "mmm")</f>
        <v>Jul</v>
      </c>
      <c r="N158">
        <f>YEAR(Table1[[#This Row],[Admission_Date]])</f>
        <v>2025</v>
      </c>
      <c r="O158" t="str">
        <f>IF(Table1[[#This Row],[Age]]&lt;30, "Young Adult", IF(Table1[[#This Row],[Age]]&lt;60, "Adult", "Senior"))</f>
        <v>Adult</v>
      </c>
    </row>
    <row r="159" spans="1:15" x14ac:dyDescent="0.25">
      <c r="A159" t="s">
        <v>186</v>
      </c>
      <c r="B159">
        <v>62</v>
      </c>
      <c r="C159" t="s">
        <v>24</v>
      </c>
      <c r="D159" t="s">
        <v>28</v>
      </c>
      <c r="E159" s="4">
        <v>45716</v>
      </c>
      <c r="F159" s="4">
        <v>45725</v>
      </c>
      <c r="G159" s="8">
        <v>9</v>
      </c>
      <c r="H159" t="s">
        <v>20</v>
      </c>
      <c r="I159">
        <v>0</v>
      </c>
      <c r="J159" t="s">
        <v>21</v>
      </c>
      <c r="K159" t="s">
        <v>22</v>
      </c>
      <c r="L159" s="6">
        <v>1990.67</v>
      </c>
      <c r="M159" t="str">
        <f>TEXT(Table1[[#This Row],[Admission_Date]], "mmm")</f>
        <v>Feb</v>
      </c>
      <c r="N159">
        <f>YEAR(Table1[[#This Row],[Admission_Date]])</f>
        <v>2025</v>
      </c>
      <c r="O159" t="str">
        <f>IF(Table1[[#This Row],[Age]]&lt;30, "Young Adult", IF(Table1[[#This Row],[Age]]&lt;60, "Adult", "Senior"))</f>
        <v>Senior</v>
      </c>
    </row>
    <row r="160" spans="1:15" x14ac:dyDescent="0.25">
      <c r="A160" t="s">
        <v>187</v>
      </c>
      <c r="B160">
        <v>37</v>
      </c>
      <c r="C160" t="s">
        <v>13</v>
      </c>
      <c r="D160" t="s">
        <v>14</v>
      </c>
      <c r="E160" s="4">
        <v>45789</v>
      </c>
      <c r="F160" s="4">
        <v>45793</v>
      </c>
      <c r="G160" s="8">
        <v>4</v>
      </c>
      <c r="H160" t="s">
        <v>15</v>
      </c>
      <c r="I160">
        <v>25</v>
      </c>
      <c r="J160" t="s">
        <v>29</v>
      </c>
      <c r="K160" t="s">
        <v>47</v>
      </c>
      <c r="L160" s="6">
        <v>11439.46</v>
      </c>
      <c r="M160" t="str">
        <f>TEXT(Table1[[#This Row],[Admission_Date]], "mmm")</f>
        <v>May</v>
      </c>
      <c r="N160">
        <f>YEAR(Table1[[#This Row],[Admission_Date]])</f>
        <v>2025</v>
      </c>
      <c r="O160" t="str">
        <f>IF(Table1[[#This Row],[Age]]&lt;30, "Young Adult", IF(Table1[[#This Row],[Age]]&lt;60, "Adult", "Senior"))</f>
        <v>Adult</v>
      </c>
    </row>
    <row r="161" spans="1:15" x14ac:dyDescent="0.25">
      <c r="A161" t="s">
        <v>188</v>
      </c>
      <c r="B161">
        <v>90</v>
      </c>
      <c r="C161" t="s">
        <v>24</v>
      </c>
      <c r="D161" t="s">
        <v>28</v>
      </c>
      <c r="E161" s="4">
        <v>45954</v>
      </c>
      <c r="F161" s="4">
        <v>45962</v>
      </c>
      <c r="G161" s="8">
        <v>8</v>
      </c>
      <c r="H161" t="s">
        <v>20</v>
      </c>
      <c r="I161">
        <v>0</v>
      </c>
      <c r="J161" t="s">
        <v>25</v>
      </c>
      <c r="K161" t="s">
        <v>22</v>
      </c>
      <c r="L161" s="6">
        <v>6876.56</v>
      </c>
      <c r="M161" t="str">
        <f>TEXT(Table1[[#This Row],[Admission_Date]], "mmm")</f>
        <v>Oct</v>
      </c>
      <c r="N161">
        <f>YEAR(Table1[[#This Row],[Admission_Date]])</f>
        <v>2025</v>
      </c>
      <c r="O161" t="str">
        <f>IF(Table1[[#This Row],[Age]]&lt;30, "Young Adult", IF(Table1[[#This Row],[Age]]&lt;60, "Adult", "Senior"))</f>
        <v>Senior</v>
      </c>
    </row>
    <row r="162" spans="1:15" x14ac:dyDescent="0.25">
      <c r="A162" t="s">
        <v>189</v>
      </c>
      <c r="B162">
        <v>53</v>
      </c>
      <c r="C162" t="s">
        <v>13</v>
      </c>
      <c r="D162" t="s">
        <v>32</v>
      </c>
      <c r="E162" s="4">
        <v>45898</v>
      </c>
      <c r="F162" s="4">
        <v>45906</v>
      </c>
      <c r="G162" s="8">
        <v>8</v>
      </c>
      <c r="H162" t="s">
        <v>20</v>
      </c>
      <c r="I162">
        <v>0</v>
      </c>
      <c r="J162" t="s">
        <v>16</v>
      </c>
      <c r="K162" t="s">
        <v>47</v>
      </c>
      <c r="L162" s="6">
        <v>7195.27</v>
      </c>
      <c r="M162" t="str">
        <f>TEXT(Table1[[#This Row],[Admission_Date]], "mmm")</f>
        <v>Aug</v>
      </c>
      <c r="N162">
        <f>YEAR(Table1[[#This Row],[Admission_Date]])</f>
        <v>2025</v>
      </c>
      <c r="O162" t="str">
        <f>IF(Table1[[#This Row],[Age]]&lt;30, "Young Adult", IF(Table1[[#This Row],[Age]]&lt;60, "Adult", "Senior"))</f>
        <v>Adult</v>
      </c>
    </row>
    <row r="163" spans="1:15" x14ac:dyDescent="0.25">
      <c r="A163" t="s">
        <v>190</v>
      </c>
      <c r="B163">
        <v>54</v>
      </c>
      <c r="C163" t="s">
        <v>13</v>
      </c>
      <c r="D163" t="s">
        <v>28</v>
      </c>
      <c r="E163" s="4">
        <v>45677</v>
      </c>
      <c r="F163" s="4">
        <v>45678</v>
      </c>
      <c r="G163" s="8">
        <v>1</v>
      </c>
      <c r="H163" t="s">
        <v>20</v>
      </c>
      <c r="I163">
        <v>0</v>
      </c>
      <c r="J163" t="s">
        <v>16</v>
      </c>
      <c r="K163" t="s">
        <v>17</v>
      </c>
      <c r="L163" s="6">
        <v>9114.16</v>
      </c>
      <c r="M163" t="str">
        <f>TEXT(Table1[[#This Row],[Admission_Date]], "mmm")</f>
        <v>Jan</v>
      </c>
      <c r="N163">
        <f>YEAR(Table1[[#This Row],[Admission_Date]])</f>
        <v>2025</v>
      </c>
      <c r="O163" t="str">
        <f>IF(Table1[[#This Row],[Age]]&lt;30, "Young Adult", IF(Table1[[#This Row],[Age]]&lt;60, "Adult", "Senior"))</f>
        <v>Adult</v>
      </c>
    </row>
    <row r="164" spans="1:15" x14ac:dyDescent="0.25">
      <c r="A164" t="s">
        <v>191</v>
      </c>
      <c r="B164">
        <v>23</v>
      </c>
      <c r="C164" t="s">
        <v>24</v>
      </c>
      <c r="D164" t="s">
        <v>34</v>
      </c>
      <c r="E164" s="4">
        <v>45854</v>
      </c>
      <c r="F164" s="4">
        <v>45862</v>
      </c>
      <c r="G164" s="8">
        <v>8</v>
      </c>
      <c r="H164" t="s">
        <v>20</v>
      </c>
      <c r="I164">
        <v>0</v>
      </c>
      <c r="J164" t="s">
        <v>21</v>
      </c>
      <c r="K164" t="s">
        <v>47</v>
      </c>
      <c r="L164" s="6">
        <v>9272.58</v>
      </c>
      <c r="M164" t="str">
        <f>TEXT(Table1[[#This Row],[Admission_Date]], "mmm")</f>
        <v>Jul</v>
      </c>
      <c r="N164">
        <f>YEAR(Table1[[#This Row],[Admission_Date]])</f>
        <v>2025</v>
      </c>
      <c r="O164" t="str">
        <f>IF(Table1[[#This Row],[Age]]&lt;30, "Young Adult", IF(Table1[[#This Row],[Age]]&lt;60, "Adult", "Senior"))</f>
        <v>Young Adult</v>
      </c>
    </row>
    <row r="165" spans="1:15" x14ac:dyDescent="0.25">
      <c r="A165" t="s">
        <v>192</v>
      </c>
      <c r="B165">
        <v>75</v>
      </c>
      <c r="C165" t="s">
        <v>13</v>
      </c>
      <c r="D165" t="s">
        <v>32</v>
      </c>
      <c r="E165" s="4">
        <v>45914</v>
      </c>
      <c r="F165" s="4">
        <v>45917</v>
      </c>
      <c r="G165" s="8">
        <v>3</v>
      </c>
      <c r="H165" t="s">
        <v>20</v>
      </c>
      <c r="I165">
        <v>0</v>
      </c>
      <c r="J165" t="s">
        <v>16</v>
      </c>
      <c r="K165" t="s">
        <v>17</v>
      </c>
      <c r="L165" s="6">
        <v>9868.84</v>
      </c>
      <c r="M165" t="str">
        <f>TEXT(Table1[[#This Row],[Admission_Date]], "mmm")</f>
        <v>Sep</v>
      </c>
      <c r="N165">
        <f>YEAR(Table1[[#This Row],[Admission_Date]])</f>
        <v>2025</v>
      </c>
      <c r="O165" t="str">
        <f>IF(Table1[[#This Row],[Age]]&lt;30, "Young Adult", IF(Table1[[#This Row],[Age]]&lt;60, "Adult", "Senior"))</f>
        <v>Senior</v>
      </c>
    </row>
    <row r="166" spans="1:15" x14ac:dyDescent="0.25">
      <c r="A166" t="s">
        <v>193</v>
      </c>
      <c r="B166">
        <v>74</v>
      </c>
      <c r="C166" t="s">
        <v>13</v>
      </c>
      <c r="D166" t="s">
        <v>32</v>
      </c>
      <c r="E166" s="4">
        <v>45678</v>
      </c>
      <c r="F166" s="4">
        <v>45682</v>
      </c>
      <c r="G166" s="8">
        <v>4</v>
      </c>
      <c r="H166" t="s">
        <v>20</v>
      </c>
      <c r="I166">
        <v>0</v>
      </c>
      <c r="J166" t="s">
        <v>25</v>
      </c>
      <c r="K166" t="s">
        <v>47</v>
      </c>
      <c r="L166" s="6">
        <v>6117.54</v>
      </c>
      <c r="M166" t="str">
        <f>TEXT(Table1[[#This Row],[Admission_Date]], "mmm")</f>
        <v>Jan</v>
      </c>
      <c r="N166">
        <f>YEAR(Table1[[#This Row],[Admission_Date]])</f>
        <v>2025</v>
      </c>
      <c r="O166" t="str">
        <f>IF(Table1[[#This Row],[Age]]&lt;30, "Young Adult", IF(Table1[[#This Row],[Age]]&lt;60, "Adult", "Senior"))</f>
        <v>Senior</v>
      </c>
    </row>
    <row r="167" spans="1:15" x14ac:dyDescent="0.25">
      <c r="A167" t="s">
        <v>194</v>
      </c>
      <c r="B167">
        <v>60</v>
      </c>
      <c r="C167" t="s">
        <v>13</v>
      </c>
      <c r="D167" t="s">
        <v>32</v>
      </c>
      <c r="E167" s="4">
        <v>45831</v>
      </c>
      <c r="F167" s="4">
        <v>45842</v>
      </c>
      <c r="G167" s="8">
        <v>11</v>
      </c>
      <c r="H167" t="s">
        <v>20</v>
      </c>
      <c r="I167">
        <v>0</v>
      </c>
      <c r="J167" t="s">
        <v>16</v>
      </c>
      <c r="K167" t="s">
        <v>17</v>
      </c>
      <c r="L167" s="6">
        <v>10336.5</v>
      </c>
      <c r="M167" t="str">
        <f>TEXT(Table1[[#This Row],[Admission_Date]], "mmm")</f>
        <v>Jun</v>
      </c>
      <c r="N167">
        <f>YEAR(Table1[[#This Row],[Admission_Date]])</f>
        <v>2025</v>
      </c>
      <c r="O167" t="str">
        <f>IF(Table1[[#This Row],[Age]]&lt;30, "Young Adult", IF(Table1[[#This Row],[Age]]&lt;60, "Adult", "Senior"))</f>
        <v>Senior</v>
      </c>
    </row>
    <row r="168" spans="1:15" x14ac:dyDescent="0.25">
      <c r="A168" t="s">
        <v>195</v>
      </c>
      <c r="B168">
        <v>37</v>
      </c>
      <c r="C168" t="s">
        <v>24</v>
      </c>
      <c r="D168" t="s">
        <v>19</v>
      </c>
      <c r="E168" s="4">
        <v>45803</v>
      </c>
      <c r="F168" s="4">
        <v>45808</v>
      </c>
      <c r="G168" s="8">
        <v>5</v>
      </c>
      <c r="H168" t="s">
        <v>20</v>
      </c>
      <c r="I168">
        <v>0</v>
      </c>
      <c r="J168" t="s">
        <v>21</v>
      </c>
      <c r="K168" t="s">
        <v>47</v>
      </c>
      <c r="L168" s="6">
        <v>4998.3599999999997</v>
      </c>
      <c r="M168" t="str">
        <f>TEXT(Table1[[#This Row],[Admission_Date]], "mmm")</f>
        <v>May</v>
      </c>
      <c r="N168">
        <f>YEAR(Table1[[#This Row],[Admission_Date]])</f>
        <v>2025</v>
      </c>
      <c r="O168" t="str">
        <f>IF(Table1[[#This Row],[Age]]&lt;30, "Young Adult", IF(Table1[[#This Row],[Age]]&lt;60, "Adult", "Senior"))</f>
        <v>Adult</v>
      </c>
    </row>
    <row r="169" spans="1:15" x14ac:dyDescent="0.25">
      <c r="A169" t="s">
        <v>196</v>
      </c>
      <c r="B169">
        <v>34</v>
      </c>
      <c r="C169" t="s">
        <v>13</v>
      </c>
      <c r="D169" t="s">
        <v>32</v>
      </c>
      <c r="E169" s="4">
        <v>45993</v>
      </c>
      <c r="F169" s="4">
        <v>46005</v>
      </c>
      <c r="G169" s="8">
        <v>12</v>
      </c>
      <c r="H169" t="s">
        <v>20</v>
      </c>
      <c r="I169">
        <v>0</v>
      </c>
      <c r="J169" t="s">
        <v>29</v>
      </c>
      <c r="K169" t="s">
        <v>17</v>
      </c>
      <c r="L169" s="6">
        <v>11979.1</v>
      </c>
      <c r="M169" t="str">
        <f>TEXT(Table1[[#This Row],[Admission_Date]], "mmm")</f>
        <v>Dec</v>
      </c>
      <c r="N169">
        <f>YEAR(Table1[[#This Row],[Admission_Date]])</f>
        <v>2025</v>
      </c>
      <c r="O169" t="str">
        <f>IF(Table1[[#This Row],[Age]]&lt;30, "Young Adult", IF(Table1[[#This Row],[Age]]&lt;60, "Adult", "Senior"))</f>
        <v>Adult</v>
      </c>
    </row>
    <row r="170" spans="1:15" x14ac:dyDescent="0.25">
      <c r="A170" t="s">
        <v>197</v>
      </c>
      <c r="B170">
        <v>85</v>
      </c>
      <c r="C170" t="s">
        <v>13</v>
      </c>
      <c r="D170" t="s">
        <v>28</v>
      </c>
      <c r="E170" s="4">
        <v>45723</v>
      </c>
      <c r="F170" s="4">
        <v>45734</v>
      </c>
      <c r="G170" s="8">
        <v>11</v>
      </c>
      <c r="H170" t="s">
        <v>20</v>
      </c>
      <c r="I170">
        <v>0</v>
      </c>
      <c r="J170" t="s">
        <v>29</v>
      </c>
      <c r="K170" t="s">
        <v>17</v>
      </c>
      <c r="L170" s="6">
        <v>5746.51</v>
      </c>
      <c r="M170" t="str">
        <f>TEXT(Table1[[#This Row],[Admission_Date]], "mmm")</f>
        <v>Mar</v>
      </c>
      <c r="N170">
        <f>YEAR(Table1[[#This Row],[Admission_Date]])</f>
        <v>2025</v>
      </c>
      <c r="O170" t="str">
        <f>IF(Table1[[#This Row],[Age]]&lt;30, "Young Adult", IF(Table1[[#This Row],[Age]]&lt;60, "Adult", "Senior"))</f>
        <v>Senior</v>
      </c>
    </row>
    <row r="171" spans="1:15" x14ac:dyDescent="0.25">
      <c r="A171" t="s">
        <v>198</v>
      </c>
      <c r="B171">
        <v>45</v>
      </c>
      <c r="C171" t="s">
        <v>24</v>
      </c>
      <c r="D171" t="s">
        <v>40</v>
      </c>
      <c r="E171" s="4">
        <v>45843</v>
      </c>
      <c r="F171" s="4">
        <v>45848</v>
      </c>
      <c r="G171" s="8">
        <v>5</v>
      </c>
      <c r="H171" t="s">
        <v>15</v>
      </c>
      <c r="I171">
        <v>7</v>
      </c>
      <c r="J171" t="s">
        <v>21</v>
      </c>
      <c r="K171" t="s">
        <v>22</v>
      </c>
      <c r="L171" s="6">
        <v>2746.71</v>
      </c>
      <c r="M171" t="str">
        <f>TEXT(Table1[[#This Row],[Admission_Date]], "mmm")</f>
        <v>Jul</v>
      </c>
      <c r="N171">
        <f>YEAR(Table1[[#This Row],[Admission_Date]])</f>
        <v>2025</v>
      </c>
      <c r="O171" t="str">
        <f>IF(Table1[[#This Row],[Age]]&lt;30, "Young Adult", IF(Table1[[#This Row],[Age]]&lt;60, "Adult", "Senior"))</f>
        <v>Adult</v>
      </c>
    </row>
    <row r="172" spans="1:15" x14ac:dyDescent="0.25">
      <c r="A172" t="s">
        <v>199</v>
      </c>
      <c r="B172">
        <v>82</v>
      </c>
      <c r="C172" t="s">
        <v>13</v>
      </c>
      <c r="D172" t="s">
        <v>28</v>
      </c>
      <c r="E172" s="4">
        <v>45809</v>
      </c>
      <c r="F172" s="4">
        <v>45823</v>
      </c>
      <c r="G172" s="8">
        <v>14</v>
      </c>
      <c r="H172" t="s">
        <v>20</v>
      </c>
      <c r="I172">
        <v>0</v>
      </c>
      <c r="J172" t="s">
        <v>25</v>
      </c>
      <c r="K172" t="s">
        <v>17</v>
      </c>
      <c r="L172" s="6">
        <v>2400.21</v>
      </c>
      <c r="M172" t="str">
        <f>TEXT(Table1[[#This Row],[Admission_Date]], "mmm")</f>
        <v>Jun</v>
      </c>
      <c r="N172">
        <f>YEAR(Table1[[#This Row],[Admission_Date]])</f>
        <v>2025</v>
      </c>
      <c r="O172" t="str">
        <f>IF(Table1[[#This Row],[Age]]&lt;30, "Young Adult", IF(Table1[[#This Row],[Age]]&lt;60, "Adult", "Senior"))</f>
        <v>Senior</v>
      </c>
    </row>
    <row r="173" spans="1:15" x14ac:dyDescent="0.25">
      <c r="A173" t="s">
        <v>200</v>
      </c>
      <c r="B173">
        <v>39</v>
      </c>
      <c r="C173" t="s">
        <v>24</v>
      </c>
      <c r="D173" t="s">
        <v>19</v>
      </c>
      <c r="E173" s="4">
        <v>45850</v>
      </c>
      <c r="F173" s="4">
        <v>45853</v>
      </c>
      <c r="G173" s="8">
        <v>3</v>
      </c>
      <c r="H173" t="s">
        <v>15</v>
      </c>
      <c r="I173">
        <v>14</v>
      </c>
      <c r="J173" t="s">
        <v>25</v>
      </c>
      <c r="K173" t="s">
        <v>17</v>
      </c>
      <c r="L173" s="6">
        <v>10933.99</v>
      </c>
      <c r="M173" t="str">
        <f>TEXT(Table1[[#This Row],[Admission_Date]], "mmm")</f>
        <v>Jul</v>
      </c>
      <c r="N173">
        <f>YEAR(Table1[[#This Row],[Admission_Date]])</f>
        <v>2025</v>
      </c>
      <c r="O173" t="str">
        <f>IF(Table1[[#This Row],[Age]]&lt;30, "Young Adult", IF(Table1[[#This Row],[Age]]&lt;60, "Adult", "Senior"))</f>
        <v>Adult</v>
      </c>
    </row>
    <row r="174" spans="1:15" x14ac:dyDescent="0.25">
      <c r="A174" t="s">
        <v>201</v>
      </c>
      <c r="B174">
        <v>75</v>
      </c>
      <c r="C174" t="s">
        <v>13</v>
      </c>
      <c r="D174" t="s">
        <v>34</v>
      </c>
      <c r="E174" s="4">
        <v>45885</v>
      </c>
      <c r="F174" s="4">
        <v>45895</v>
      </c>
      <c r="G174" s="8">
        <v>10</v>
      </c>
      <c r="H174" t="s">
        <v>15</v>
      </c>
      <c r="I174">
        <v>8</v>
      </c>
      <c r="J174" t="s">
        <v>25</v>
      </c>
      <c r="K174" t="s">
        <v>47</v>
      </c>
      <c r="L174" s="6">
        <v>13607.63</v>
      </c>
      <c r="M174" t="str">
        <f>TEXT(Table1[[#This Row],[Admission_Date]], "mmm")</f>
        <v>Aug</v>
      </c>
      <c r="N174">
        <f>YEAR(Table1[[#This Row],[Admission_Date]])</f>
        <v>2025</v>
      </c>
      <c r="O174" t="str">
        <f>IF(Table1[[#This Row],[Age]]&lt;30, "Young Adult", IF(Table1[[#This Row],[Age]]&lt;60, "Adult", "Senior"))</f>
        <v>Senior</v>
      </c>
    </row>
    <row r="175" spans="1:15" x14ac:dyDescent="0.25">
      <c r="A175" t="s">
        <v>202</v>
      </c>
      <c r="B175">
        <v>74</v>
      </c>
      <c r="C175" t="s">
        <v>24</v>
      </c>
      <c r="D175" t="s">
        <v>32</v>
      </c>
      <c r="E175" s="4">
        <v>45757</v>
      </c>
      <c r="F175" s="4">
        <v>45763</v>
      </c>
      <c r="G175" s="8">
        <v>6</v>
      </c>
      <c r="H175" t="s">
        <v>20</v>
      </c>
      <c r="I175">
        <v>0</v>
      </c>
      <c r="J175" t="s">
        <v>29</v>
      </c>
      <c r="K175" t="s">
        <v>17</v>
      </c>
      <c r="L175" s="6">
        <v>8148.17</v>
      </c>
      <c r="M175" t="str">
        <f>TEXT(Table1[[#This Row],[Admission_Date]], "mmm")</f>
        <v>Apr</v>
      </c>
      <c r="N175">
        <f>YEAR(Table1[[#This Row],[Admission_Date]])</f>
        <v>2025</v>
      </c>
      <c r="O175" t="str">
        <f>IF(Table1[[#This Row],[Age]]&lt;30, "Young Adult", IF(Table1[[#This Row],[Age]]&lt;60, "Adult", "Senior"))</f>
        <v>Senior</v>
      </c>
    </row>
    <row r="176" spans="1:15" x14ac:dyDescent="0.25">
      <c r="A176" t="s">
        <v>203</v>
      </c>
      <c r="B176">
        <v>35</v>
      </c>
      <c r="C176" t="s">
        <v>24</v>
      </c>
      <c r="D176" t="s">
        <v>19</v>
      </c>
      <c r="E176" s="4">
        <v>45740</v>
      </c>
      <c r="F176" s="4">
        <v>45754</v>
      </c>
      <c r="G176" s="8">
        <v>14</v>
      </c>
      <c r="H176" t="s">
        <v>15</v>
      </c>
      <c r="I176">
        <v>21</v>
      </c>
      <c r="J176" t="s">
        <v>29</v>
      </c>
      <c r="K176" t="s">
        <v>47</v>
      </c>
      <c r="L176" s="6">
        <v>8540.84</v>
      </c>
      <c r="M176" t="str">
        <f>TEXT(Table1[[#This Row],[Admission_Date]], "mmm")</f>
        <v>Mar</v>
      </c>
      <c r="N176">
        <f>YEAR(Table1[[#This Row],[Admission_Date]])</f>
        <v>2025</v>
      </c>
      <c r="O176" t="str">
        <f>IF(Table1[[#This Row],[Age]]&lt;30, "Young Adult", IF(Table1[[#This Row],[Age]]&lt;60, "Adult", "Senior"))</f>
        <v>Adult</v>
      </c>
    </row>
    <row r="177" spans="1:15" x14ac:dyDescent="0.25">
      <c r="A177" t="s">
        <v>204</v>
      </c>
      <c r="B177">
        <v>33</v>
      </c>
      <c r="C177" t="s">
        <v>24</v>
      </c>
      <c r="D177" t="s">
        <v>19</v>
      </c>
      <c r="E177" s="4">
        <v>45710</v>
      </c>
      <c r="F177" s="4">
        <v>45722</v>
      </c>
      <c r="G177" s="8">
        <v>12</v>
      </c>
      <c r="H177" t="s">
        <v>20</v>
      </c>
      <c r="I177">
        <v>0</v>
      </c>
      <c r="J177" t="s">
        <v>21</v>
      </c>
      <c r="K177" t="s">
        <v>47</v>
      </c>
      <c r="L177" s="6">
        <v>7015.13</v>
      </c>
      <c r="M177" t="str">
        <f>TEXT(Table1[[#This Row],[Admission_Date]], "mmm")</f>
        <v>Feb</v>
      </c>
      <c r="N177">
        <f>YEAR(Table1[[#This Row],[Admission_Date]])</f>
        <v>2025</v>
      </c>
      <c r="O177" t="str">
        <f>IF(Table1[[#This Row],[Age]]&lt;30, "Young Adult", IF(Table1[[#This Row],[Age]]&lt;60, "Adult", "Senior"))</f>
        <v>Adult</v>
      </c>
    </row>
    <row r="178" spans="1:15" x14ac:dyDescent="0.25">
      <c r="A178" t="s">
        <v>205</v>
      </c>
      <c r="B178">
        <v>29</v>
      </c>
      <c r="C178" t="s">
        <v>13</v>
      </c>
      <c r="D178" t="s">
        <v>40</v>
      </c>
      <c r="E178" s="4">
        <v>45920</v>
      </c>
      <c r="F178" s="4">
        <v>45923</v>
      </c>
      <c r="G178" s="8">
        <v>3</v>
      </c>
      <c r="H178" t="s">
        <v>20</v>
      </c>
      <c r="I178">
        <v>0</v>
      </c>
      <c r="J178" t="s">
        <v>25</v>
      </c>
      <c r="K178" t="s">
        <v>22</v>
      </c>
      <c r="L178" s="6">
        <v>6516.01</v>
      </c>
      <c r="M178" t="str">
        <f>TEXT(Table1[[#This Row],[Admission_Date]], "mmm")</f>
        <v>Sep</v>
      </c>
      <c r="N178">
        <f>YEAR(Table1[[#This Row],[Admission_Date]])</f>
        <v>2025</v>
      </c>
      <c r="O178" t="str">
        <f>IF(Table1[[#This Row],[Age]]&lt;30, "Young Adult", IF(Table1[[#This Row],[Age]]&lt;60, "Adult", "Senior"))</f>
        <v>Young Adult</v>
      </c>
    </row>
    <row r="179" spans="1:15" x14ac:dyDescent="0.25">
      <c r="A179" t="s">
        <v>206</v>
      </c>
      <c r="B179">
        <v>67</v>
      </c>
      <c r="C179" t="s">
        <v>13</v>
      </c>
      <c r="D179" t="s">
        <v>32</v>
      </c>
      <c r="E179" s="4">
        <v>45860</v>
      </c>
      <c r="F179" s="4">
        <v>45869</v>
      </c>
      <c r="G179" s="8">
        <v>9</v>
      </c>
      <c r="H179" t="s">
        <v>20</v>
      </c>
      <c r="I179">
        <v>0</v>
      </c>
      <c r="J179" t="s">
        <v>21</v>
      </c>
      <c r="K179" t="s">
        <v>22</v>
      </c>
      <c r="L179" s="6">
        <v>5120.93</v>
      </c>
      <c r="M179" t="str">
        <f>TEXT(Table1[[#This Row],[Admission_Date]], "mmm")</f>
        <v>Jul</v>
      </c>
      <c r="N179">
        <f>YEAR(Table1[[#This Row],[Admission_Date]])</f>
        <v>2025</v>
      </c>
      <c r="O179" t="str">
        <f>IF(Table1[[#This Row],[Age]]&lt;30, "Young Adult", IF(Table1[[#This Row],[Age]]&lt;60, "Adult", "Senior"))</f>
        <v>Senior</v>
      </c>
    </row>
    <row r="180" spans="1:15" x14ac:dyDescent="0.25">
      <c r="A180" t="s">
        <v>207</v>
      </c>
      <c r="B180">
        <v>60</v>
      </c>
      <c r="C180" t="s">
        <v>13</v>
      </c>
      <c r="D180" t="s">
        <v>14</v>
      </c>
      <c r="E180" s="4">
        <v>45708</v>
      </c>
      <c r="F180" s="4">
        <v>45722</v>
      </c>
      <c r="G180" s="8">
        <v>14</v>
      </c>
      <c r="H180" t="s">
        <v>20</v>
      </c>
      <c r="I180">
        <v>0</v>
      </c>
      <c r="J180" t="s">
        <v>16</v>
      </c>
      <c r="K180" t="s">
        <v>47</v>
      </c>
      <c r="L180" s="6">
        <v>13802.24</v>
      </c>
      <c r="M180" t="str">
        <f>TEXT(Table1[[#This Row],[Admission_Date]], "mmm")</f>
        <v>Feb</v>
      </c>
      <c r="N180">
        <f>YEAR(Table1[[#This Row],[Admission_Date]])</f>
        <v>2025</v>
      </c>
      <c r="O180" t="str">
        <f>IF(Table1[[#This Row],[Age]]&lt;30, "Young Adult", IF(Table1[[#This Row],[Age]]&lt;60, "Adult", "Senior"))</f>
        <v>Senior</v>
      </c>
    </row>
    <row r="181" spans="1:15" x14ac:dyDescent="0.25">
      <c r="A181" t="s">
        <v>208</v>
      </c>
      <c r="B181">
        <v>78</v>
      </c>
      <c r="C181" t="s">
        <v>24</v>
      </c>
      <c r="D181" t="s">
        <v>34</v>
      </c>
      <c r="E181" s="4">
        <v>45899</v>
      </c>
      <c r="F181" s="4">
        <v>45911</v>
      </c>
      <c r="G181" s="8">
        <v>12</v>
      </c>
      <c r="H181" t="s">
        <v>20</v>
      </c>
      <c r="I181">
        <v>0</v>
      </c>
      <c r="J181" t="s">
        <v>16</v>
      </c>
      <c r="K181" t="s">
        <v>22</v>
      </c>
      <c r="L181" s="6">
        <v>775.56</v>
      </c>
      <c r="M181" t="str">
        <f>TEXT(Table1[[#This Row],[Admission_Date]], "mmm")</f>
        <v>Aug</v>
      </c>
      <c r="N181">
        <f>YEAR(Table1[[#This Row],[Admission_Date]])</f>
        <v>2025</v>
      </c>
      <c r="O181" t="str">
        <f>IF(Table1[[#This Row],[Age]]&lt;30, "Young Adult", IF(Table1[[#This Row],[Age]]&lt;60, "Adult", "Senior"))</f>
        <v>Senior</v>
      </c>
    </row>
    <row r="182" spans="1:15" x14ac:dyDescent="0.25">
      <c r="A182" t="s">
        <v>209</v>
      </c>
      <c r="B182">
        <v>85</v>
      </c>
      <c r="C182" t="s">
        <v>24</v>
      </c>
      <c r="D182" t="s">
        <v>19</v>
      </c>
      <c r="E182" s="4">
        <v>45768</v>
      </c>
      <c r="F182" s="4">
        <v>45782</v>
      </c>
      <c r="G182" s="8">
        <v>14</v>
      </c>
      <c r="H182" t="s">
        <v>15</v>
      </c>
      <c r="I182">
        <v>25</v>
      </c>
      <c r="J182" t="s">
        <v>25</v>
      </c>
      <c r="K182" t="s">
        <v>22</v>
      </c>
      <c r="L182" s="6">
        <v>4866.6899999999996</v>
      </c>
      <c r="M182" t="str">
        <f>TEXT(Table1[[#This Row],[Admission_Date]], "mmm")</f>
        <v>Apr</v>
      </c>
      <c r="N182">
        <f>YEAR(Table1[[#This Row],[Admission_Date]])</f>
        <v>2025</v>
      </c>
      <c r="O182" t="str">
        <f>IF(Table1[[#This Row],[Age]]&lt;30, "Young Adult", IF(Table1[[#This Row],[Age]]&lt;60, "Adult", "Senior"))</f>
        <v>Senior</v>
      </c>
    </row>
    <row r="183" spans="1:15" x14ac:dyDescent="0.25">
      <c r="A183" t="s">
        <v>210</v>
      </c>
      <c r="B183">
        <v>76</v>
      </c>
      <c r="C183" t="s">
        <v>13</v>
      </c>
      <c r="D183" t="s">
        <v>19</v>
      </c>
      <c r="E183" s="4">
        <v>45682</v>
      </c>
      <c r="F183" s="4">
        <v>45686</v>
      </c>
      <c r="G183" s="8">
        <v>4</v>
      </c>
      <c r="H183" t="s">
        <v>20</v>
      </c>
      <c r="I183">
        <v>0</v>
      </c>
      <c r="J183" t="s">
        <v>29</v>
      </c>
      <c r="K183" t="s">
        <v>17</v>
      </c>
      <c r="L183" s="6">
        <v>8272.7800000000007</v>
      </c>
      <c r="M183" t="str">
        <f>TEXT(Table1[[#This Row],[Admission_Date]], "mmm")</f>
        <v>Jan</v>
      </c>
      <c r="N183">
        <f>YEAR(Table1[[#This Row],[Admission_Date]])</f>
        <v>2025</v>
      </c>
      <c r="O183" t="str">
        <f>IF(Table1[[#This Row],[Age]]&lt;30, "Young Adult", IF(Table1[[#This Row],[Age]]&lt;60, "Adult", "Senior"))</f>
        <v>Senior</v>
      </c>
    </row>
    <row r="184" spans="1:15" x14ac:dyDescent="0.25">
      <c r="A184" t="s">
        <v>211</v>
      </c>
      <c r="B184">
        <v>36</v>
      </c>
      <c r="C184" t="s">
        <v>24</v>
      </c>
      <c r="D184" t="s">
        <v>40</v>
      </c>
      <c r="E184" s="4">
        <v>45981</v>
      </c>
      <c r="F184" s="4">
        <v>45990</v>
      </c>
      <c r="G184" s="8">
        <v>9</v>
      </c>
      <c r="H184" t="s">
        <v>20</v>
      </c>
      <c r="I184">
        <v>0</v>
      </c>
      <c r="J184" t="s">
        <v>16</v>
      </c>
      <c r="K184" t="s">
        <v>17</v>
      </c>
      <c r="L184" s="6">
        <v>5615.83</v>
      </c>
      <c r="M184" t="str">
        <f>TEXT(Table1[[#This Row],[Admission_Date]], "mmm")</f>
        <v>Nov</v>
      </c>
      <c r="N184">
        <f>YEAR(Table1[[#This Row],[Admission_Date]])</f>
        <v>2025</v>
      </c>
      <c r="O184" t="str">
        <f>IF(Table1[[#This Row],[Age]]&lt;30, "Young Adult", IF(Table1[[#This Row],[Age]]&lt;60, "Adult", "Senior"))</f>
        <v>Adult</v>
      </c>
    </row>
    <row r="185" spans="1:15" x14ac:dyDescent="0.25">
      <c r="A185" t="s">
        <v>212</v>
      </c>
      <c r="B185">
        <v>28</v>
      </c>
      <c r="C185" t="s">
        <v>24</v>
      </c>
      <c r="D185" t="s">
        <v>19</v>
      </c>
      <c r="E185" s="4">
        <v>45950</v>
      </c>
      <c r="F185" s="4">
        <v>45957</v>
      </c>
      <c r="G185" s="8">
        <v>7</v>
      </c>
      <c r="H185" t="s">
        <v>15</v>
      </c>
      <c r="I185">
        <v>17</v>
      </c>
      <c r="J185" t="s">
        <v>16</v>
      </c>
      <c r="K185" t="s">
        <v>47</v>
      </c>
      <c r="L185" s="6">
        <v>13163.31</v>
      </c>
      <c r="M185" t="str">
        <f>TEXT(Table1[[#This Row],[Admission_Date]], "mmm")</f>
        <v>Oct</v>
      </c>
      <c r="N185">
        <f>YEAR(Table1[[#This Row],[Admission_Date]])</f>
        <v>2025</v>
      </c>
      <c r="O185" t="str">
        <f>IF(Table1[[#This Row],[Age]]&lt;30, "Young Adult", IF(Table1[[#This Row],[Age]]&lt;60, "Adult", "Senior"))</f>
        <v>Young Adult</v>
      </c>
    </row>
    <row r="186" spans="1:15" x14ac:dyDescent="0.25">
      <c r="A186" t="s">
        <v>213</v>
      </c>
      <c r="B186">
        <v>65</v>
      </c>
      <c r="C186" t="s">
        <v>24</v>
      </c>
      <c r="D186" t="s">
        <v>28</v>
      </c>
      <c r="E186" s="4">
        <v>45680</v>
      </c>
      <c r="F186" s="4">
        <v>45691</v>
      </c>
      <c r="G186" s="8">
        <v>11</v>
      </c>
      <c r="H186" t="s">
        <v>20</v>
      </c>
      <c r="I186">
        <v>0</v>
      </c>
      <c r="J186" t="s">
        <v>16</v>
      </c>
      <c r="K186" t="s">
        <v>47</v>
      </c>
      <c r="L186" s="6">
        <v>11933.54</v>
      </c>
      <c r="M186" t="str">
        <f>TEXT(Table1[[#This Row],[Admission_Date]], "mmm")</f>
        <v>Jan</v>
      </c>
      <c r="N186">
        <f>YEAR(Table1[[#This Row],[Admission_Date]])</f>
        <v>2025</v>
      </c>
      <c r="O186" t="str">
        <f>IF(Table1[[#This Row],[Age]]&lt;30, "Young Adult", IF(Table1[[#This Row],[Age]]&lt;60, "Adult", "Senior"))</f>
        <v>Senior</v>
      </c>
    </row>
    <row r="187" spans="1:15" x14ac:dyDescent="0.25">
      <c r="A187" t="s">
        <v>214</v>
      </c>
      <c r="B187">
        <v>31</v>
      </c>
      <c r="C187" t="s">
        <v>24</v>
      </c>
      <c r="D187" t="s">
        <v>14</v>
      </c>
      <c r="E187" s="4">
        <v>45834</v>
      </c>
      <c r="F187" s="4">
        <v>45838</v>
      </c>
      <c r="G187" s="8">
        <v>4</v>
      </c>
      <c r="H187" t="s">
        <v>20</v>
      </c>
      <c r="I187">
        <v>0</v>
      </c>
      <c r="J187" t="s">
        <v>16</v>
      </c>
      <c r="K187" t="s">
        <v>47</v>
      </c>
      <c r="L187" s="6">
        <v>8417.2000000000007</v>
      </c>
      <c r="M187" t="str">
        <f>TEXT(Table1[[#This Row],[Admission_Date]], "mmm")</f>
        <v>Jun</v>
      </c>
      <c r="N187">
        <f>YEAR(Table1[[#This Row],[Admission_Date]])</f>
        <v>2025</v>
      </c>
      <c r="O187" t="str">
        <f>IF(Table1[[#This Row],[Age]]&lt;30, "Young Adult", IF(Table1[[#This Row],[Age]]&lt;60, "Adult", "Senior"))</f>
        <v>Adult</v>
      </c>
    </row>
    <row r="188" spans="1:15" x14ac:dyDescent="0.25">
      <c r="A188" t="s">
        <v>215</v>
      </c>
      <c r="B188">
        <v>77</v>
      </c>
      <c r="C188" t="s">
        <v>24</v>
      </c>
      <c r="D188" t="s">
        <v>28</v>
      </c>
      <c r="E188" s="4">
        <v>45987</v>
      </c>
      <c r="F188" s="4">
        <v>45990</v>
      </c>
      <c r="G188" s="8">
        <v>3</v>
      </c>
      <c r="H188" t="s">
        <v>20</v>
      </c>
      <c r="I188">
        <v>0</v>
      </c>
      <c r="J188" t="s">
        <v>21</v>
      </c>
      <c r="K188" t="s">
        <v>22</v>
      </c>
      <c r="L188" s="6">
        <v>1414.96</v>
      </c>
      <c r="M188" t="str">
        <f>TEXT(Table1[[#This Row],[Admission_Date]], "mmm")</f>
        <v>Nov</v>
      </c>
      <c r="N188">
        <f>YEAR(Table1[[#This Row],[Admission_Date]])</f>
        <v>2025</v>
      </c>
      <c r="O188" t="str">
        <f>IF(Table1[[#This Row],[Age]]&lt;30, "Young Adult", IF(Table1[[#This Row],[Age]]&lt;60, "Adult", "Senior"))</f>
        <v>Senior</v>
      </c>
    </row>
    <row r="189" spans="1:15" x14ac:dyDescent="0.25">
      <c r="A189" t="s">
        <v>216</v>
      </c>
      <c r="B189">
        <v>23</v>
      </c>
      <c r="C189" t="s">
        <v>13</v>
      </c>
      <c r="D189" t="s">
        <v>19</v>
      </c>
      <c r="E189" s="4">
        <v>45892</v>
      </c>
      <c r="F189" s="4">
        <v>45893</v>
      </c>
      <c r="G189" s="8">
        <v>1</v>
      </c>
      <c r="H189" t="s">
        <v>15</v>
      </c>
      <c r="I189">
        <v>11</v>
      </c>
      <c r="J189" t="s">
        <v>25</v>
      </c>
      <c r="K189" t="s">
        <v>17</v>
      </c>
      <c r="L189" s="6">
        <v>6274.25</v>
      </c>
      <c r="M189" t="str">
        <f>TEXT(Table1[[#This Row],[Admission_Date]], "mmm")</f>
        <v>Aug</v>
      </c>
      <c r="N189">
        <f>YEAR(Table1[[#This Row],[Admission_Date]])</f>
        <v>2025</v>
      </c>
      <c r="O189" t="str">
        <f>IF(Table1[[#This Row],[Age]]&lt;30, "Young Adult", IF(Table1[[#This Row],[Age]]&lt;60, "Adult", "Senior"))</f>
        <v>Young Adult</v>
      </c>
    </row>
    <row r="190" spans="1:15" x14ac:dyDescent="0.25">
      <c r="A190" t="s">
        <v>217</v>
      </c>
      <c r="B190">
        <v>42</v>
      </c>
      <c r="C190" t="s">
        <v>24</v>
      </c>
      <c r="D190" t="s">
        <v>32</v>
      </c>
      <c r="E190" s="4">
        <v>45936</v>
      </c>
      <c r="F190" s="4">
        <v>45944</v>
      </c>
      <c r="G190" s="8">
        <v>8</v>
      </c>
      <c r="H190" t="s">
        <v>15</v>
      </c>
      <c r="I190">
        <v>28</v>
      </c>
      <c r="J190" t="s">
        <v>16</v>
      </c>
      <c r="K190" t="s">
        <v>17</v>
      </c>
      <c r="L190" s="6">
        <v>5312.91</v>
      </c>
      <c r="M190" t="str">
        <f>TEXT(Table1[[#This Row],[Admission_Date]], "mmm")</f>
        <v>Oct</v>
      </c>
      <c r="N190">
        <f>YEAR(Table1[[#This Row],[Admission_Date]])</f>
        <v>2025</v>
      </c>
      <c r="O190" t="str">
        <f>IF(Table1[[#This Row],[Age]]&lt;30, "Young Adult", IF(Table1[[#This Row],[Age]]&lt;60, "Adult", "Senior"))</f>
        <v>Adult</v>
      </c>
    </row>
    <row r="191" spans="1:15" x14ac:dyDescent="0.25">
      <c r="A191" t="s">
        <v>218</v>
      </c>
      <c r="B191">
        <v>69</v>
      </c>
      <c r="C191" t="s">
        <v>24</v>
      </c>
      <c r="D191" t="s">
        <v>40</v>
      </c>
      <c r="E191" s="4">
        <v>45721</v>
      </c>
      <c r="F191" s="4">
        <v>45734</v>
      </c>
      <c r="G191" s="8">
        <v>13</v>
      </c>
      <c r="H191" t="s">
        <v>20</v>
      </c>
      <c r="I191">
        <v>0</v>
      </c>
      <c r="J191" t="s">
        <v>25</v>
      </c>
      <c r="K191" t="s">
        <v>22</v>
      </c>
      <c r="L191" s="6">
        <v>7694.95</v>
      </c>
      <c r="M191" t="str">
        <f>TEXT(Table1[[#This Row],[Admission_Date]], "mmm")</f>
        <v>Mar</v>
      </c>
      <c r="N191">
        <f>YEAR(Table1[[#This Row],[Admission_Date]])</f>
        <v>2025</v>
      </c>
      <c r="O191" t="str">
        <f>IF(Table1[[#This Row],[Age]]&lt;30, "Young Adult", IF(Table1[[#This Row],[Age]]&lt;60, "Adult", "Senior"))</f>
        <v>Senior</v>
      </c>
    </row>
    <row r="192" spans="1:15" x14ac:dyDescent="0.25">
      <c r="A192" t="s">
        <v>219</v>
      </c>
      <c r="B192">
        <v>84</v>
      </c>
      <c r="C192" t="s">
        <v>24</v>
      </c>
      <c r="D192" t="s">
        <v>19</v>
      </c>
      <c r="E192" s="4">
        <v>45912</v>
      </c>
      <c r="F192" s="4">
        <v>45918</v>
      </c>
      <c r="G192" s="8">
        <v>6</v>
      </c>
      <c r="H192" t="s">
        <v>20</v>
      </c>
      <c r="I192">
        <v>0</v>
      </c>
      <c r="J192" t="s">
        <v>29</v>
      </c>
      <c r="K192" t="s">
        <v>22</v>
      </c>
      <c r="L192" s="6">
        <v>6743.8</v>
      </c>
      <c r="M192" t="str">
        <f>TEXT(Table1[[#This Row],[Admission_Date]], "mmm")</f>
        <v>Sep</v>
      </c>
      <c r="N192">
        <f>YEAR(Table1[[#This Row],[Admission_Date]])</f>
        <v>2025</v>
      </c>
      <c r="O192" t="str">
        <f>IF(Table1[[#This Row],[Age]]&lt;30, "Young Adult", IF(Table1[[#This Row],[Age]]&lt;60, "Adult", "Senior"))</f>
        <v>Senior</v>
      </c>
    </row>
    <row r="193" spans="1:15" x14ac:dyDescent="0.25">
      <c r="A193" t="s">
        <v>220</v>
      </c>
      <c r="B193">
        <v>31</v>
      </c>
      <c r="C193" t="s">
        <v>13</v>
      </c>
      <c r="D193" t="s">
        <v>32</v>
      </c>
      <c r="E193" s="4">
        <v>45750</v>
      </c>
      <c r="F193" s="4">
        <v>45759</v>
      </c>
      <c r="G193" s="8">
        <v>9</v>
      </c>
      <c r="H193" t="s">
        <v>15</v>
      </c>
      <c r="I193">
        <v>22</v>
      </c>
      <c r="J193" t="s">
        <v>25</v>
      </c>
      <c r="K193" t="s">
        <v>47</v>
      </c>
      <c r="L193" s="6">
        <v>6965.78</v>
      </c>
      <c r="M193" t="str">
        <f>TEXT(Table1[[#This Row],[Admission_Date]], "mmm")</f>
        <v>Apr</v>
      </c>
      <c r="N193">
        <f>YEAR(Table1[[#This Row],[Admission_Date]])</f>
        <v>2025</v>
      </c>
      <c r="O193" t="str">
        <f>IF(Table1[[#This Row],[Age]]&lt;30, "Young Adult", IF(Table1[[#This Row],[Age]]&lt;60, "Adult", "Senior"))</f>
        <v>Adult</v>
      </c>
    </row>
    <row r="194" spans="1:15" x14ac:dyDescent="0.25">
      <c r="A194" t="s">
        <v>221</v>
      </c>
      <c r="B194">
        <v>62</v>
      </c>
      <c r="C194" t="s">
        <v>24</v>
      </c>
      <c r="D194" t="s">
        <v>19</v>
      </c>
      <c r="E194" s="4">
        <v>45876</v>
      </c>
      <c r="F194" s="4">
        <v>45879</v>
      </c>
      <c r="G194" s="8">
        <v>3</v>
      </c>
      <c r="H194" t="s">
        <v>20</v>
      </c>
      <c r="I194">
        <v>0</v>
      </c>
      <c r="J194" t="s">
        <v>25</v>
      </c>
      <c r="K194" t="s">
        <v>17</v>
      </c>
      <c r="L194" s="6">
        <v>14973.18</v>
      </c>
      <c r="M194" t="str">
        <f>TEXT(Table1[[#This Row],[Admission_Date]], "mmm")</f>
        <v>Aug</v>
      </c>
      <c r="N194">
        <f>YEAR(Table1[[#This Row],[Admission_Date]])</f>
        <v>2025</v>
      </c>
      <c r="O194" t="str">
        <f>IF(Table1[[#This Row],[Age]]&lt;30, "Young Adult", IF(Table1[[#This Row],[Age]]&lt;60, "Adult", "Senior"))</f>
        <v>Senior</v>
      </c>
    </row>
    <row r="195" spans="1:15" x14ac:dyDescent="0.25">
      <c r="A195" t="s">
        <v>222</v>
      </c>
      <c r="B195">
        <v>25</v>
      </c>
      <c r="C195" t="s">
        <v>13</v>
      </c>
      <c r="D195" t="s">
        <v>28</v>
      </c>
      <c r="E195" s="4">
        <v>45798</v>
      </c>
      <c r="F195" s="4">
        <v>45809</v>
      </c>
      <c r="G195" s="8">
        <v>11</v>
      </c>
      <c r="H195" t="s">
        <v>20</v>
      </c>
      <c r="I195">
        <v>0</v>
      </c>
      <c r="J195" t="s">
        <v>29</v>
      </c>
      <c r="K195" t="s">
        <v>47</v>
      </c>
      <c r="L195" s="6">
        <v>7939.75</v>
      </c>
      <c r="M195" t="str">
        <f>TEXT(Table1[[#This Row],[Admission_Date]], "mmm")</f>
        <v>May</v>
      </c>
      <c r="N195">
        <f>YEAR(Table1[[#This Row],[Admission_Date]])</f>
        <v>2025</v>
      </c>
      <c r="O195" t="str">
        <f>IF(Table1[[#This Row],[Age]]&lt;30, "Young Adult", IF(Table1[[#This Row],[Age]]&lt;60, "Adult", "Senior"))</f>
        <v>Young Adult</v>
      </c>
    </row>
    <row r="196" spans="1:15" x14ac:dyDescent="0.25">
      <c r="A196" t="s">
        <v>223</v>
      </c>
      <c r="B196">
        <v>36</v>
      </c>
      <c r="C196" t="s">
        <v>24</v>
      </c>
      <c r="D196" t="s">
        <v>19</v>
      </c>
      <c r="E196" s="4">
        <v>46005</v>
      </c>
      <c r="F196" s="4">
        <v>46008</v>
      </c>
      <c r="G196" s="8">
        <v>3</v>
      </c>
      <c r="H196" t="s">
        <v>20</v>
      </c>
      <c r="I196">
        <v>0</v>
      </c>
      <c r="J196" t="s">
        <v>21</v>
      </c>
      <c r="K196" t="s">
        <v>22</v>
      </c>
      <c r="L196" s="6">
        <v>3921.93</v>
      </c>
      <c r="M196" t="str">
        <f>TEXT(Table1[[#This Row],[Admission_Date]], "mmm")</f>
        <v>Dec</v>
      </c>
      <c r="N196">
        <f>YEAR(Table1[[#This Row],[Admission_Date]])</f>
        <v>2025</v>
      </c>
      <c r="O196" t="str">
        <f>IF(Table1[[#This Row],[Age]]&lt;30, "Young Adult", IF(Table1[[#This Row],[Age]]&lt;60, "Adult", "Senior"))</f>
        <v>Adult</v>
      </c>
    </row>
    <row r="197" spans="1:15" x14ac:dyDescent="0.25">
      <c r="A197" t="s">
        <v>224</v>
      </c>
      <c r="B197">
        <v>90</v>
      </c>
      <c r="C197" t="s">
        <v>13</v>
      </c>
      <c r="D197" t="s">
        <v>34</v>
      </c>
      <c r="E197" s="4">
        <v>45988</v>
      </c>
      <c r="F197" s="4">
        <v>45994</v>
      </c>
      <c r="G197" s="8">
        <v>6</v>
      </c>
      <c r="H197" t="s">
        <v>20</v>
      </c>
      <c r="I197">
        <v>0</v>
      </c>
      <c r="J197" t="s">
        <v>21</v>
      </c>
      <c r="K197" t="s">
        <v>17</v>
      </c>
      <c r="L197" s="6">
        <v>7023.88</v>
      </c>
      <c r="M197" t="str">
        <f>TEXT(Table1[[#This Row],[Admission_Date]], "mmm")</f>
        <v>Nov</v>
      </c>
      <c r="N197">
        <f>YEAR(Table1[[#This Row],[Admission_Date]])</f>
        <v>2025</v>
      </c>
      <c r="O197" t="str">
        <f>IF(Table1[[#This Row],[Age]]&lt;30, "Young Adult", IF(Table1[[#This Row],[Age]]&lt;60, "Adult", "Senior"))</f>
        <v>Senior</v>
      </c>
    </row>
    <row r="198" spans="1:15" x14ac:dyDescent="0.25">
      <c r="A198" t="s">
        <v>225</v>
      </c>
      <c r="B198">
        <v>27</v>
      </c>
      <c r="C198" t="s">
        <v>13</v>
      </c>
      <c r="D198" t="s">
        <v>34</v>
      </c>
      <c r="E198" s="4">
        <v>45847</v>
      </c>
      <c r="F198" s="4">
        <v>45853</v>
      </c>
      <c r="G198" s="8">
        <v>6</v>
      </c>
      <c r="H198" t="s">
        <v>20</v>
      </c>
      <c r="I198">
        <v>0</v>
      </c>
      <c r="J198" t="s">
        <v>25</v>
      </c>
      <c r="K198" t="s">
        <v>47</v>
      </c>
      <c r="L198" s="6">
        <v>5058.59</v>
      </c>
      <c r="M198" t="str">
        <f>TEXT(Table1[[#This Row],[Admission_Date]], "mmm")</f>
        <v>Jul</v>
      </c>
      <c r="N198">
        <f>YEAR(Table1[[#This Row],[Admission_Date]])</f>
        <v>2025</v>
      </c>
      <c r="O198" t="str">
        <f>IF(Table1[[#This Row],[Age]]&lt;30, "Young Adult", IF(Table1[[#This Row],[Age]]&lt;60, "Adult", "Senior"))</f>
        <v>Young Adult</v>
      </c>
    </row>
    <row r="199" spans="1:15" x14ac:dyDescent="0.25">
      <c r="A199" t="s">
        <v>226</v>
      </c>
      <c r="B199">
        <v>21</v>
      </c>
      <c r="C199" t="s">
        <v>13</v>
      </c>
      <c r="D199" t="s">
        <v>40</v>
      </c>
      <c r="E199" s="4">
        <v>45800</v>
      </c>
      <c r="F199" s="4">
        <v>45804</v>
      </c>
      <c r="G199" s="8">
        <v>4</v>
      </c>
      <c r="H199" t="s">
        <v>20</v>
      </c>
      <c r="I199">
        <v>0</v>
      </c>
      <c r="J199" t="s">
        <v>29</v>
      </c>
      <c r="K199" t="s">
        <v>17</v>
      </c>
      <c r="L199" s="6">
        <v>2207.5300000000002</v>
      </c>
      <c r="M199" t="str">
        <f>TEXT(Table1[[#This Row],[Admission_Date]], "mmm")</f>
        <v>May</v>
      </c>
      <c r="N199">
        <f>YEAR(Table1[[#This Row],[Admission_Date]])</f>
        <v>2025</v>
      </c>
      <c r="O199" t="str">
        <f>IF(Table1[[#This Row],[Age]]&lt;30, "Young Adult", IF(Table1[[#This Row],[Age]]&lt;60, "Adult", "Senior"))</f>
        <v>Young Adult</v>
      </c>
    </row>
    <row r="200" spans="1:15" x14ac:dyDescent="0.25">
      <c r="A200" t="s">
        <v>227</v>
      </c>
      <c r="B200">
        <v>54</v>
      </c>
      <c r="C200" t="s">
        <v>24</v>
      </c>
      <c r="D200" t="s">
        <v>14</v>
      </c>
      <c r="E200" s="4">
        <v>45791</v>
      </c>
      <c r="F200" s="4">
        <v>45803</v>
      </c>
      <c r="G200" s="8">
        <v>12</v>
      </c>
      <c r="H200" t="s">
        <v>20</v>
      </c>
      <c r="I200">
        <v>0</v>
      </c>
      <c r="J200" t="s">
        <v>16</v>
      </c>
      <c r="K200" t="s">
        <v>22</v>
      </c>
      <c r="L200" s="6">
        <v>12865.98</v>
      </c>
      <c r="M200" t="str">
        <f>TEXT(Table1[[#This Row],[Admission_Date]], "mmm")</f>
        <v>May</v>
      </c>
      <c r="N200">
        <f>YEAR(Table1[[#This Row],[Admission_Date]])</f>
        <v>2025</v>
      </c>
      <c r="O200" t="str">
        <f>IF(Table1[[#This Row],[Age]]&lt;30, "Young Adult", IF(Table1[[#This Row],[Age]]&lt;60, "Adult", "Senior"))</f>
        <v>Adult</v>
      </c>
    </row>
    <row r="201" spans="1:15" x14ac:dyDescent="0.25">
      <c r="A201" t="s">
        <v>228</v>
      </c>
      <c r="B201">
        <v>74</v>
      </c>
      <c r="C201" t="s">
        <v>13</v>
      </c>
      <c r="D201" t="s">
        <v>28</v>
      </c>
      <c r="E201" s="4">
        <v>45889</v>
      </c>
      <c r="F201" s="4">
        <v>45892</v>
      </c>
      <c r="G201" s="8">
        <v>3</v>
      </c>
      <c r="H201" t="s">
        <v>20</v>
      </c>
      <c r="I201">
        <v>0</v>
      </c>
      <c r="J201" t="s">
        <v>25</v>
      </c>
      <c r="K201" t="s">
        <v>17</v>
      </c>
      <c r="L201" s="6">
        <v>5537.67</v>
      </c>
      <c r="M201" t="str">
        <f>TEXT(Table1[[#This Row],[Admission_Date]], "mmm")</f>
        <v>Aug</v>
      </c>
      <c r="N201">
        <f>YEAR(Table1[[#This Row],[Admission_Date]])</f>
        <v>2025</v>
      </c>
      <c r="O201" t="str">
        <f>IF(Table1[[#This Row],[Age]]&lt;30, "Young Adult", IF(Table1[[#This Row],[Age]]&lt;60, "Adult", "Senior"))</f>
        <v>Senior</v>
      </c>
    </row>
    <row r="202" spans="1:15" x14ac:dyDescent="0.25">
      <c r="A202" t="s">
        <v>229</v>
      </c>
      <c r="B202">
        <v>56</v>
      </c>
      <c r="C202" t="s">
        <v>13</v>
      </c>
      <c r="D202" t="s">
        <v>28</v>
      </c>
      <c r="E202" s="4">
        <v>45691</v>
      </c>
      <c r="F202" s="4">
        <v>45700</v>
      </c>
      <c r="G202" s="8">
        <v>9</v>
      </c>
      <c r="H202" t="s">
        <v>20</v>
      </c>
      <c r="I202">
        <v>0</v>
      </c>
      <c r="J202" t="s">
        <v>21</v>
      </c>
      <c r="K202" t="s">
        <v>47</v>
      </c>
      <c r="L202" s="6">
        <v>7876.96</v>
      </c>
      <c r="M202" t="str">
        <f>TEXT(Table1[[#This Row],[Admission_Date]], "mmm")</f>
        <v>Feb</v>
      </c>
      <c r="N202">
        <f>YEAR(Table1[[#This Row],[Admission_Date]])</f>
        <v>2025</v>
      </c>
      <c r="O202" t="str">
        <f>IF(Table1[[#This Row],[Age]]&lt;30, "Young Adult", IF(Table1[[#This Row],[Age]]&lt;60, "Adult", "Senior"))</f>
        <v>Adult</v>
      </c>
    </row>
    <row r="203" spans="1:15" x14ac:dyDescent="0.25">
      <c r="A203" t="s">
        <v>230</v>
      </c>
      <c r="B203">
        <v>48</v>
      </c>
      <c r="C203" t="s">
        <v>24</v>
      </c>
      <c r="D203" t="s">
        <v>19</v>
      </c>
      <c r="E203" s="4">
        <v>45720</v>
      </c>
      <c r="F203" s="4">
        <v>45724</v>
      </c>
      <c r="G203" s="8">
        <v>4</v>
      </c>
      <c r="H203" t="s">
        <v>20</v>
      </c>
      <c r="I203">
        <v>0</v>
      </c>
      <c r="J203" t="s">
        <v>25</v>
      </c>
      <c r="K203" t="s">
        <v>17</v>
      </c>
      <c r="L203" s="6">
        <v>8798.02</v>
      </c>
      <c r="M203" t="str">
        <f>TEXT(Table1[[#This Row],[Admission_Date]], "mmm")</f>
        <v>Mar</v>
      </c>
      <c r="N203">
        <f>YEAR(Table1[[#This Row],[Admission_Date]])</f>
        <v>2025</v>
      </c>
      <c r="O203" t="str">
        <f>IF(Table1[[#This Row],[Age]]&lt;30, "Young Adult", IF(Table1[[#This Row],[Age]]&lt;60, "Adult", "Senior"))</f>
        <v>Adult</v>
      </c>
    </row>
    <row r="204" spans="1:15" x14ac:dyDescent="0.25">
      <c r="A204" t="s">
        <v>231</v>
      </c>
      <c r="B204">
        <v>34</v>
      </c>
      <c r="C204" t="s">
        <v>13</v>
      </c>
      <c r="D204" t="s">
        <v>19</v>
      </c>
      <c r="E204" s="4">
        <v>45897</v>
      </c>
      <c r="F204" s="4">
        <v>45910</v>
      </c>
      <c r="G204" s="8">
        <v>13</v>
      </c>
      <c r="H204" t="s">
        <v>20</v>
      </c>
      <c r="I204">
        <v>0</v>
      </c>
      <c r="J204" t="s">
        <v>25</v>
      </c>
      <c r="K204" t="s">
        <v>47</v>
      </c>
      <c r="L204" s="6">
        <v>14994.13</v>
      </c>
      <c r="M204" t="str">
        <f>TEXT(Table1[[#This Row],[Admission_Date]], "mmm")</f>
        <v>Aug</v>
      </c>
      <c r="N204">
        <f>YEAR(Table1[[#This Row],[Admission_Date]])</f>
        <v>2025</v>
      </c>
      <c r="O204" t="str">
        <f>IF(Table1[[#This Row],[Age]]&lt;30, "Young Adult", IF(Table1[[#This Row],[Age]]&lt;60, "Adult", "Senior"))</f>
        <v>Adult</v>
      </c>
    </row>
    <row r="205" spans="1:15" x14ac:dyDescent="0.25">
      <c r="A205" t="s">
        <v>232</v>
      </c>
      <c r="B205">
        <v>70</v>
      </c>
      <c r="C205" t="s">
        <v>13</v>
      </c>
      <c r="D205" t="s">
        <v>14</v>
      </c>
      <c r="E205" s="4">
        <v>45903</v>
      </c>
      <c r="F205" s="4">
        <v>45912</v>
      </c>
      <c r="G205" s="8">
        <v>9</v>
      </c>
      <c r="H205" t="s">
        <v>20</v>
      </c>
      <c r="I205">
        <v>0</v>
      </c>
      <c r="J205" t="s">
        <v>25</v>
      </c>
      <c r="K205" t="s">
        <v>17</v>
      </c>
      <c r="L205" s="6">
        <v>1575.39</v>
      </c>
      <c r="M205" t="str">
        <f>TEXT(Table1[[#This Row],[Admission_Date]], "mmm")</f>
        <v>Sep</v>
      </c>
      <c r="N205">
        <f>YEAR(Table1[[#This Row],[Admission_Date]])</f>
        <v>2025</v>
      </c>
      <c r="O205" t="str">
        <f>IF(Table1[[#This Row],[Age]]&lt;30, "Young Adult", IF(Table1[[#This Row],[Age]]&lt;60, "Adult", "Senior"))</f>
        <v>Senior</v>
      </c>
    </row>
    <row r="206" spans="1:15" x14ac:dyDescent="0.25">
      <c r="A206" t="s">
        <v>233</v>
      </c>
      <c r="B206">
        <v>34</v>
      </c>
      <c r="C206" t="s">
        <v>13</v>
      </c>
      <c r="D206" t="s">
        <v>14</v>
      </c>
      <c r="E206" s="4">
        <v>45896</v>
      </c>
      <c r="F206" s="4">
        <v>45907</v>
      </c>
      <c r="G206" s="8">
        <v>11</v>
      </c>
      <c r="H206" t="s">
        <v>20</v>
      </c>
      <c r="I206">
        <v>0</v>
      </c>
      <c r="J206" t="s">
        <v>29</v>
      </c>
      <c r="K206" t="s">
        <v>17</v>
      </c>
      <c r="L206" s="6">
        <v>13705.33</v>
      </c>
      <c r="M206" t="str">
        <f>TEXT(Table1[[#This Row],[Admission_Date]], "mmm")</f>
        <v>Aug</v>
      </c>
      <c r="N206">
        <f>YEAR(Table1[[#This Row],[Admission_Date]])</f>
        <v>2025</v>
      </c>
      <c r="O206" t="str">
        <f>IF(Table1[[#This Row],[Age]]&lt;30, "Young Adult", IF(Table1[[#This Row],[Age]]&lt;60, "Adult", "Senior"))</f>
        <v>Adult</v>
      </c>
    </row>
    <row r="207" spans="1:15" x14ac:dyDescent="0.25">
      <c r="A207" t="s">
        <v>234</v>
      </c>
      <c r="B207">
        <v>37</v>
      </c>
      <c r="C207" t="s">
        <v>24</v>
      </c>
      <c r="D207" t="s">
        <v>14</v>
      </c>
      <c r="E207" s="4">
        <v>45686</v>
      </c>
      <c r="F207" s="4">
        <v>45700</v>
      </c>
      <c r="G207" s="8">
        <v>14</v>
      </c>
      <c r="H207" t="s">
        <v>15</v>
      </c>
      <c r="I207">
        <v>6</v>
      </c>
      <c r="J207" t="s">
        <v>25</v>
      </c>
      <c r="K207" t="s">
        <v>17</v>
      </c>
      <c r="L207" s="6">
        <v>3769.32</v>
      </c>
      <c r="M207" t="str">
        <f>TEXT(Table1[[#This Row],[Admission_Date]], "mmm")</f>
        <v>Jan</v>
      </c>
      <c r="N207">
        <f>YEAR(Table1[[#This Row],[Admission_Date]])</f>
        <v>2025</v>
      </c>
      <c r="O207" t="str">
        <f>IF(Table1[[#This Row],[Age]]&lt;30, "Young Adult", IF(Table1[[#This Row],[Age]]&lt;60, "Adult", "Senior"))</f>
        <v>Adult</v>
      </c>
    </row>
    <row r="208" spans="1:15" x14ac:dyDescent="0.25">
      <c r="A208" t="s">
        <v>235</v>
      </c>
      <c r="B208">
        <v>50</v>
      </c>
      <c r="C208" t="s">
        <v>13</v>
      </c>
      <c r="D208" t="s">
        <v>28</v>
      </c>
      <c r="E208" s="4">
        <v>45923</v>
      </c>
      <c r="F208" s="4">
        <v>45928</v>
      </c>
      <c r="G208" s="8">
        <v>5</v>
      </c>
      <c r="H208" t="s">
        <v>20</v>
      </c>
      <c r="I208">
        <v>0</v>
      </c>
      <c r="J208" t="s">
        <v>25</v>
      </c>
      <c r="K208" t="s">
        <v>22</v>
      </c>
      <c r="L208" s="6">
        <v>9562.82</v>
      </c>
      <c r="M208" t="str">
        <f>TEXT(Table1[[#This Row],[Admission_Date]], "mmm")</f>
        <v>Sep</v>
      </c>
      <c r="N208">
        <f>YEAR(Table1[[#This Row],[Admission_Date]])</f>
        <v>2025</v>
      </c>
      <c r="O208" t="str">
        <f>IF(Table1[[#This Row],[Age]]&lt;30, "Young Adult", IF(Table1[[#This Row],[Age]]&lt;60, "Adult", "Senior"))</f>
        <v>Adult</v>
      </c>
    </row>
    <row r="209" spans="1:15" x14ac:dyDescent="0.25">
      <c r="A209" t="s">
        <v>236</v>
      </c>
      <c r="B209">
        <v>39</v>
      </c>
      <c r="C209" t="s">
        <v>13</v>
      </c>
      <c r="D209" t="s">
        <v>14</v>
      </c>
      <c r="E209" s="4">
        <v>45972</v>
      </c>
      <c r="F209" s="4">
        <v>45981</v>
      </c>
      <c r="G209" s="8">
        <v>9</v>
      </c>
      <c r="H209" t="s">
        <v>15</v>
      </c>
      <c r="I209">
        <v>22</v>
      </c>
      <c r="J209" t="s">
        <v>25</v>
      </c>
      <c r="K209" t="s">
        <v>17</v>
      </c>
      <c r="L209" s="6">
        <v>1097.32</v>
      </c>
      <c r="M209" t="str">
        <f>TEXT(Table1[[#This Row],[Admission_Date]], "mmm")</f>
        <v>Nov</v>
      </c>
      <c r="N209">
        <f>YEAR(Table1[[#This Row],[Admission_Date]])</f>
        <v>2025</v>
      </c>
      <c r="O209" t="str">
        <f>IF(Table1[[#This Row],[Age]]&lt;30, "Young Adult", IF(Table1[[#This Row],[Age]]&lt;60, "Adult", "Senior"))</f>
        <v>Adult</v>
      </c>
    </row>
    <row r="210" spans="1:15" x14ac:dyDescent="0.25">
      <c r="A210" t="s">
        <v>237</v>
      </c>
      <c r="B210">
        <v>51</v>
      </c>
      <c r="C210" t="s">
        <v>13</v>
      </c>
      <c r="D210" t="s">
        <v>34</v>
      </c>
      <c r="E210" s="4">
        <v>45672</v>
      </c>
      <c r="F210" s="4">
        <v>45674</v>
      </c>
      <c r="G210" s="8">
        <v>2</v>
      </c>
      <c r="H210" t="s">
        <v>15</v>
      </c>
      <c r="I210">
        <v>14</v>
      </c>
      <c r="J210" t="s">
        <v>16</v>
      </c>
      <c r="K210" t="s">
        <v>47</v>
      </c>
      <c r="L210" s="6">
        <v>13390.45</v>
      </c>
      <c r="M210" t="str">
        <f>TEXT(Table1[[#This Row],[Admission_Date]], "mmm")</f>
        <v>Jan</v>
      </c>
      <c r="N210">
        <f>YEAR(Table1[[#This Row],[Admission_Date]])</f>
        <v>2025</v>
      </c>
      <c r="O210" t="str">
        <f>IF(Table1[[#This Row],[Age]]&lt;30, "Young Adult", IF(Table1[[#This Row],[Age]]&lt;60, "Adult", "Senior"))</f>
        <v>Adult</v>
      </c>
    </row>
    <row r="211" spans="1:15" x14ac:dyDescent="0.25">
      <c r="A211" t="s">
        <v>238</v>
      </c>
      <c r="B211">
        <v>56</v>
      </c>
      <c r="C211" t="s">
        <v>24</v>
      </c>
      <c r="D211" t="s">
        <v>14</v>
      </c>
      <c r="E211" s="4">
        <v>45937</v>
      </c>
      <c r="F211" s="4">
        <v>45942</v>
      </c>
      <c r="G211" s="8">
        <v>5</v>
      </c>
      <c r="H211" t="s">
        <v>20</v>
      </c>
      <c r="I211">
        <v>0</v>
      </c>
      <c r="J211" t="s">
        <v>29</v>
      </c>
      <c r="K211" t="s">
        <v>47</v>
      </c>
      <c r="L211" s="6">
        <v>7076.39</v>
      </c>
      <c r="M211" t="str">
        <f>TEXT(Table1[[#This Row],[Admission_Date]], "mmm")</f>
        <v>Oct</v>
      </c>
      <c r="N211">
        <f>YEAR(Table1[[#This Row],[Admission_Date]])</f>
        <v>2025</v>
      </c>
      <c r="O211" t="str">
        <f>IF(Table1[[#This Row],[Age]]&lt;30, "Young Adult", IF(Table1[[#This Row],[Age]]&lt;60, "Adult", "Senior"))</f>
        <v>Adult</v>
      </c>
    </row>
    <row r="212" spans="1:15" x14ac:dyDescent="0.25">
      <c r="A212" t="s">
        <v>239</v>
      </c>
      <c r="B212">
        <v>71</v>
      </c>
      <c r="C212" t="s">
        <v>24</v>
      </c>
      <c r="D212" t="s">
        <v>40</v>
      </c>
      <c r="E212" s="4">
        <v>46010</v>
      </c>
      <c r="F212" s="4">
        <v>46011</v>
      </c>
      <c r="G212" s="8">
        <v>1</v>
      </c>
      <c r="H212" t="s">
        <v>15</v>
      </c>
      <c r="I212">
        <v>7</v>
      </c>
      <c r="J212" t="s">
        <v>25</v>
      </c>
      <c r="K212" t="s">
        <v>17</v>
      </c>
      <c r="L212" s="6">
        <v>2583.1999999999998</v>
      </c>
      <c r="M212" t="str">
        <f>TEXT(Table1[[#This Row],[Admission_Date]], "mmm")</f>
        <v>Dec</v>
      </c>
      <c r="N212">
        <f>YEAR(Table1[[#This Row],[Admission_Date]])</f>
        <v>2025</v>
      </c>
      <c r="O212" t="str">
        <f>IF(Table1[[#This Row],[Age]]&lt;30, "Young Adult", IF(Table1[[#This Row],[Age]]&lt;60, "Adult", "Senior"))</f>
        <v>Senior</v>
      </c>
    </row>
    <row r="213" spans="1:15" x14ac:dyDescent="0.25">
      <c r="A213" t="s">
        <v>240</v>
      </c>
      <c r="B213">
        <v>62</v>
      </c>
      <c r="C213" t="s">
        <v>24</v>
      </c>
      <c r="D213" t="s">
        <v>14</v>
      </c>
      <c r="E213" s="4">
        <v>45821</v>
      </c>
      <c r="F213" s="4">
        <v>45833</v>
      </c>
      <c r="G213" s="8">
        <v>12</v>
      </c>
      <c r="H213" t="s">
        <v>20</v>
      </c>
      <c r="I213">
        <v>0</v>
      </c>
      <c r="J213" t="s">
        <v>25</v>
      </c>
      <c r="K213" t="s">
        <v>17</v>
      </c>
      <c r="L213" s="6">
        <v>8643.94</v>
      </c>
      <c r="M213" t="str">
        <f>TEXT(Table1[[#This Row],[Admission_Date]], "mmm")</f>
        <v>Jun</v>
      </c>
      <c r="N213">
        <f>YEAR(Table1[[#This Row],[Admission_Date]])</f>
        <v>2025</v>
      </c>
      <c r="O213" t="str">
        <f>IF(Table1[[#This Row],[Age]]&lt;30, "Young Adult", IF(Table1[[#This Row],[Age]]&lt;60, "Adult", "Senior"))</f>
        <v>Senior</v>
      </c>
    </row>
    <row r="214" spans="1:15" x14ac:dyDescent="0.25">
      <c r="A214" t="s">
        <v>241</v>
      </c>
      <c r="B214">
        <v>52</v>
      </c>
      <c r="C214" t="s">
        <v>24</v>
      </c>
      <c r="D214" t="s">
        <v>14</v>
      </c>
      <c r="E214" s="4">
        <v>45821</v>
      </c>
      <c r="F214" s="4">
        <v>45825</v>
      </c>
      <c r="G214" s="8">
        <v>4</v>
      </c>
      <c r="H214" t="s">
        <v>20</v>
      </c>
      <c r="I214">
        <v>0</v>
      </c>
      <c r="J214" t="s">
        <v>21</v>
      </c>
      <c r="K214" t="s">
        <v>22</v>
      </c>
      <c r="L214" s="6">
        <v>1233.78</v>
      </c>
      <c r="M214" t="str">
        <f>TEXT(Table1[[#This Row],[Admission_Date]], "mmm")</f>
        <v>Jun</v>
      </c>
      <c r="N214">
        <f>YEAR(Table1[[#This Row],[Admission_Date]])</f>
        <v>2025</v>
      </c>
      <c r="O214" t="str">
        <f>IF(Table1[[#This Row],[Age]]&lt;30, "Young Adult", IF(Table1[[#This Row],[Age]]&lt;60, "Adult", "Senior"))</f>
        <v>Adult</v>
      </c>
    </row>
    <row r="215" spans="1:15" x14ac:dyDescent="0.25">
      <c r="A215" t="s">
        <v>242</v>
      </c>
      <c r="B215">
        <v>49</v>
      </c>
      <c r="C215" t="s">
        <v>13</v>
      </c>
      <c r="D215" t="s">
        <v>32</v>
      </c>
      <c r="E215" s="4">
        <v>45854</v>
      </c>
      <c r="F215" s="4">
        <v>45868</v>
      </c>
      <c r="G215" s="8">
        <v>14</v>
      </c>
      <c r="H215" t="s">
        <v>20</v>
      </c>
      <c r="I215">
        <v>0</v>
      </c>
      <c r="J215" t="s">
        <v>25</v>
      </c>
      <c r="K215" t="s">
        <v>22</v>
      </c>
      <c r="L215" s="6">
        <v>11565.26</v>
      </c>
      <c r="M215" t="str">
        <f>TEXT(Table1[[#This Row],[Admission_Date]], "mmm")</f>
        <v>Jul</v>
      </c>
      <c r="N215">
        <f>YEAR(Table1[[#This Row],[Admission_Date]])</f>
        <v>2025</v>
      </c>
      <c r="O215" t="str">
        <f>IF(Table1[[#This Row],[Age]]&lt;30, "Young Adult", IF(Table1[[#This Row],[Age]]&lt;60, "Adult", "Senior"))</f>
        <v>Adult</v>
      </c>
    </row>
    <row r="216" spans="1:15" x14ac:dyDescent="0.25">
      <c r="A216" t="s">
        <v>243</v>
      </c>
      <c r="B216">
        <v>57</v>
      </c>
      <c r="C216" t="s">
        <v>24</v>
      </c>
      <c r="D216" t="s">
        <v>19</v>
      </c>
      <c r="E216" s="4">
        <v>45913</v>
      </c>
      <c r="F216" s="4">
        <v>45922</v>
      </c>
      <c r="G216" s="8">
        <v>9</v>
      </c>
      <c r="H216" t="s">
        <v>20</v>
      </c>
      <c r="I216">
        <v>0</v>
      </c>
      <c r="J216" t="s">
        <v>16</v>
      </c>
      <c r="K216" t="s">
        <v>47</v>
      </c>
      <c r="L216" s="6">
        <v>7828.94</v>
      </c>
      <c r="M216" t="str">
        <f>TEXT(Table1[[#This Row],[Admission_Date]], "mmm")</f>
        <v>Sep</v>
      </c>
      <c r="N216">
        <f>YEAR(Table1[[#This Row],[Admission_Date]])</f>
        <v>2025</v>
      </c>
      <c r="O216" t="str">
        <f>IF(Table1[[#This Row],[Age]]&lt;30, "Young Adult", IF(Table1[[#This Row],[Age]]&lt;60, "Adult", "Senior"))</f>
        <v>Adult</v>
      </c>
    </row>
    <row r="217" spans="1:15" x14ac:dyDescent="0.25">
      <c r="A217" t="s">
        <v>244</v>
      </c>
      <c r="B217">
        <v>24</v>
      </c>
      <c r="C217" t="s">
        <v>13</v>
      </c>
      <c r="D217" t="s">
        <v>32</v>
      </c>
      <c r="E217" s="4">
        <v>45781</v>
      </c>
      <c r="F217" s="4">
        <v>45785</v>
      </c>
      <c r="G217" s="8">
        <v>4</v>
      </c>
      <c r="H217" t="s">
        <v>20</v>
      </c>
      <c r="I217">
        <v>0</v>
      </c>
      <c r="J217" t="s">
        <v>29</v>
      </c>
      <c r="K217" t="s">
        <v>17</v>
      </c>
      <c r="L217" s="6">
        <v>13293.92</v>
      </c>
      <c r="M217" t="str">
        <f>TEXT(Table1[[#This Row],[Admission_Date]], "mmm")</f>
        <v>May</v>
      </c>
      <c r="N217">
        <f>YEAR(Table1[[#This Row],[Admission_Date]])</f>
        <v>2025</v>
      </c>
      <c r="O217" t="str">
        <f>IF(Table1[[#This Row],[Age]]&lt;30, "Young Adult", IF(Table1[[#This Row],[Age]]&lt;60, "Adult", "Senior"))</f>
        <v>Young Adult</v>
      </c>
    </row>
    <row r="218" spans="1:15" x14ac:dyDescent="0.25">
      <c r="A218" t="s">
        <v>245</v>
      </c>
      <c r="B218">
        <v>86</v>
      </c>
      <c r="C218" t="s">
        <v>13</v>
      </c>
      <c r="D218" t="s">
        <v>19</v>
      </c>
      <c r="E218" s="4">
        <v>45992</v>
      </c>
      <c r="F218" s="4">
        <v>46003</v>
      </c>
      <c r="G218" s="8">
        <v>11</v>
      </c>
      <c r="H218" t="s">
        <v>20</v>
      </c>
      <c r="I218">
        <v>0</v>
      </c>
      <c r="J218" t="s">
        <v>29</v>
      </c>
      <c r="K218" t="s">
        <v>22</v>
      </c>
      <c r="L218" s="6">
        <v>13295.61</v>
      </c>
      <c r="M218" t="str">
        <f>TEXT(Table1[[#This Row],[Admission_Date]], "mmm")</f>
        <v>Dec</v>
      </c>
      <c r="N218">
        <f>YEAR(Table1[[#This Row],[Admission_Date]])</f>
        <v>2025</v>
      </c>
      <c r="O218" t="str">
        <f>IF(Table1[[#This Row],[Age]]&lt;30, "Young Adult", IF(Table1[[#This Row],[Age]]&lt;60, "Adult", "Senior"))</f>
        <v>Senior</v>
      </c>
    </row>
    <row r="219" spans="1:15" x14ac:dyDescent="0.25">
      <c r="A219" t="s">
        <v>246</v>
      </c>
      <c r="B219">
        <v>23</v>
      </c>
      <c r="C219" t="s">
        <v>24</v>
      </c>
      <c r="D219" t="s">
        <v>19</v>
      </c>
      <c r="E219" s="4">
        <v>45845</v>
      </c>
      <c r="F219" s="4">
        <v>45858</v>
      </c>
      <c r="G219" s="8">
        <v>13</v>
      </c>
      <c r="H219" t="s">
        <v>20</v>
      </c>
      <c r="I219">
        <v>0</v>
      </c>
      <c r="J219" t="s">
        <v>21</v>
      </c>
      <c r="K219" t="s">
        <v>47</v>
      </c>
      <c r="L219" s="6">
        <v>8521.73</v>
      </c>
      <c r="M219" t="str">
        <f>TEXT(Table1[[#This Row],[Admission_Date]], "mmm")</f>
        <v>Jul</v>
      </c>
      <c r="N219">
        <f>YEAR(Table1[[#This Row],[Admission_Date]])</f>
        <v>2025</v>
      </c>
      <c r="O219" t="str">
        <f>IF(Table1[[#This Row],[Age]]&lt;30, "Young Adult", IF(Table1[[#This Row],[Age]]&lt;60, "Adult", "Senior"))</f>
        <v>Young Adult</v>
      </c>
    </row>
    <row r="220" spans="1:15" x14ac:dyDescent="0.25">
      <c r="A220" t="s">
        <v>247</v>
      </c>
      <c r="B220">
        <v>88</v>
      </c>
      <c r="C220" t="s">
        <v>24</v>
      </c>
      <c r="D220" t="s">
        <v>34</v>
      </c>
      <c r="E220" s="4">
        <v>45695</v>
      </c>
      <c r="F220" s="4">
        <v>45702</v>
      </c>
      <c r="G220" s="8">
        <v>7</v>
      </c>
      <c r="H220" t="s">
        <v>20</v>
      </c>
      <c r="I220">
        <v>0</v>
      </c>
      <c r="J220" t="s">
        <v>16</v>
      </c>
      <c r="K220" t="s">
        <v>22</v>
      </c>
      <c r="L220" s="6">
        <v>14638.7</v>
      </c>
      <c r="M220" t="str">
        <f>TEXT(Table1[[#This Row],[Admission_Date]], "mmm")</f>
        <v>Feb</v>
      </c>
      <c r="N220">
        <f>YEAR(Table1[[#This Row],[Admission_Date]])</f>
        <v>2025</v>
      </c>
      <c r="O220" t="str">
        <f>IF(Table1[[#This Row],[Age]]&lt;30, "Young Adult", IF(Table1[[#This Row],[Age]]&lt;60, "Adult", "Senior"))</f>
        <v>Senior</v>
      </c>
    </row>
    <row r="221" spans="1:15" x14ac:dyDescent="0.25">
      <c r="A221" t="s">
        <v>248</v>
      </c>
      <c r="B221">
        <v>61</v>
      </c>
      <c r="C221" t="s">
        <v>24</v>
      </c>
      <c r="D221" t="s">
        <v>14</v>
      </c>
      <c r="E221" s="4">
        <v>45859</v>
      </c>
      <c r="F221" s="4">
        <v>45865</v>
      </c>
      <c r="G221" s="8">
        <v>6</v>
      </c>
      <c r="H221" t="s">
        <v>20</v>
      </c>
      <c r="I221">
        <v>0</v>
      </c>
      <c r="J221" t="s">
        <v>21</v>
      </c>
      <c r="K221" t="s">
        <v>17</v>
      </c>
      <c r="L221" s="6">
        <v>7882.28</v>
      </c>
      <c r="M221" t="str">
        <f>TEXT(Table1[[#This Row],[Admission_Date]], "mmm")</f>
        <v>Jul</v>
      </c>
      <c r="N221">
        <f>YEAR(Table1[[#This Row],[Admission_Date]])</f>
        <v>2025</v>
      </c>
      <c r="O221" t="str">
        <f>IF(Table1[[#This Row],[Age]]&lt;30, "Young Adult", IF(Table1[[#This Row],[Age]]&lt;60, "Adult", "Senior"))</f>
        <v>Senior</v>
      </c>
    </row>
    <row r="222" spans="1:15" x14ac:dyDescent="0.25">
      <c r="A222" t="s">
        <v>249</v>
      </c>
      <c r="B222">
        <v>35</v>
      </c>
      <c r="C222" t="s">
        <v>24</v>
      </c>
      <c r="D222" t="s">
        <v>40</v>
      </c>
      <c r="E222" s="4">
        <v>45914</v>
      </c>
      <c r="F222" s="4">
        <v>45915</v>
      </c>
      <c r="G222" s="8">
        <v>1</v>
      </c>
      <c r="H222" t="s">
        <v>15</v>
      </c>
      <c r="I222">
        <v>17</v>
      </c>
      <c r="J222" t="s">
        <v>29</v>
      </c>
      <c r="K222" t="s">
        <v>22</v>
      </c>
      <c r="L222" s="6">
        <v>9290.7800000000007</v>
      </c>
      <c r="M222" t="str">
        <f>TEXT(Table1[[#This Row],[Admission_Date]], "mmm")</f>
        <v>Sep</v>
      </c>
      <c r="N222">
        <f>YEAR(Table1[[#This Row],[Admission_Date]])</f>
        <v>2025</v>
      </c>
      <c r="O222" t="str">
        <f>IF(Table1[[#This Row],[Age]]&lt;30, "Young Adult", IF(Table1[[#This Row],[Age]]&lt;60, "Adult", "Senior"))</f>
        <v>Adult</v>
      </c>
    </row>
    <row r="223" spans="1:15" x14ac:dyDescent="0.25">
      <c r="A223" t="s">
        <v>250</v>
      </c>
      <c r="B223">
        <v>58</v>
      </c>
      <c r="C223" t="s">
        <v>13</v>
      </c>
      <c r="D223" t="s">
        <v>40</v>
      </c>
      <c r="E223" s="4">
        <v>45921</v>
      </c>
      <c r="F223" s="4">
        <v>45924</v>
      </c>
      <c r="G223" s="8">
        <v>3</v>
      </c>
      <c r="H223" t="s">
        <v>20</v>
      </c>
      <c r="I223">
        <v>0</v>
      </c>
      <c r="J223" t="s">
        <v>25</v>
      </c>
      <c r="K223" t="s">
        <v>17</v>
      </c>
      <c r="L223" s="6">
        <v>5377.42</v>
      </c>
      <c r="M223" t="str">
        <f>TEXT(Table1[[#This Row],[Admission_Date]], "mmm")</f>
        <v>Sep</v>
      </c>
      <c r="N223">
        <f>YEAR(Table1[[#This Row],[Admission_Date]])</f>
        <v>2025</v>
      </c>
      <c r="O223" t="str">
        <f>IF(Table1[[#This Row],[Age]]&lt;30, "Young Adult", IF(Table1[[#This Row],[Age]]&lt;60, "Adult", "Senior"))</f>
        <v>Adult</v>
      </c>
    </row>
    <row r="224" spans="1:15" x14ac:dyDescent="0.25">
      <c r="A224" t="s">
        <v>251</v>
      </c>
      <c r="B224">
        <v>90</v>
      </c>
      <c r="C224" t="s">
        <v>24</v>
      </c>
      <c r="D224" t="s">
        <v>40</v>
      </c>
      <c r="E224" s="4">
        <v>45918</v>
      </c>
      <c r="F224" s="4">
        <v>45927</v>
      </c>
      <c r="G224" s="8">
        <v>9</v>
      </c>
      <c r="H224" t="s">
        <v>20</v>
      </c>
      <c r="I224">
        <v>0</v>
      </c>
      <c r="J224" t="s">
        <v>16</v>
      </c>
      <c r="K224" t="s">
        <v>47</v>
      </c>
      <c r="L224" s="6">
        <v>5302.97</v>
      </c>
      <c r="M224" t="str">
        <f>TEXT(Table1[[#This Row],[Admission_Date]], "mmm")</f>
        <v>Sep</v>
      </c>
      <c r="N224">
        <f>YEAR(Table1[[#This Row],[Admission_Date]])</f>
        <v>2025</v>
      </c>
      <c r="O224" t="str">
        <f>IF(Table1[[#This Row],[Age]]&lt;30, "Young Adult", IF(Table1[[#This Row],[Age]]&lt;60, "Adult", "Senior"))</f>
        <v>Senior</v>
      </c>
    </row>
    <row r="225" spans="1:15" x14ac:dyDescent="0.25">
      <c r="A225" t="s">
        <v>252</v>
      </c>
      <c r="B225">
        <v>21</v>
      </c>
      <c r="C225" t="s">
        <v>24</v>
      </c>
      <c r="D225" t="s">
        <v>32</v>
      </c>
      <c r="E225" s="4">
        <v>45714</v>
      </c>
      <c r="F225" s="4">
        <v>45721</v>
      </c>
      <c r="G225" s="8">
        <v>7</v>
      </c>
      <c r="H225" t="s">
        <v>20</v>
      </c>
      <c r="I225">
        <v>0</v>
      </c>
      <c r="J225" t="s">
        <v>21</v>
      </c>
      <c r="K225" t="s">
        <v>17</v>
      </c>
      <c r="L225" s="6">
        <v>1244.6500000000001</v>
      </c>
      <c r="M225" t="str">
        <f>TEXT(Table1[[#This Row],[Admission_Date]], "mmm")</f>
        <v>Feb</v>
      </c>
      <c r="N225">
        <f>YEAR(Table1[[#This Row],[Admission_Date]])</f>
        <v>2025</v>
      </c>
      <c r="O225" t="str">
        <f>IF(Table1[[#This Row],[Age]]&lt;30, "Young Adult", IF(Table1[[#This Row],[Age]]&lt;60, "Adult", "Senior"))</f>
        <v>Young Adult</v>
      </c>
    </row>
    <row r="226" spans="1:15" x14ac:dyDescent="0.25">
      <c r="A226" t="s">
        <v>253</v>
      </c>
      <c r="B226">
        <v>66</v>
      </c>
      <c r="C226" t="s">
        <v>13</v>
      </c>
      <c r="D226" t="s">
        <v>28</v>
      </c>
      <c r="E226" s="4">
        <v>45903</v>
      </c>
      <c r="F226" s="4">
        <v>45906</v>
      </c>
      <c r="G226" s="8">
        <v>3</v>
      </c>
      <c r="H226" t="s">
        <v>20</v>
      </c>
      <c r="I226">
        <v>0</v>
      </c>
      <c r="J226" t="s">
        <v>21</v>
      </c>
      <c r="K226" t="s">
        <v>22</v>
      </c>
      <c r="L226" s="6">
        <v>8802.27</v>
      </c>
      <c r="M226" t="str">
        <f>TEXT(Table1[[#This Row],[Admission_Date]], "mmm")</f>
        <v>Sep</v>
      </c>
      <c r="N226">
        <f>YEAR(Table1[[#This Row],[Admission_Date]])</f>
        <v>2025</v>
      </c>
      <c r="O226" t="str">
        <f>IF(Table1[[#This Row],[Age]]&lt;30, "Young Adult", IF(Table1[[#This Row],[Age]]&lt;60, "Adult", "Senior"))</f>
        <v>Senior</v>
      </c>
    </row>
    <row r="227" spans="1:15" x14ac:dyDescent="0.25">
      <c r="A227" t="s">
        <v>254</v>
      </c>
      <c r="B227">
        <v>74</v>
      </c>
      <c r="C227" t="s">
        <v>24</v>
      </c>
      <c r="D227" t="s">
        <v>40</v>
      </c>
      <c r="E227" s="4">
        <v>46016</v>
      </c>
      <c r="F227" s="4">
        <v>46018</v>
      </c>
      <c r="G227" s="8">
        <v>2</v>
      </c>
      <c r="H227" t="s">
        <v>15</v>
      </c>
      <c r="I227">
        <v>5</v>
      </c>
      <c r="J227" t="s">
        <v>29</v>
      </c>
      <c r="K227" t="s">
        <v>17</v>
      </c>
      <c r="L227" s="6">
        <v>3456.43</v>
      </c>
      <c r="M227" t="str">
        <f>TEXT(Table1[[#This Row],[Admission_Date]], "mmm")</f>
        <v>Dec</v>
      </c>
      <c r="N227">
        <f>YEAR(Table1[[#This Row],[Admission_Date]])</f>
        <v>2025</v>
      </c>
      <c r="O227" t="str">
        <f>IF(Table1[[#This Row],[Age]]&lt;30, "Young Adult", IF(Table1[[#This Row],[Age]]&lt;60, "Adult", "Senior"))</f>
        <v>Senior</v>
      </c>
    </row>
    <row r="228" spans="1:15" x14ac:dyDescent="0.25">
      <c r="A228" t="s">
        <v>255</v>
      </c>
      <c r="B228">
        <v>78</v>
      </c>
      <c r="C228" t="s">
        <v>13</v>
      </c>
      <c r="D228" t="s">
        <v>28</v>
      </c>
      <c r="E228" s="4">
        <v>45914</v>
      </c>
      <c r="F228" s="4">
        <v>45927</v>
      </c>
      <c r="G228" s="8">
        <v>13</v>
      </c>
      <c r="H228" t="s">
        <v>20</v>
      </c>
      <c r="I228">
        <v>0</v>
      </c>
      <c r="J228" t="s">
        <v>21</v>
      </c>
      <c r="K228" t="s">
        <v>17</v>
      </c>
      <c r="L228" s="6">
        <v>3506.45</v>
      </c>
      <c r="M228" t="str">
        <f>TEXT(Table1[[#This Row],[Admission_Date]], "mmm")</f>
        <v>Sep</v>
      </c>
      <c r="N228">
        <f>YEAR(Table1[[#This Row],[Admission_Date]])</f>
        <v>2025</v>
      </c>
      <c r="O228" t="str">
        <f>IF(Table1[[#This Row],[Age]]&lt;30, "Young Adult", IF(Table1[[#This Row],[Age]]&lt;60, "Adult", "Senior"))</f>
        <v>Senior</v>
      </c>
    </row>
    <row r="229" spans="1:15" x14ac:dyDescent="0.25">
      <c r="A229" t="s">
        <v>256</v>
      </c>
      <c r="B229">
        <v>66</v>
      </c>
      <c r="C229" t="s">
        <v>24</v>
      </c>
      <c r="D229" t="s">
        <v>14</v>
      </c>
      <c r="E229" s="4">
        <v>45824</v>
      </c>
      <c r="F229" s="4">
        <v>45835</v>
      </c>
      <c r="G229" s="8">
        <v>11</v>
      </c>
      <c r="H229" t="s">
        <v>20</v>
      </c>
      <c r="I229">
        <v>0</v>
      </c>
      <c r="J229" t="s">
        <v>29</v>
      </c>
      <c r="K229" t="s">
        <v>17</v>
      </c>
      <c r="L229" s="6">
        <v>5463.74</v>
      </c>
      <c r="M229" t="str">
        <f>TEXT(Table1[[#This Row],[Admission_Date]], "mmm")</f>
        <v>Jun</v>
      </c>
      <c r="N229">
        <f>YEAR(Table1[[#This Row],[Admission_Date]])</f>
        <v>2025</v>
      </c>
      <c r="O229" t="str">
        <f>IF(Table1[[#This Row],[Age]]&lt;30, "Young Adult", IF(Table1[[#This Row],[Age]]&lt;60, "Adult", "Senior"))</f>
        <v>Senior</v>
      </c>
    </row>
    <row r="230" spans="1:15" x14ac:dyDescent="0.25">
      <c r="A230" t="s">
        <v>257</v>
      </c>
      <c r="B230">
        <v>51</v>
      </c>
      <c r="C230" t="s">
        <v>24</v>
      </c>
      <c r="D230" t="s">
        <v>14</v>
      </c>
      <c r="E230" s="4">
        <v>45839</v>
      </c>
      <c r="F230" s="4">
        <v>45850</v>
      </c>
      <c r="G230" s="8">
        <v>11</v>
      </c>
      <c r="H230" t="s">
        <v>20</v>
      </c>
      <c r="I230">
        <v>0</v>
      </c>
      <c r="J230" t="s">
        <v>21</v>
      </c>
      <c r="K230" t="s">
        <v>47</v>
      </c>
      <c r="L230" s="6">
        <v>8592.26</v>
      </c>
      <c r="M230" t="str">
        <f>TEXT(Table1[[#This Row],[Admission_Date]], "mmm")</f>
        <v>Jul</v>
      </c>
      <c r="N230">
        <f>YEAR(Table1[[#This Row],[Admission_Date]])</f>
        <v>2025</v>
      </c>
      <c r="O230" t="str">
        <f>IF(Table1[[#This Row],[Age]]&lt;30, "Young Adult", IF(Table1[[#This Row],[Age]]&lt;60, "Adult", "Senior"))</f>
        <v>Adult</v>
      </c>
    </row>
    <row r="231" spans="1:15" x14ac:dyDescent="0.25">
      <c r="A231" t="s">
        <v>258</v>
      </c>
      <c r="B231">
        <v>44</v>
      </c>
      <c r="C231" t="s">
        <v>24</v>
      </c>
      <c r="D231" t="s">
        <v>32</v>
      </c>
      <c r="E231" s="4">
        <v>45773</v>
      </c>
      <c r="F231" s="4">
        <v>45778</v>
      </c>
      <c r="G231" s="8">
        <v>5</v>
      </c>
      <c r="H231" t="s">
        <v>20</v>
      </c>
      <c r="I231">
        <v>0</v>
      </c>
      <c r="J231" t="s">
        <v>29</v>
      </c>
      <c r="K231" t="s">
        <v>47</v>
      </c>
      <c r="L231" s="6">
        <v>8627.07</v>
      </c>
      <c r="M231" t="str">
        <f>TEXT(Table1[[#This Row],[Admission_Date]], "mmm")</f>
        <v>Apr</v>
      </c>
      <c r="N231">
        <f>YEAR(Table1[[#This Row],[Admission_Date]])</f>
        <v>2025</v>
      </c>
      <c r="O231" t="str">
        <f>IF(Table1[[#This Row],[Age]]&lt;30, "Young Adult", IF(Table1[[#This Row],[Age]]&lt;60, "Adult", "Senior"))</f>
        <v>Adult</v>
      </c>
    </row>
    <row r="232" spans="1:15" x14ac:dyDescent="0.25">
      <c r="A232" t="s">
        <v>259</v>
      </c>
      <c r="B232">
        <v>87</v>
      </c>
      <c r="C232" t="s">
        <v>24</v>
      </c>
      <c r="D232" t="s">
        <v>40</v>
      </c>
      <c r="E232" s="4">
        <v>45798</v>
      </c>
      <c r="F232" s="4">
        <v>45803</v>
      </c>
      <c r="G232" s="8">
        <v>5</v>
      </c>
      <c r="H232" t="s">
        <v>15</v>
      </c>
      <c r="I232">
        <v>27</v>
      </c>
      <c r="J232" t="s">
        <v>25</v>
      </c>
      <c r="K232" t="s">
        <v>22</v>
      </c>
      <c r="L232" s="6">
        <v>4711.5600000000004</v>
      </c>
      <c r="M232" t="str">
        <f>TEXT(Table1[[#This Row],[Admission_Date]], "mmm")</f>
        <v>May</v>
      </c>
      <c r="N232">
        <f>YEAR(Table1[[#This Row],[Admission_Date]])</f>
        <v>2025</v>
      </c>
      <c r="O232" t="str">
        <f>IF(Table1[[#This Row],[Age]]&lt;30, "Young Adult", IF(Table1[[#This Row],[Age]]&lt;60, "Adult", "Senior"))</f>
        <v>Senior</v>
      </c>
    </row>
    <row r="233" spans="1:15" x14ac:dyDescent="0.25">
      <c r="A233" t="s">
        <v>260</v>
      </c>
      <c r="B233">
        <v>74</v>
      </c>
      <c r="C233" t="s">
        <v>24</v>
      </c>
      <c r="D233" t="s">
        <v>28</v>
      </c>
      <c r="E233" s="4">
        <v>45805</v>
      </c>
      <c r="F233" s="4">
        <v>45817</v>
      </c>
      <c r="G233" s="8">
        <v>12</v>
      </c>
      <c r="H233" t="s">
        <v>15</v>
      </c>
      <c r="I233">
        <v>16</v>
      </c>
      <c r="J233" t="s">
        <v>21</v>
      </c>
      <c r="K233" t="s">
        <v>22</v>
      </c>
      <c r="L233" s="6">
        <v>12505.3</v>
      </c>
      <c r="M233" t="str">
        <f>TEXT(Table1[[#This Row],[Admission_Date]], "mmm")</f>
        <v>May</v>
      </c>
      <c r="N233">
        <f>YEAR(Table1[[#This Row],[Admission_Date]])</f>
        <v>2025</v>
      </c>
      <c r="O233" t="str">
        <f>IF(Table1[[#This Row],[Age]]&lt;30, "Young Adult", IF(Table1[[#This Row],[Age]]&lt;60, "Adult", "Senior"))</f>
        <v>Senior</v>
      </c>
    </row>
    <row r="234" spans="1:15" x14ac:dyDescent="0.25">
      <c r="A234" t="s">
        <v>261</v>
      </c>
      <c r="B234">
        <v>35</v>
      </c>
      <c r="C234" t="s">
        <v>13</v>
      </c>
      <c r="D234" t="s">
        <v>34</v>
      </c>
      <c r="E234" s="4">
        <v>45796</v>
      </c>
      <c r="F234" s="4">
        <v>45805</v>
      </c>
      <c r="G234" s="8">
        <v>9</v>
      </c>
      <c r="H234" t="s">
        <v>20</v>
      </c>
      <c r="I234">
        <v>0</v>
      </c>
      <c r="J234" t="s">
        <v>21</v>
      </c>
      <c r="K234" t="s">
        <v>22</v>
      </c>
      <c r="L234" s="6">
        <v>1236.0999999999999</v>
      </c>
      <c r="M234" t="str">
        <f>TEXT(Table1[[#This Row],[Admission_Date]], "mmm")</f>
        <v>May</v>
      </c>
      <c r="N234">
        <f>YEAR(Table1[[#This Row],[Admission_Date]])</f>
        <v>2025</v>
      </c>
      <c r="O234" t="str">
        <f>IF(Table1[[#This Row],[Age]]&lt;30, "Young Adult", IF(Table1[[#This Row],[Age]]&lt;60, "Adult", "Senior"))</f>
        <v>Adult</v>
      </c>
    </row>
    <row r="235" spans="1:15" x14ac:dyDescent="0.25">
      <c r="A235" t="s">
        <v>262</v>
      </c>
      <c r="B235">
        <v>24</v>
      </c>
      <c r="C235" t="s">
        <v>13</v>
      </c>
      <c r="D235" t="s">
        <v>40</v>
      </c>
      <c r="E235" s="4">
        <v>45929</v>
      </c>
      <c r="F235" s="4">
        <v>45933</v>
      </c>
      <c r="G235" s="8">
        <v>4</v>
      </c>
      <c r="H235" t="s">
        <v>20</v>
      </c>
      <c r="I235">
        <v>0</v>
      </c>
      <c r="J235" t="s">
        <v>25</v>
      </c>
      <c r="K235" t="s">
        <v>17</v>
      </c>
      <c r="L235" s="6">
        <v>7349.86</v>
      </c>
      <c r="M235" t="str">
        <f>TEXT(Table1[[#This Row],[Admission_Date]], "mmm")</f>
        <v>Sep</v>
      </c>
      <c r="N235">
        <f>YEAR(Table1[[#This Row],[Admission_Date]])</f>
        <v>2025</v>
      </c>
      <c r="O235" t="str">
        <f>IF(Table1[[#This Row],[Age]]&lt;30, "Young Adult", IF(Table1[[#This Row],[Age]]&lt;60, "Adult", "Senior"))</f>
        <v>Young Adult</v>
      </c>
    </row>
    <row r="236" spans="1:15" x14ac:dyDescent="0.25">
      <c r="A236" t="s">
        <v>263</v>
      </c>
      <c r="B236">
        <v>88</v>
      </c>
      <c r="C236" t="s">
        <v>13</v>
      </c>
      <c r="D236" t="s">
        <v>40</v>
      </c>
      <c r="E236" s="4">
        <v>46006</v>
      </c>
      <c r="F236" s="4">
        <v>46019</v>
      </c>
      <c r="G236" s="8">
        <v>13</v>
      </c>
      <c r="H236" t="s">
        <v>15</v>
      </c>
      <c r="I236">
        <v>21</v>
      </c>
      <c r="J236" t="s">
        <v>29</v>
      </c>
      <c r="K236" t="s">
        <v>47</v>
      </c>
      <c r="L236" s="6">
        <v>9932.81</v>
      </c>
      <c r="M236" t="str">
        <f>TEXT(Table1[[#This Row],[Admission_Date]], "mmm")</f>
        <v>Dec</v>
      </c>
      <c r="N236">
        <f>YEAR(Table1[[#This Row],[Admission_Date]])</f>
        <v>2025</v>
      </c>
      <c r="O236" t="str">
        <f>IF(Table1[[#This Row],[Age]]&lt;30, "Young Adult", IF(Table1[[#This Row],[Age]]&lt;60, "Adult", "Senior"))</f>
        <v>Senior</v>
      </c>
    </row>
    <row r="237" spans="1:15" x14ac:dyDescent="0.25">
      <c r="A237" t="s">
        <v>264</v>
      </c>
      <c r="B237">
        <v>25</v>
      </c>
      <c r="C237" t="s">
        <v>13</v>
      </c>
      <c r="D237" t="s">
        <v>28</v>
      </c>
      <c r="E237" s="4">
        <v>45805</v>
      </c>
      <c r="F237" s="4">
        <v>45811</v>
      </c>
      <c r="G237" s="8">
        <v>6</v>
      </c>
      <c r="H237" t="s">
        <v>15</v>
      </c>
      <c r="I237">
        <v>19</v>
      </c>
      <c r="J237" t="s">
        <v>21</v>
      </c>
      <c r="K237" t="s">
        <v>17</v>
      </c>
      <c r="L237" s="6">
        <v>11210.95</v>
      </c>
      <c r="M237" t="str">
        <f>TEXT(Table1[[#This Row],[Admission_Date]], "mmm")</f>
        <v>May</v>
      </c>
      <c r="N237">
        <f>YEAR(Table1[[#This Row],[Admission_Date]])</f>
        <v>2025</v>
      </c>
      <c r="O237" t="str">
        <f>IF(Table1[[#This Row],[Age]]&lt;30, "Young Adult", IF(Table1[[#This Row],[Age]]&lt;60, "Adult", "Senior"))</f>
        <v>Young Adult</v>
      </c>
    </row>
    <row r="238" spans="1:15" x14ac:dyDescent="0.25">
      <c r="A238" t="s">
        <v>265</v>
      </c>
      <c r="B238">
        <v>40</v>
      </c>
      <c r="C238" t="s">
        <v>13</v>
      </c>
      <c r="D238" t="s">
        <v>40</v>
      </c>
      <c r="E238" s="4">
        <v>45677</v>
      </c>
      <c r="F238" s="4">
        <v>45680</v>
      </c>
      <c r="G238" s="8">
        <v>3</v>
      </c>
      <c r="H238" t="s">
        <v>20</v>
      </c>
      <c r="I238">
        <v>0</v>
      </c>
      <c r="J238" t="s">
        <v>29</v>
      </c>
      <c r="K238" t="s">
        <v>22</v>
      </c>
      <c r="L238" s="6">
        <v>14080.83</v>
      </c>
      <c r="M238" t="str">
        <f>TEXT(Table1[[#This Row],[Admission_Date]], "mmm")</f>
        <v>Jan</v>
      </c>
      <c r="N238">
        <f>YEAR(Table1[[#This Row],[Admission_Date]])</f>
        <v>2025</v>
      </c>
      <c r="O238" t="str">
        <f>IF(Table1[[#This Row],[Age]]&lt;30, "Young Adult", IF(Table1[[#This Row],[Age]]&lt;60, "Adult", "Senior"))</f>
        <v>Adult</v>
      </c>
    </row>
    <row r="239" spans="1:15" x14ac:dyDescent="0.25">
      <c r="A239" t="s">
        <v>266</v>
      </c>
      <c r="B239">
        <v>90</v>
      </c>
      <c r="C239" t="s">
        <v>13</v>
      </c>
      <c r="D239" t="s">
        <v>32</v>
      </c>
      <c r="E239" s="4">
        <v>45806</v>
      </c>
      <c r="F239" s="4">
        <v>45807</v>
      </c>
      <c r="G239" s="8">
        <v>1</v>
      </c>
      <c r="H239" t="s">
        <v>15</v>
      </c>
      <c r="I239">
        <v>10</v>
      </c>
      <c r="J239" t="s">
        <v>29</v>
      </c>
      <c r="K239" t="s">
        <v>17</v>
      </c>
      <c r="L239" s="6">
        <v>8377.86</v>
      </c>
      <c r="M239" t="str">
        <f>TEXT(Table1[[#This Row],[Admission_Date]], "mmm")</f>
        <v>May</v>
      </c>
      <c r="N239">
        <f>YEAR(Table1[[#This Row],[Admission_Date]])</f>
        <v>2025</v>
      </c>
      <c r="O239" t="str">
        <f>IF(Table1[[#This Row],[Age]]&lt;30, "Young Adult", IF(Table1[[#This Row],[Age]]&lt;60, "Adult", "Senior"))</f>
        <v>Senior</v>
      </c>
    </row>
    <row r="240" spans="1:15" x14ac:dyDescent="0.25">
      <c r="A240" t="s">
        <v>267</v>
      </c>
      <c r="B240">
        <v>77</v>
      </c>
      <c r="C240" t="s">
        <v>24</v>
      </c>
      <c r="D240" t="s">
        <v>14</v>
      </c>
      <c r="E240" s="4">
        <v>45910</v>
      </c>
      <c r="F240" s="4">
        <v>45913</v>
      </c>
      <c r="G240" s="8">
        <v>3</v>
      </c>
      <c r="H240" t="s">
        <v>20</v>
      </c>
      <c r="I240">
        <v>0</v>
      </c>
      <c r="J240" t="s">
        <v>16</v>
      </c>
      <c r="K240" t="s">
        <v>47</v>
      </c>
      <c r="L240" s="6">
        <v>2856.17</v>
      </c>
      <c r="M240" t="str">
        <f>TEXT(Table1[[#This Row],[Admission_Date]], "mmm")</f>
        <v>Sep</v>
      </c>
      <c r="N240">
        <f>YEAR(Table1[[#This Row],[Admission_Date]])</f>
        <v>2025</v>
      </c>
      <c r="O240" t="str">
        <f>IF(Table1[[#This Row],[Age]]&lt;30, "Young Adult", IF(Table1[[#This Row],[Age]]&lt;60, "Adult", "Senior"))</f>
        <v>Senior</v>
      </c>
    </row>
    <row r="241" spans="1:15" x14ac:dyDescent="0.25">
      <c r="A241" t="s">
        <v>268</v>
      </c>
      <c r="B241">
        <v>41</v>
      </c>
      <c r="C241" t="s">
        <v>13</v>
      </c>
      <c r="D241" t="s">
        <v>28</v>
      </c>
      <c r="E241" s="4">
        <v>45892</v>
      </c>
      <c r="F241" s="4">
        <v>45903</v>
      </c>
      <c r="G241" s="8">
        <v>11</v>
      </c>
      <c r="H241" t="s">
        <v>15</v>
      </c>
      <c r="I241">
        <v>11</v>
      </c>
      <c r="J241" t="s">
        <v>25</v>
      </c>
      <c r="K241" t="s">
        <v>17</v>
      </c>
      <c r="L241" s="6">
        <v>10278.82</v>
      </c>
      <c r="M241" t="str">
        <f>TEXT(Table1[[#This Row],[Admission_Date]], "mmm")</f>
        <v>Aug</v>
      </c>
      <c r="N241">
        <f>YEAR(Table1[[#This Row],[Admission_Date]])</f>
        <v>2025</v>
      </c>
      <c r="O241" t="str">
        <f>IF(Table1[[#This Row],[Age]]&lt;30, "Young Adult", IF(Table1[[#This Row],[Age]]&lt;60, "Adult", "Senior"))</f>
        <v>Adult</v>
      </c>
    </row>
    <row r="242" spans="1:15" x14ac:dyDescent="0.25">
      <c r="A242" t="s">
        <v>269</v>
      </c>
      <c r="B242">
        <v>69</v>
      </c>
      <c r="C242" t="s">
        <v>24</v>
      </c>
      <c r="D242" t="s">
        <v>34</v>
      </c>
      <c r="E242" s="4">
        <v>45756</v>
      </c>
      <c r="F242" s="4">
        <v>45759</v>
      </c>
      <c r="G242" s="8">
        <v>3</v>
      </c>
      <c r="H242" t="s">
        <v>20</v>
      </c>
      <c r="I242">
        <v>0</v>
      </c>
      <c r="J242" t="s">
        <v>25</v>
      </c>
      <c r="K242" t="s">
        <v>22</v>
      </c>
      <c r="L242" s="6">
        <v>6312.08</v>
      </c>
      <c r="M242" t="str">
        <f>TEXT(Table1[[#This Row],[Admission_Date]], "mmm")</f>
        <v>Apr</v>
      </c>
      <c r="N242">
        <f>YEAR(Table1[[#This Row],[Admission_Date]])</f>
        <v>2025</v>
      </c>
      <c r="O242" t="str">
        <f>IF(Table1[[#This Row],[Age]]&lt;30, "Young Adult", IF(Table1[[#This Row],[Age]]&lt;60, "Adult", "Senior"))</f>
        <v>Senior</v>
      </c>
    </row>
    <row r="243" spans="1:15" x14ac:dyDescent="0.25">
      <c r="A243" t="s">
        <v>270</v>
      </c>
      <c r="B243">
        <v>79</v>
      </c>
      <c r="C243" t="s">
        <v>24</v>
      </c>
      <c r="D243" t="s">
        <v>14</v>
      </c>
      <c r="E243" s="4">
        <v>45706</v>
      </c>
      <c r="F243" s="4">
        <v>45709</v>
      </c>
      <c r="G243" s="8">
        <v>3</v>
      </c>
      <c r="H243" t="s">
        <v>20</v>
      </c>
      <c r="I243">
        <v>0</v>
      </c>
      <c r="J243" t="s">
        <v>16</v>
      </c>
      <c r="K243" t="s">
        <v>47</v>
      </c>
      <c r="L243" s="6">
        <v>6061.83</v>
      </c>
      <c r="M243" t="str">
        <f>TEXT(Table1[[#This Row],[Admission_Date]], "mmm")</f>
        <v>Feb</v>
      </c>
      <c r="N243">
        <f>YEAR(Table1[[#This Row],[Admission_Date]])</f>
        <v>2025</v>
      </c>
      <c r="O243" t="str">
        <f>IF(Table1[[#This Row],[Age]]&lt;30, "Young Adult", IF(Table1[[#This Row],[Age]]&lt;60, "Adult", "Senior"))</f>
        <v>Senior</v>
      </c>
    </row>
    <row r="244" spans="1:15" x14ac:dyDescent="0.25">
      <c r="A244" t="s">
        <v>271</v>
      </c>
      <c r="B244">
        <v>60</v>
      </c>
      <c r="C244" t="s">
        <v>24</v>
      </c>
      <c r="D244" t="s">
        <v>34</v>
      </c>
      <c r="E244" s="4">
        <v>45886</v>
      </c>
      <c r="F244" s="4">
        <v>45899</v>
      </c>
      <c r="G244" s="8">
        <v>13</v>
      </c>
      <c r="H244" t="s">
        <v>15</v>
      </c>
      <c r="I244">
        <v>24</v>
      </c>
      <c r="J244" t="s">
        <v>16</v>
      </c>
      <c r="K244" t="s">
        <v>47</v>
      </c>
      <c r="L244" s="6">
        <v>9978.41</v>
      </c>
      <c r="M244" t="str">
        <f>TEXT(Table1[[#This Row],[Admission_Date]], "mmm")</f>
        <v>Aug</v>
      </c>
      <c r="N244">
        <f>YEAR(Table1[[#This Row],[Admission_Date]])</f>
        <v>2025</v>
      </c>
      <c r="O244" t="str">
        <f>IF(Table1[[#This Row],[Age]]&lt;30, "Young Adult", IF(Table1[[#This Row],[Age]]&lt;60, "Adult", "Senior"))</f>
        <v>Senior</v>
      </c>
    </row>
    <row r="245" spans="1:15" x14ac:dyDescent="0.25">
      <c r="A245" t="s">
        <v>272</v>
      </c>
      <c r="B245">
        <v>33</v>
      </c>
      <c r="C245" t="s">
        <v>24</v>
      </c>
      <c r="D245" t="s">
        <v>32</v>
      </c>
      <c r="E245" s="4">
        <v>46012</v>
      </c>
      <c r="F245" s="4">
        <v>46016</v>
      </c>
      <c r="G245" s="8">
        <v>4</v>
      </c>
      <c r="H245" t="s">
        <v>15</v>
      </c>
      <c r="I245">
        <v>6</v>
      </c>
      <c r="J245" t="s">
        <v>29</v>
      </c>
      <c r="K245" t="s">
        <v>17</v>
      </c>
      <c r="L245" s="6">
        <v>7786.55</v>
      </c>
      <c r="M245" t="str">
        <f>TEXT(Table1[[#This Row],[Admission_Date]], "mmm")</f>
        <v>Dec</v>
      </c>
      <c r="N245">
        <f>YEAR(Table1[[#This Row],[Admission_Date]])</f>
        <v>2025</v>
      </c>
      <c r="O245" t="str">
        <f>IF(Table1[[#This Row],[Age]]&lt;30, "Young Adult", IF(Table1[[#This Row],[Age]]&lt;60, "Adult", "Senior"))</f>
        <v>Adult</v>
      </c>
    </row>
    <row r="246" spans="1:15" x14ac:dyDescent="0.25">
      <c r="A246" t="s">
        <v>273</v>
      </c>
      <c r="B246">
        <v>33</v>
      </c>
      <c r="C246" t="s">
        <v>24</v>
      </c>
      <c r="D246" t="s">
        <v>32</v>
      </c>
      <c r="E246" s="4">
        <v>46018</v>
      </c>
      <c r="F246" s="4">
        <v>46031</v>
      </c>
      <c r="G246" s="8">
        <v>13</v>
      </c>
      <c r="H246" t="s">
        <v>20</v>
      </c>
      <c r="I246">
        <v>0</v>
      </c>
      <c r="J246" t="s">
        <v>21</v>
      </c>
      <c r="K246" t="s">
        <v>22</v>
      </c>
      <c r="L246" s="6">
        <v>14381.73</v>
      </c>
      <c r="M246" t="str">
        <f>TEXT(Table1[[#This Row],[Admission_Date]], "mmm")</f>
        <v>Dec</v>
      </c>
      <c r="N246">
        <f>YEAR(Table1[[#This Row],[Admission_Date]])</f>
        <v>2025</v>
      </c>
      <c r="O246" t="str">
        <f>IF(Table1[[#This Row],[Age]]&lt;30, "Young Adult", IF(Table1[[#This Row],[Age]]&lt;60, "Adult", "Senior"))</f>
        <v>Adult</v>
      </c>
    </row>
    <row r="247" spans="1:15" x14ac:dyDescent="0.25">
      <c r="A247" t="s">
        <v>274</v>
      </c>
      <c r="B247">
        <v>65</v>
      </c>
      <c r="C247" t="s">
        <v>24</v>
      </c>
      <c r="D247" t="s">
        <v>28</v>
      </c>
      <c r="E247" s="4">
        <v>45902</v>
      </c>
      <c r="F247" s="4">
        <v>45905</v>
      </c>
      <c r="G247" s="8">
        <v>3</v>
      </c>
      <c r="H247" t="s">
        <v>20</v>
      </c>
      <c r="I247">
        <v>0</v>
      </c>
      <c r="J247" t="s">
        <v>29</v>
      </c>
      <c r="K247" t="s">
        <v>17</v>
      </c>
      <c r="L247" s="6">
        <v>12128.93</v>
      </c>
      <c r="M247" t="str">
        <f>TEXT(Table1[[#This Row],[Admission_Date]], "mmm")</f>
        <v>Sep</v>
      </c>
      <c r="N247">
        <f>YEAR(Table1[[#This Row],[Admission_Date]])</f>
        <v>2025</v>
      </c>
      <c r="O247" t="str">
        <f>IF(Table1[[#This Row],[Age]]&lt;30, "Young Adult", IF(Table1[[#This Row],[Age]]&lt;60, "Adult", "Senior"))</f>
        <v>Senior</v>
      </c>
    </row>
    <row r="248" spans="1:15" x14ac:dyDescent="0.25">
      <c r="A248" t="s">
        <v>275</v>
      </c>
      <c r="B248">
        <v>28</v>
      </c>
      <c r="C248" t="s">
        <v>24</v>
      </c>
      <c r="D248" t="s">
        <v>34</v>
      </c>
      <c r="E248" s="4">
        <v>45769</v>
      </c>
      <c r="F248" s="4">
        <v>45782</v>
      </c>
      <c r="G248" s="8">
        <v>13</v>
      </c>
      <c r="H248" t="s">
        <v>15</v>
      </c>
      <c r="I248">
        <v>23</v>
      </c>
      <c r="J248" t="s">
        <v>25</v>
      </c>
      <c r="K248" t="s">
        <v>22</v>
      </c>
      <c r="L248" s="6">
        <v>13800.05</v>
      </c>
      <c r="M248" t="str">
        <f>TEXT(Table1[[#This Row],[Admission_Date]], "mmm")</f>
        <v>Apr</v>
      </c>
      <c r="N248">
        <f>YEAR(Table1[[#This Row],[Admission_Date]])</f>
        <v>2025</v>
      </c>
      <c r="O248" t="str">
        <f>IF(Table1[[#This Row],[Age]]&lt;30, "Young Adult", IF(Table1[[#This Row],[Age]]&lt;60, "Adult", "Senior"))</f>
        <v>Young Adult</v>
      </c>
    </row>
    <row r="249" spans="1:15" x14ac:dyDescent="0.25">
      <c r="A249" t="s">
        <v>276</v>
      </c>
      <c r="B249">
        <v>82</v>
      </c>
      <c r="C249" t="s">
        <v>13</v>
      </c>
      <c r="D249" t="s">
        <v>34</v>
      </c>
      <c r="E249" s="4">
        <v>45715</v>
      </c>
      <c r="F249" s="4">
        <v>45716</v>
      </c>
      <c r="G249" s="8">
        <v>1</v>
      </c>
      <c r="H249" t="s">
        <v>20</v>
      </c>
      <c r="I249">
        <v>0</v>
      </c>
      <c r="J249" t="s">
        <v>21</v>
      </c>
      <c r="K249" t="s">
        <v>22</v>
      </c>
      <c r="L249" s="6">
        <v>5257.71</v>
      </c>
      <c r="M249" t="str">
        <f>TEXT(Table1[[#This Row],[Admission_Date]], "mmm")</f>
        <v>Feb</v>
      </c>
      <c r="N249">
        <f>YEAR(Table1[[#This Row],[Admission_Date]])</f>
        <v>2025</v>
      </c>
      <c r="O249" t="str">
        <f>IF(Table1[[#This Row],[Age]]&lt;30, "Young Adult", IF(Table1[[#This Row],[Age]]&lt;60, "Adult", "Senior"))</f>
        <v>Senior</v>
      </c>
    </row>
    <row r="250" spans="1:15" x14ac:dyDescent="0.25">
      <c r="A250" t="s">
        <v>277</v>
      </c>
      <c r="B250">
        <v>44</v>
      </c>
      <c r="C250" t="s">
        <v>24</v>
      </c>
      <c r="D250" t="s">
        <v>19</v>
      </c>
      <c r="E250" s="4">
        <v>45924</v>
      </c>
      <c r="F250" s="4">
        <v>45932</v>
      </c>
      <c r="G250" s="8">
        <v>8</v>
      </c>
      <c r="H250" t="s">
        <v>15</v>
      </c>
      <c r="I250">
        <v>29</v>
      </c>
      <c r="J250" t="s">
        <v>29</v>
      </c>
      <c r="K250" t="s">
        <v>22</v>
      </c>
      <c r="L250" s="6">
        <v>7074.77</v>
      </c>
      <c r="M250" t="str">
        <f>TEXT(Table1[[#This Row],[Admission_Date]], "mmm")</f>
        <v>Sep</v>
      </c>
      <c r="N250">
        <f>YEAR(Table1[[#This Row],[Admission_Date]])</f>
        <v>2025</v>
      </c>
      <c r="O250" t="str">
        <f>IF(Table1[[#This Row],[Age]]&lt;30, "Young Adult", IF(Table1[[#This Row],[Age]]&lt;60, "Adult", "Senior"))</f>
        <v>Adult</v>
      </c>
    </row>
    <row r="251" spans="1:15" x14ac:dyDescent="0.25">
      <c r="A251" t="s">
        <v>278</v>
      </c>
      <c r="B251">
        <v>25</v>
      </c>
      <c r="C251" t="s">
        <v>24</v>
      </c>
      <c r="D251" t="s">
        <v>28</v>
      </c>
      <c r="E251" s="4">
        <v>45920</v>
      </c>
      <c r="F251" s="4">
        <v>45927</v>
      </c>
      <c r="G251" s="8">
        <v>7</v>
      </c>
      <c r="H251" t="s">
        <v>20</v>
      </c>
      <c r="I251">
        <v>0</v>
      </c>
      <c r="J251" t="s">
        <v>25</v>
      </c>
      <c r="K251" t="s">
        <v>17</v>
      </c>
      <c r="L251" s="6">
        <v>815.67</v>
      </c>
      <c r="M251" t="str">
        <f>TEXT(Table1[[#This Row],[Admission_Date]], "mmm")</f>
        <v>Sep</v>
      </c>
      <c r="N251">
        <f>YEAR(Table1[[#This Row],[Admission_Date]])</f>
        <v>2025</v>
      </c>
      <c r="O251" t="str">
        <f>IF(Table1[[#This Row],[Age]]&lt;30, "Young Adult", IF(Table1[[#This Row],[Age]]&lt;60, "Adult", "Senior"))</f>
        <v>Young Adult</v>
      </c>
    </row>
    <row r="252" spans="1:15" x14ac:dyDescent="0.25">
      <c r="A252" t="s">
        <v>279</v>
      </c>
      <c r="B252">
        <v>45</v>
      </c>
      <c r="C252" t="s">
        <v>13</v>
      </c>
      <c r="D252" t="s">
        <v>19</v>
      </c>
      <c r="E252" s="4">
        <v>45788</v>
      </c>
      <c r="F252" s="4">
        <v>45802</v>
      </c>
      <c r="G252" s="8">
        <v>14</v>
      </c>
      <c r="H252" t="s">
        <v>15</v>
      </c>
      <c r="I252">
        <v>14</v>
      </c>
      <c r="J252" t="s">
        <v>25</v>
      </c>
      <c r="K252" t="s">
        <v>17</v>
      </c>
      <c r="L252" s="6">
        <v>1424.52</v>
      </c>
      <c r="M252" t="str">
        <f>TEXT(Table1[[#This Row],[Admission_Date]], "mmm")</f>
        <v>May</v>
      </c>
      <c r="N252">
        <f>YEAR(Table1[[#This Row],[Admission_Date]])</f>
        <v>2025</v>
      </c>
      <c r="O252" t="str">
        <f>IF(Table1[[#This Row],[Age]]&lt;30, "Young Adult", IF(Table1[[#This Row],[Age]]&lt;60, "Adult", "Senior"))</f>
        <v>Adult</v>
      </c>
    </row>
    <row r="253" spans="1:15" x14ac:dyDescent="0.25">
      <c r="A253" t="s">
        <v>280</v>
      </c>
      <c r="B253">
        <v>78</v>
      </c>
      <c r="C253" t="s">
        <v>13</v>
      </c>
      <c r="D253" t="s">
        <v>32</v>
      </c>
      <c r="E253" s="4">
        <v>45688</v>
      </c>
      <c r="F253" s="4">
        <v>45690</v>
      </c>
      <c r="G253" s="8">
        <v>2</v>
      </c>
      <c r="H253" t="s">
        <v>20</v>
      </c>
      <c r="I253">
        <v>0</v>
      </c>
      <c r="J253" t="s">
        <v>29</v>
      </c>
      <c r="K253" t="s">
        <v>22</v>
      </c>
      <c r="L253" s="6">
        <v>11650.09</v>
      </c>
      <c r="M253" t="str">
        <f>TEXT(Table1[[#This Row],[Admission_Date]], "mmm")</f>
        <v>Jan</v>
      </c>
      <c r="N253">
        <f>YEAR(Table1[[#This Row],[Admission_Date]])</f>
        <v>2025</v>
      </c>
      <c r="O253" t="str">
        <f>IF(Table1[[#This Row],[Age]]&lt;30, "Young Adult", IF(Table1[[#This Row],[Age]]&lt;60, "Adult", "Senior"))</f>
        <v>Senior</v>
      </c>
    </row>
    <row r="254" spans="1:15" x14ac:dyDescent="0.25">
      <c r="A254" t="s">
        <v>281</v>
      </c>
      <c r="B254">
        <v>71</v>
      </c>
      <c r="C254" t="s">
        <v>24</v>
      </c>
      <c r="D254" t="s">
        <v>40</v>
      </c>
      <c r="E254" s="4">
        <v>45986</v>
      </c>
      <c r="F254" s="4">
        <v>45998</v>
      </c>
      <c r="G254" s="8">
        <v>12</v>
      </c>
      <c r="H254" t="s">
        <v>20</v>
      </c>
      <c r="I254">
        <v>0</v>
      </c>
      <c r="J254" t="s">
        <v>29</v>
      </c>
      <c r="K254" t="s">
        <v>47</v>
      </c>
      <c r="L254" s="6">
        <v>5946.86</v>
      </c>
      <c r="M254" t="str">
        <f>TEXT(Table1[[#This Row],[Admission_Date]], "mmm")</f>
        <v>Nov</v>
      </c>
      <c r="N254">
        <f>YEAR(Table1[[#This Row],[Admission_Date]])</f>
        <v>2025</v>
      </c>
      <c r="O254" t="str">
        <f>IF(Table1[[#This Row],[Age]]&lt;30, "Young Adult", IF(Table1[[#This Row],[Age]]&lt;60, "Adult", "Senior"))</f>
        <v>Senior</v>
      </c>
    </row>
    <row r="255" spans="1:15" x14ac:dyDescent="0.25">
      <c r="A255" t="s">
        <v>282</v>
      </c>
      <c r="B255">
        <v>35</v>
      </c>
      <c r="C255" t="s">
        <v>24</v>
      </c>
      <c r="D255" t="s">
        <v>19</v>
      </c>
      <c r="E255" s="4">
        <v>46007</v>
      </c>
      <c r="F255" s="4">
        <v>46018</v>
      </c>
      <c r="G255" s="8">
        <v>11</v>
      </c>
      <c r="H255" t="s">
        <v>20</v>
      </c>
      <c r="I255">
        <v>0</v>
      </c>
      <c r="J255" t="s">
        <v>21</v>
      </c>
      <c r="K255" t="s">
        <v>17</v>
      </c>
      <c r="L255" s="6">
        <v>6199.35</v>
      </c>
      <c r="M255" t="str">
        <f>TEXT(Table1[[#This Row],[Admission_Date]], "mmm")</f>
        <v>Dec</v>
      </c>
      <c r="N255">
        <f>YEAR(Table1[[#This Row],[Admission_Date]])</f>
        <v>2025</v>
      </c>
      <c r="O255" t="str">
        <f>IF(Table1[[#This Row],[Age]]&lt;30, "Young Adult", IF(Table1[[#This Row],[Age]]&lt;60, "Adult", "Senior"))</f>
        <v>Adult</v>
      </c>
    </row>
    <row r="256" spans="1:15" x14ac:dyDescent="0.25">
      <c r="A256" t="s">
        <v>283</v>
      </c>
      <c r="B256">
        <v>18</v>
      </c>
      <c r="C256" t="s">
        <v>13</v>
      </c>
      <c r="D256" t="s">
        <v>32</v>
      </c>
      <c r="E256" s="4">
        <v>45723</v>
      </c>
      <c r="F256" s="4">
        <v>45735</v>
      </c>
      <c r="G256" s="8">
        <v>12</v>
      </c>
      <c r="H256" t="s">
        <v>20</v>
      </c>
      <c r="I256">
        <v>0</v>
      </c>
      <c r="J256" t="s">
        <v>29</v>
      </c>
      <c r="K256" t="s">
        <v>17</v>
      </c>
      <c r="L256" s="6">
        <v>10926.86</v>
      </c>
      <c r="M256" t="str">
        <f>TEXT(Table1[[#This Row],[Admission_Date]], "mmm")</f>
        <v>Mar</v>
      </c>
      <c r="N256">
        <f>YEAR(Table1[[#This Row],[Admission_Date]])</f>
        <v>2025</v>
      </c>
      <c r="O256" t="str">
        <f>IF(Table1[[#This Row],[Age]]&lt;30, "Young Adult", IF(Table1[[#This Row],[Age]]&lt;60, "Adult", "Senior"))</f>
        <v>Young Adult</v>
      </c>
    </row>
    <row r="257" spans="1:15" x14ac:dyDescent="0.25">
      <c r="A257" t="s">
        <v>284</v>
      </c>
      <c r="B257">
        <v>47</v>
      </c>
      <c r="C257" t="s">
        <v>13</v>
      </c>
      <c r="D257" t="s">
        <v>40</v>
      </c>
      <c r="E257" s="4">
        <v>45875</v>
      </c>
      <c r="F257" s="4">
        <v>45884</v>
      </c>
      <c r="G257" s="8">
        <v>9</v>
      </c>
      <c r="H257" t="s">
        <v>20</v>
      </c>
      <c r="I257">
        <v>0</v>
      </c>
      <c r="J257" t="s">
        <v>25</v>
      </c>
      <c r="K257" t="s">
        <v>22</v>
      </c>
      <c r="L257" s="6">
        <v>4496.92</v>
      </c>
      <c r="M257" t="str">
        <f>TEXT(Table1[[#This Row],[Admission_Date]], "mmm")</f>
        <v>Aug</v>
      </c>
      <c r="N257">
        <f>YEAR(Table1[[#This Row],[Admission_Date]])</f>
        <v>2025</v>
      </c>
      <c r="O257" t="str">
        <f>IF(Table1[[#This Row],[Age]]&lt;30, "Young Adult", IF(Table1[[#This Row],[Age]]&lt;60, "Adult", "Senior"))</f>
        <v>Adult</v>
      </c>
    </row>
    <row r="258" spans="1:15" x14ac:dyDescent="0.25">
      <c r="A258" t="s">
        <v>285</v>
      </c>
      <c r="B258">
        <v>71</v>
      </c>
      <c r="C258" t="s">
        <v>13</v>
      </c>
      <c r="D258" t="s">
        <v>14</v>
      </c>
      <c r="E258" s="4">
        <v>45715</v>
      </c>
      <c r="F258" s="4">
        <v>45716</v>
      </c>
      <c r="G258" s="8">
        <v>1</v>
      </c>
      <c r="H258" t="s">
        <v>20</v>
      </c>
      <c r="I258">
        <v>0</v>
      </c>
      <c r="J258" t="s">
        <v>21</v>
      </c>
      <c r="K258" t="s">
        <v>22</v>
      </c>
      <c r="L258" s="6">
        <v>1963</v>
      </c>
      <c r="M258" t="str">
        <f>TEXT(Table1[[#This Row],[Admission_Date]], "mmm")</f>
        <v>Feb</v>
      </c>
      <c r="N258">
        <f>YEAR(Table1[[#This Row],[Admission_Date]])</f>
        <v>2025</v>
      </c>
      <c r="O258" t="str">
        <f>IF(Table1[[#This Row],[Age]]&lt;30, "Young Adult", IF(Table1[[#This Row],[Age]]&lt;60, "Adult", "Senior"))</f>
        <v>Senior</v>
      </c>
    </row>
    <row r="259" spans="1:15" x14ac:dyDescent="0.25">
      <c r="A259" t="s">
        <v>286</v>
      </c>
      <c r="B259">
        <v>24</v>
      </c>
      <c r="C259" t="s">
        <v>13</v>
      </c>
      <c r="D259" t="s">
        <v>28</v>
      </c>
      <c r="E259" s="4">
        <v>45675</v>
      </c>
      <c r="F259" s="4">
        <v>45683</v>
      </c>
      <c r="G259" s="8">
        <v>8</v>
      </c>
      <c r="H259" t="s">
        <v>20</v>
      </c>
      <c r="I259">
        <v>0</v>
      </c>
      <c r="J259" t="s">
        <v>16</v>
      </c>
      <c r="K259" t="s">
        <v>47</v>
      </c>
      <c r="L259" s="6">
        <v>6864.96</v>
      </c>
      <c r="M259" t="str">
        <f>TEXT(Table1[[#This Row],[Admission_Date]], "mmm")</f>
        <v>Jan</v>
      </c>
      <c r="N259">
        <f>YEAR(Table1[[#This Row],[Admission_Date]])</f>
        <v>2025</v>
      </c>
      <c r="O259" t="str">
        <f>IF(Table1[[#This Row],[Age]]&lt;30, "Young Adult", IF(Table1[[#This Row],[Age]]&lt;60, "Adult", "Senior"))</f>
        <v>Young Adult</v>
      </c>
    </row>
    <row r="260" spans="1:15" x14ac:dyDescent="0.25">
      <c r="A260" t="s">
        <v>287</v>
      </c>
      <c r="B260">
        <v>25</v>
      </c>
      <c r="C260" t="s">
        <v>13</v>
      </c>
      <c r="D260" t="s">
        <v>34</v>
      </c>
      <c r="E260" s="4">
        <v>45934</v>
      </c>
      <c r="F260" s="4">
        <v>45938</v>
      </c>
      <c r="G260" s="8">
        <v>4</v>
      </c>
      <c r="H260" t="s">
        <v>20</v>
      </c>
      <c r="I260">
        <v>0</v>
      </c>
      <c r="J260" t="s">
        <v>25</v>
      </c>
      <c r="K260" t="s">
        <v>22</v>
      </c>
      <c r="L260" s="6">
        <v>12328.9</v>
      </c>
      <c r="M260" t="str">
        <f>TEXT(Table1[[#This Row],[Admission_Date]], "mmm")</f>
        <v>Oct</v>
      </c>
      <c r="N260">
        <f>YEAR(Table1[[#This Row],[Admission_Date]])</f>
        <v>2025</v>
      </c>
      <c r="O260" t="str">
        <f>IF(Table1[[#This Row],[Age]]&lt;30, "Young Adult", IF(Table1[[#This Row],[Age]]&lt;60, "Adult", "Senior"))</f>
        <v>Young Adult</v>
      </c>
    </row>
    <row r="261" spans="1:15" x14ac:dyDescent="0.25">
      <c r="A261" t="s">
        <v>288</v>
      </c>
      <c r="B261">
        <v>59</v>
      </c>
      <c r="C261" t="s">
        <v>13</v>
      </c>
      <c r="D261" t="s">
        <v>32</v>
      </c>
      <c r="E261" s="4">
        <v>45952</v>
      </c>
      <c r="F261" s="4">
        <v>45958</v>
      </c>
      <c r="G261" s="8">
        <v>6</v>
      </c>
      <c r="H261" t="s">
        <v>20</v>
      </c>
      <c r="I261">
        <v>0</v>
      </c>
      <c r="J261" t="s">
        <v>21</v>
      </c>
      <c r="K261" t="s">
        <v>17</v>
      </c>
      <c r="L261" s="6">
        <v>8058.14</v>
      </c>
      <c r="M261" t="str">
        <f>TEXT(Table1[[#This Row],[Admission_Date]], "mmm")</f>
        <v>Oct</v>
      </c>
      <c r="N261">
        <f>YEAR(Table1[[#This Row],[Admission_Date]])</f>
        <v>2025</v>
      </c>
      <c r="O261" t="str">
        <f>IF(Table1[[#This Row],[Age]]&lt;30, "Young Adult", IF(Table1[[#This Row],[Age]]&lt;60, "Adult", "Senior"))</f>
        <v>Adult</v>
      </c>
    </row>
    <row r="262" spans="1:15" x14ac:dyDescent="0.25">
      <c r="A262" t="s">
        <v>289</v>
      </c>
      <c r="B262">
        <v>89</v>
      </c>
      <c r="C262" t="s">
        <v>13</v>
      </c>
      <c r="D262" t="s">
        <v>28</v>
      </c>
      <c r="E262" s="4">
        <v>45869</v>
      </c>
      <c r="F262" s="4">
        <v>45874</v>
      </c>
      <c r="G262" s="8">
        <v>5</v>
      </c>
      <c r="H262" t="s">
        <v>15</v>
      </c>
      <c r="I262">
        <v>22</v>
      </c>
      <c r="J262" t="s">
        <v>29</v>
      </c>
      <c r="K262" t="s">
        <v>17</v>
      </c>
      <c r="L262" s="6">
        <v>7686.5</v>
      </c>
      <c r="M262" t="str">
        <f>TEXT(Table1[[#This Row],[Admission_Date]], "mmm")</f>
        <v>Jul</v>
      </c>
      <c r="N262">
        <f>YEAR(Table1[[#This Row],[Admission_Date]])</f>
        <v>2025</v>
      </c>
      <c r="O262" t="str">
        <f>IF(Table1[[#This Row],[Age]]&lt;30, "Young Adult", IF(Table1[[#This Row],[Age]]&lt;60, "Adult", "Senior"))</f>
        <v>Senior</v>
      </c>
    </row>
    <row r="263" spans="1:15" x14ac:dyDescent="0.25">
      <c r="A263" t="s">
        <v>290</v>
      </c>
      <c r="B263">
        <v>85</v>
      </c>
      <c r="C263" t="s">
        <v>24</v>
      </c>
      <c r="D263" t="s">
        <v>28</v>
      </c>
      <c r="E263" s="4">
        <v>45834</v>
      </c>
      <c r="F263" s="4">
        <v>45845</v>
      </c>
      <c r="G263" s="8">
        <v>11</v>
      </c>
      <c r="H263" t="s">
        <v>20</v>
      </c>
      <c r="I263">
        <v>0</v>
      </c>
      <c r="J263" t="s">
        <v>29</v>
      </c>
      <c r="K263" t="s">
        <v>47</v>
      </c>
      <c r="L263" s="6">
        <v>2663.66</v>
      </c>
      <c r="M263" t="str">
        <f>TEXT(Table1[[#This Row],[Admission_Date]], "mmm")</f>
        <v>Jun</v>
      </c>
      <c r="N263">
        <f>YEAR(Table1[[#This Row],[Admission_Date]])</f>
        <v>2025</v>
      </c>
      <c r="O263" t="str">
        <f>IF(Table1[[#This Row],[Age]]&lt;30, "Young Adult", IF(Table1[[#This Row],[Age]]&lt;60, "Adult", "Senior"))</f>
        <v>Senior</v>
      </c>
    </row>
    <row r="264" spans="1:15" x14ac:dyDescent="0.25">
      <c r="A264" t="s">
        <v>291</v>
      </c>
      <c r="B264">
        <v>78</v>
      </c>
      <c r="C264" t="s">
        <v>13</v>
      </c>
      <c r="D264" t="s">
        <v>14</v>
      </c>
      <c r="E264" s="4">
        <v>45850</v>
      </c>
      <c r="F264" s="4">
        <v>45853</v>
      </c>
      <c r="G264" s="8">
        <v>3</v>
      </c>
      <c r="H264" t="s">
        <v>20</v>
      </c>
      <c r="I264">
        <v>0</v>
      </c>
      <c r="J264" t="s">
        <v>25</v>
      </c>
      <c r="K264" t="s">
        <v>17</v>
      </c>
      <c r="L264" s="6">
        <v>2593.1</v>
      </c>
      <c r="M264" t="str">
        <f>TEXT(Table1[[#This Row],[Admission_Date]], "mmm")</f>
        <v>Jul</v>
      </c>
      <c r="N264">
        <f>YEAR(Table1[[#This Row],[Admission_Date]])</f>
        <v>2025</v>
      </c>
      <c r="O264" t="str">
        <f>IF(Table1[[#This Row],[Age]]&lt;30, "Young Adult", IF(Table1[[#This Row],[Age]]&lt;60, "Adult", "Senior"))</f>
        <v>Senior</v>
      </c>
    </row>
    <row r="265" spans="1:15" x14ac:dyDescent="0.25">
      <c r="A265" t="s">
        <v>292</v>
      </c>
      <c r="B265">
        <v>71</v>
      </c>
      <c r="C265" t="s">
        <v>13</v>
      </c>
      <c r="D265" t="s">
        <v>40</v>
      </c>
      <c r="E265" s="4">
        <v>45895</v>
      </c>
      <c r="F265" s="4">
        <v>45896</v>
      </c>
      <c r="G265" s="8">
        <v>1</v>
      </c>
      <c r="H265" t="s">
        <v>20</v>
      </c>
      <c r="I265">
        <v>0</v>
      </c>
      <c r="J265" t="s">
        <v>21</v>
      </c>
      <c r="K265" t="s">
        <v>47</v>
      </c>
      <c r="L265" s="6">
        <v>3448.38</v>
      </c>
      <c r="M265" t="str">
        <f>TEXT(Table1[[#This Row],[Admission_Date]], "mmm")</f>
        <v>Aug</v>
      </c>
      <c r="N265">
        <f>YEAR(Table1[[#This Row],[Admission_Date]])</f>
        <v>2025</v>
      </c>
      <c r="O265" t="str">
        <f>IF(Table1[[#This Row],[Age]]&lt;30, "Young Adult", IF(Table1[[#This Row],[Age]]&lt;60, "Adult", "Senior"))</f>
        <v>Senior</v>
      </c>
    </row>
    <row r="266" spans="1:15" x14ac:dyDescent="0.25">
      <c r="A266" t="s">
        <v>293</v>
      </c>
      <c r="B266">
        <v>65</v>
      </c>
      <c r="C266" t="s">
        <v>13</v>
      </c>
      <c r="D266" t="s">
        <v>34</v>
      </c>
      <c r="E266" s="4">
        <v>45989</v>
      </c>
      <c r="F266" s="4">
        <v>45991</v>
      </c>
      <c r="G266" s="8">
        <v>2</v>
      </c>
      <c r="H266" t="s">
        <v>20</v>
      </c>
      <c r="I266">
        <v>0</v>
      </c>
      <c r="J266" t="s">
        <v>21</v>
      </c>
      <c r="K266" t="s">
        <v>22</v>
      </c>
      <c r="L266" s="6">
        <v>4392.6899999999996</v>
      </c>
      <c r="M266" t="str">
        <f>TEXT(Table1[[#This Row],[Admission_Date]], "mmm")</f>
        <v>Nov</v>
      </c>
      <c r="N266">
        <f>YEAR(Table1[[#This Row],[Admission_Date]])</f>
        <v>2025</v>
      </c>
      <c r="O266" t="str">
        <f>IF(Table1[[#This Row],[Age]]&lt;30, "Young Adult", IF(Table1[[#This Row],[Age]]&lt;60, "Adult", "Senior"))</f>
        <v>Senior</v>
      </c>
    </row>
    <row r="267" spans="1:15" x14ac:dyDescent="0.25">
      <c r="A267" t="s">
        <v>294</v>
      </c>
      <c r="B267">
        <v>27</v>
      </c>
      <c r="C267" t="s">
        <v>13</v>
      </c>
      <c r="D267" t="s">
        <v>34</v>
      </c>
      <c r="E267" s="4">
        <v>46002</v>
      </c>
      <c r="F267" s="4">
        <v>46012</v>
      </c>
      <c r="G267" s="8">
        <v>10</v>
      </c>
      <c r="H267" t="s">
        <v>20</v>
      </c>
      <c r="I267">
        <v>0</v>
      </c>
      <c r="J267" t="s">
        <v>21</v>
      </c>
      <c r="K267" t="s">
        <v>47</v>
      </c>
      <c r="L267" s="6">
        <v>3528.89</v>
      </c>
      <c r="M267" t="str">
        <f>TEXT(Table1[[#This Row],[Admission_Date]], "mmm")</f>
        <v>Dec</v>
      </c>
      <c r="N267">
        <f>YEAR(Table1[[#This Row],[Admission_Date]])</f>
        <v>2025</v>
      </c>
      <c r="O267" t="str">
        <f>IF(Table1[[#This Row],[Age]]&lt;30, "Young Adult", IF(Table1[[#This Row],[Age]]&lt;60, "Adult", "Senior"))</f>
        <v>Young Adult</v>
      </c>
    </row>
    <row r="268" spans="1:15" x14ac:dyDescent="0.25">
      <c r="A268" t="s">
        <v>295</v>
      </c>
      <c r="B268">
        <v>19</v>
      </c>
      <c r="C268" t="s">
        <v>13</v>
      </c>
      <c r="D268" t="s">
        <v>14</v>
      </c>
      <c r="E268" s="4">
        <v>45828</v>
      </c>
      <c r="F268" s="4">
        <v>45833</v>
      </c>
      <c r="G268" s="8">
        <v>5</v>
      </c>
      <c r="H268" t="s">
        <v>20</v>
      </c>
      <c r="I268">
        <v>0</v>
      </c>
      <c r="J268" t="s">
        <v>16</v>
      </c>
      <c r="K268" t="s">
        <v>17</v>
      </c>
      <c r="L268" s="6">
        <v>14993.79</v>
      </c>
      <c r="M268" t="str">
        <f>TEXT(Table1[[#This Row],[Admission_Date]], "mmm")</f>
        <v>Jun</v>
      </c>
      <c r="N268">
        <f>YEAR(Table1[[#This Row],[Admission_Date]])</f>
        <v>2025</v>
      </c>
      <c r="O268" t="str">
        <f>IF(Table1[[#This Row],[Age]]&lt;30, "Young Adult", IF(Table1[[#This Row],[Age]]&lt;60, "Adult", "Senior"))</f>
        <v>Young Adult</v>
      </c>
    </row>
    <row r="269" spans="1:15" x14ac:dyDescent="0.25">
      <c r="A269" t="s">
        <v>296</v>
      </c>
      <c r="B269">
        <v>44</v>
      </c>
      <c r="C269" t="s">
        <v>24</v>
      </c>
      <c r="D269" t="s">
        <v>14</v>
      </c>
      <c r="E269" s="4">
        <v>45903</v>
      </c>
      <c r="F269" s="4">
        <v>45907</v>
      </c>
      <c r="G269" s="8">
        <v>4</v>
      </c>
      <c r="H269" t="s">
        <v>20</v>
      </c>
      <c r="I269">
        <v>0</v>
      </c>
      <c r="J269" t="s">
        <v>25</v>
      </c>
      <c r="K269" t="s">
        <v>47</v>
      </c>
      <c r="L269" s="6">
        <v>6019.6</v>
      </c>
      <c r="M269" t="str">
        <f>TEXT(Table1[[#This Row],[Admission_Date]], "mmm")</f>
        <v>Sep</v>
      </c>
      <c r="N269">
        <f>YEAR(Table1[[#This Row],[Admission_Date]])</f>
        <v>2025</v>
      </c>
      <c r="O269" t="str">
        <f>IF(Table1[[#This Row],[Age]]&lt;30, "Young Adult", IF(Table1[[#This Row],[Age]]&lt;60, "Adult", "Senior"))</f>
        <v>Adult</v>
      </c>
    </row>
    <row r="270" spans="1:15" x14ac:dyDescent="0.25">
      <c r="A270" t="s">
        <v>297</v>
      </c>
      <c r="B270">
        <v>51</v>
      </c>
      <c r="C270" t="s">
        <v>24</v>
      </c>
      <c r="D270" t="s">
        <v>34</v>
      </c>
      <c r="E270" s="4">
        <v>45931</v>
      </c>
      <c r="F270" s="4">
        <v>45942</v>
      </c>
      <c r="G270" s="8">
        <v>11</v>
      </c>
      <c r="H270" t="s">
        <v>20</v>
      </c>
      <c r="I270">
        <v>0</v>
      </c>
      <c r="J270" t="s">
        <v>29</v>
      </c>
      <c r="K270" t="s">
        <v>47</v>
      </c>
      <c r="L270" s="6">
        <v>1929.82</v>
      </c>
      <c r="M270" t="str">
        <f>TEXT(Table1[[#This Row],[Admission_Date]], "mmm")</f>
        <v>Oct</v>
      </c>
      <c r="N270">
        <f>YEAR(Table1[[#This Row],[Admission_Date]])</f>
        <v>2025</v>
      </c>
      <c r="O270" t="str">
        <f>IF(Table1[[#This Row],[Age]]&lt;30, "Young Adult", IF(Table1[[#This Row],[Age]]&lt;60, "Adult", "Senior"))</f>
        <v>Adult</v>
      </c>
    </row>
    <row r="271" spans="1:15" x14ac:dyDescent="0.25">
      <c r="A271" t="s">
        <v>298</v>
      </c>
      <c r="B271">
        <v>44</v>
      </c>
      <c r="C271" t="s">
        <v>24</v>
      </c>
      <c r="D271" t="s">
        <v>32</v>
      </c>
      <c r="E271" s="4">
        <v>45898</v>
      </c>
      <c r="F271" s="4">
        <v>45911</v>
      </c>
      <c r="G271" s="8">
        <v>13</v>
      </c>
      <c r="H271" t="s">
        <v>20</v>
      </c>
      <c r="I271">
        <v>0</v>
      </c>
      <c r="J271" t="s">
        <v>29</v>
      </c>
      <c r="K271" t="s">
        <v>22</v>
      </c>
      <c r="L271" s="6">
        <v>8656.61</v>
      </c>
      <c r="M271" t="str">
        <f>TEXT(Table1[[#This Row],[Admission_Date]], "mmm")</f>
        <v>Aug</v>
      </c>
      <c r="N271">
        <f>YEAR(Table1[[#This Row],[Admission_Date]])</f>
        <v>2025</v>
      </c>
      <c r="O271" t="str">
        <f>IF(Table1[[#This Row],[Age]]&lt;30, "Young Adult", IF(Table1[[#This Row],[Age]]&lt;60, "Adult", "Senior"))</f>
        <v>Adult</v>
      </c>
    </row>
    <row r="272" spans="1:15" x14ac:dyDescent="0.25">
      <c r="A272" t="s">
        <v>299</v>
      </c>
      <c r="B272">
        <v>51</v>
      </c>
      <c r="C272" t="s">
        <v>24</v>
      </c>
      <c r="D272" t="s">
        <v>32</v>
      </c>
      <c r="E272" s="4">
        <v>45771</v>
      </c>
      <c r="F272" s="4">
        <v>45783</v>
      </c>
      <c r="G272" s="8">
        <v>12</v>
      </c>
      <c r="H272" t="s">
        <v>15</v>
      </c>
      <c r="I272">
        <v>5</v>
      </c>
      <c r="J272" t="s">
        <v>21</v>
      </c>
      <c r="K272" t="s">
        <v>47</v>
      </c>
      <c r="L272" s="6">
        <v>3835.27</v>
      </c>
      <c r="M272" t="str">
        <f>TEXT(Table1[[#This Row],[Admission_Date]], "mmm")</f>
        <v>Apr</v>
      </c>
      <c r="N272">
        <f>YEAR(Table1[[#This Row],[Admission_Date]])</f>
        <v>2025</v>
      </c>
      <c r="O272" t="str">
        <f>IF(Table1[[#This Row],[Age]]&lt;30, "Young Adult", IF(Table1[[#This Row],[Age]]&lt;60, "Adult", "Senior"))</f>
        <v>Adult</v>
      </c>
    </row>
    <row r="273" spans="1:15" x14ac:dyDescent="0.25">
      <c r="A273" t="s">
        <v>300</v>
      </c>
      <c r="B273">
        <v>88</v>
      </c>
      <c r="C273" t="s">
        <v>24</v>
      </c>
      <c r="D273" t="s">
        <v>32</v>
      </c>
      <c r="E273" s="4">
        <v>45949</v>
      </c>
      <c r="F273" s="4">
        <v>45963</v>
      </c>
      <c r="G273" s="8">
        <v>14</v>
      </c>
      <c r="H273" t="s">
        <v>15</v>
      </c>
      <c r="I273">
        <v>25</v>
      </c>
      <c r="J273" t="s">
        <v>29</v>
      </c>
      <c r="K273" t="s">
        <v>17</v>
      </c>
      <c r="L273" s="6">
        <v>9804.57</v>
      </c>
      <c r="M273" t="str">
        <f>TEXT(Table1[[#This Row],[Admission_Date]], "mmm")</f>
        <v>Oct</v>
      </c>
      <c r="N273">
        <f>YEAR(Table1[[#This Row],[Admission_Date]])</f>
        <v>2025</v>
      </c>
      <c r="O273" t="str">
        <f>IF(Table1[[#This Row],[Age]]&lt;30, "Young Adult", IF(Table1[[#This Row],[Age]]&lt;60, "Adult", "Senior"))</f>
        <v>Senior</v>
      </c>
    </row>
    <row r="274" spans="1:15" x14ac:dyDescent="0.25">
      <c r="A274" t="s">
        <v>301</v>
      </c>
      <c r="B274">
        <v>63</v>
      </c>
      <c r="C274" t="s">
        <v>13</v>
      </c>
      <c r="D274" t="s">
        <v>14</v>
      </c>
      <c r="E274" s="4">
        <v>45909</v>
      </c>
      <c r="F274" s="4">
        <v>45917</v>
      </c>
      <c r="G274" s="8">
        <v>8</v>
      </c>
      <c r="H274" t="s">
        <v>15</v>
      </c>
      <c r="I274">
        <v>24</v>
      </c>
      <c r="J274" t="s">
        <v>29</v>
      </c>
      <c r="K274" t="s">
        <v>22</v>
      </c>
      <c r="L274" s="6">
        <v>13795.04</v>
      </c>
      <c r="M274" t="str">
        <f>TEXT(Table1[[#This Row],[Admission_Date]], "mmm")</f>
        <v>Sep</v>
      </c>
      <c r="N274">
        <f>YEAR(Table1[[#This Row],[Admission_Date]])</f>
        <v>2025</v>
      </c>
      <c r="O274" t="str">
        <f>IF(Table1[[#This Row],[Age]]&lt;30, "Young Adult", IF(Table1[[#This Row],[Age]]&lt;60, "Adult", "Senior"))</f>
        <v>Senior</v>
      </c>
    </row>
    <row r="275" spans="1:15" x14ac:dyDescent="0.25">
      <c r="A275" t="s">
        <v>302</v>
      </c>
      <c r="B275">
        <v>85</v>
      </c>
      <c r="C275" t="s">
        <v>13</v>
      </c>
      <c r="D275" t="s">
        <v>19</v>
      </c>
      <c r="E275" s="4">
        <v>45935</v>
      </c>
      <c r="F275" s="4">
        <v>45946</v>
      </c>
      <c r="G275" s="8">
        <v>11</v>
      </c>
      <c r="H275" t="s">
        <v>20</v>
      </c>
      <c r="I275">
        <v>0</v>
      </c>
      <c r="J275" t="s">
        <v>16</v>
      </c>
      <c r="K275" t="s">
        <v>22</v>
      </c>
      <c r="L275" s="6">
        <v>6479.69</v>
      </c>
      <c r="M275" t="str">
        <f>TEXT(Table1[[#This Row],[Admission_Date]], "mmm")</f>
        <v>Oct</v>
      </c>
      <c r="N275">
        <f>YEAR(Table1[[#This Row],[Admission_Date]])</f>
        <v>2025</v>
      </c>
      <c r="O275" t="str">
        <f>IF(Table1[[#This Row],[Age]]&lt;30, "Young Adult", IF(Table1[[#This Row],[Age]]&lt;60, "Adult", "Senior"))</f>
        <v>Senior</v>
      </c>
    </row>
    <row r="276" spans="1:15" x14ac:dyDescent="0.25">
      <c r="A276" t="s">
        <v>303</v>
      </c>
      <c r="B276">
        <v>37</v>
      </c>
      <c r="C276" t="s">
        <v>13</v>
      </c>
      <c r="D276" t="s">
        <v>14</v>
      </c>
      <c r="E276" s="4">
        <v>45980</v>
      </c>
      <c r="F276" s="4">
        <v>45984</v>
      </c>
      <c r="G276" s="8">
        <v>4</v>
      </c>
      <c r="H276" t="s">
        <v>15</v>
      </c>
      <c r="I276">
        <v>17</v>
      </c>
      <c r="J276" t="s">
        <v>29</v>
      </c>
      <c r="K276" t="s">
        <v>47</v>
      </c>
      <c r="L276" s="6">
        <v>1376.53</v>
      </c>
      <c r="M276" t="str">
        <f>TEXT(Table1[[#This Row],[Admission_Date]], "mmm")</f>
        <v>Nov</v>
      </c>
      <c r="N276">
        <f>YEAR(Table1[[#This Row],[Admission_Date]])</f>
        <v>2025</v>
      </c>
      <c r="O276" t="str">
        <f>IF(Table1[[#This Row],[Age]]&lt;30, "Young Adult", IF(Table1[[#This Row],[Age]]&lt;60, "Adult", "Senior"))</f>
        <v>Adult</v>
      </c>
    </row>
    <row r="277" spans="1:15" x14ac:dyDescent="0.25">
      <c r="A277" t="s">
        <v>304</v>
      </c>
      <c r="B277">
        <v>79</v>
      </c>
      <c r="C277" t="s">
        <v>24</v>
      </c>
      <c r="D277" t="s">
        <v>19</v>
      </c>
      <c r="E277" s="4">
        <v>45984</v>
      </c>
      <c r="F277" s="4">
        <v>45995</v>
      </c>
      <c r="G277" s="8">
        <v>11</v>
      </c>
      <c r="H277" t="s">
        <v>20</v>
      </c>
      <c r="I277">
        <v>0</v>
      </c>
      <c r="J277" t="s">
        <v>16</v>
      </c>
      <c r="K277" t="s">
        <v>17</v>
      </c>
      <c r="L277" s="6">
        <v>8498.83</v>
      </c>
      <c r="M277" t="str">
        <f>TEXT(Table1[[#This Row],[Admission_Date]], "mmm")</f>
        <v>Nov</v>
      </c>
      <c r="N277">
        <f>YEAR(Table1[[#This Row],[Admission_Date]])</f>
        <v>2025</v>
      </c>
      <c r="O277" t="str">
        <f>IF(Table1[[#This Row],[Age]]&lt;30, "Young Adult", IF(Table1[[#This Row],[Age]]&lt;60, "Adult", "Senior"))</f>
        <v>Senior</v>
      </c>
    </row>
    <row r="278" spans="1:15" x14ac:dyDescent="0.25">
      <c r="A278" t="s">
        <v>305</v>
      </c>
      <c r="B278">
        <v>53</v>
      </c>
      <c r="C278" t="s">
        <v>24</v>
      </c>
      <c r="D278" t="s">
        <v>19</v>
      </c>
      <c r="E278" s="4">
        <v>45664</v>
      </c>
      <c r="F278" s="4">
        <v>45665</v>
      </c>
      <c r="G278" s="8">
        <v>1</v>
      </c>
      <c r="H278" t="s">
        <v>20</v>
      </c>
      <c r="I278">
        <v>0</v>
      </c>
      <c r="J278" t="s">
        <v>29</v>
      </c>
      <c r="K278" t="s">
        <v>22</v>
      </c>
      <c r="L278" s="6">
        <v>2051.7399999999998</v>
      </c>
      <c r="M278" t="str">
        <f>TEXT(Table1[[#This Row],[Admission_Date]], "mmm")</f>
        <v>Jan</v>
      </c>
      <c r="N278">
        <f>YEAR(Table1[[#This Row],[Admission_Date]])</f>
        <v>2025</v>
      </c>
      <c r="O278" t="str">
        <f>IF(Table1[[#This Row],[Age]]&lt;30, "Young Adult", IF(Table1[[#This Row],[Age]]&lt;60, "Adult", "Senior"))</f>
        <v>Adult</v>
      </c>
    </row>
    <row r="279" spans="1:15" x14ac:dyDescent="0.25">
      <c r="A279" t="s">
        <v>306</v>
      </c>
      <c r="B279">
        <v>42</v>
      </c>
      <c r="C279" t="s">
        <v>24</v>
      </c>
      <c r="D279" t="s">
        <v>32</v>
      </c>
      <c r="E279" s="4">
        <v>45707</v>
      </c>
      <c r="F279" s="4">
        <v>45716</v>
      </c>
      <c r="G279" s="8">
        <v>9</v>
      </c>
      <c r="H279" t="s">
        <v>15</v>
      </c>
      <c r="I279">
        <v>9</v>
      </c>
      <c r="J279" t="s">
        <v>29</v>
      </c>
      <c r="K279" t="s">
        <v>22</v>
      </c>
      <c r="L279" s="6">
        <v>5909.25</v>
      </c>
      <c r="M279" t="str">
        <f>TEXT(Table1[[#This Row],[Admission_Date]], "mmm")</f>
        <v>Feb</v>
      </c>
      <c r="N279">
        <f>YEAR(Table1[[#This Row],[Admission_Date]])</f>
        <v>2025</v>
      </c>
      <c r="O279" t="str">
        <f>IF(Table1[[#This Row],[Age]]&lt;30, "Young Adult", IF(Table1[[#This Row],[Age]]&lt;60, "Adult", "Senior"))</f>
        <v>Adult</v>
      </c>
    </row>
    <row r="280" spans="1:15" x14ac:dyDescent="0.25">
      <c r="A280" t="s">
        <v>307</v>
      </c>
      <c r="B280">
        <v>46</v>
      </c>
      <c r="C280" t="s">
        <v>24</v>
      </c>
      <c r="D280" t="s">
        <v>28</v>
      </c>
      <c r="E280" s="4">
        <v>45865</v>
      </c>
      <c r="F280" s="4">
        <v>45873</v>
      </c>
      <c r="G280" s="8">
        <v>8</v>
      </c>
      <c r="H280" t="s">
        <v>20</v>
      </c>
      <c r="I280">
        <v>0</v>
      </c>
      <c r="J280" t="s">
        <v>16</v>
      </c>
      <c r="K280" t="s">
        <v>17</v>
      </c>
      <c r="L280" s="6">
        <v>14879.28</v>
      </c>
      <c r="M280" t="str">
        <f>TEXT(Table1[[#This Row],[Admission_Date]], "mmm")</f>
        <v>Jul</v>
      </c>
      <c r="N280">
        <f>YEAR(Table1[[#This Row],[Admission_Date]])</f>
        <v>2025</v>
      </c>
      <c r="O280" t="str">
        <f>IF(Table1[[#This Row],[Age]]&lt;30, "Young Adult", IF(Table1[[#This Row],[Age]]&lt;60, "Adult", "Senior"))</f>
        <v>Adult</v>
      </c>
    </row>
    <row r="281" spans="1:15" x14ac:dyDescent="0.25">
      <c r="A281" t="s">
        <v>308</v>
      </c>
      <c r="B281">
        <v>69</v>
      </c>
      <c r="C281" t="s">
        <v>24</v>
      </c>
      <c r="D281" t="s">
        <v>40</v>
      </c>
      <c r="E281" s="4">
        <v>45990</v>
      </c>
      <c r="F281" s="4">
        <v>46003</v>
      </c>
      <c r="G281" s="8">
        <v>13</v>
      </c>
      <c r="H281" t="s">
        <v>15</v>
      </c>
      <c r="I281">
        <v>18</v>
      </c>
      <c r="J281" t="s">
        <v>29</v>
      </c>
      <c r="K281" t="s">
        <v>22</v>
      </c>
      <c r="L281" s="6">
        <v>9732.85</v>
      </c>
      <c r="M281" t="str">
        <f>TEXT(Table1[[#This Row],[Admission_Date]], "mmm")</f>
        <v>Nov</v>
      </c>
      <c r="N281">
        <f>YEAR(Table1[[#This Row],[Admission_Date]])</f>
        <v>2025</v>
      </c>
      <c r="O281" t="str">
        <f>IF(Table1[[#This Row],[Age]]&lt;30, "Young Adult", IF(Table1[[#This Row],[Age]]&lt;60, "Adult", "Senior"))</f>
        <v>Senior</v>
      </c>
    </row>
    <row r="282" spans="1:15" x14ac:dyDescent="0.25">
      <c r="A282" t="s">
        <v>309</v>
      </c>
      <c r="B282">
        <v>73</v>
      </c>
      <c r="C282" t="s">
        <v>24</v>
      </c>
      <c r="D282" t="s">
        <v>34</v>
      </c>
      <c r="E282" s="4">
        <v>46017</v>
      </c>
      <c r="F282" s="4">
        <v>46020</v>
      </c>
      <c r="G282" s="8">
        <v>3</v>
      </c>
      <c r="H282" t="s">
        <v>15</v>
      </c>
      <c r="I282">
        <v>28</v>
      </c>
      <c r="J282" t="s">
        <v>16</v>
      </c>
      <c r="K282" t="s">
        <v>17</v>
      </c>
      <c r="L282" s="6">
        <v>13827.71</v>
      </c>
      <c r="M282" t="str">
        <f>TEXT(Table1[[#This Row],[Admission_Date]], "mmm")</f>
        <v>Dec</v>
      </c>
      <c r="N282">
        <f>YEAR(Table1[[#This Row],[Admission_Date]])</f>
        <v>2025</v>
      </c>
      <c r="O282" t="str">
        <f>IF(Table1[[#This Row],[Age]]&lt;30, "Young Adult", IF(Table1[[#This Row],[Age]]&lt;60, "Adult", "Senior"))</f>
        <v>Senior</v>
      </c>
    </row>
    <row r="283" spans="1:15" x14ac:dyDescent="0.25">
      <c r="A283" t="s">
        <v>310</v>
      </c>
      <c r="B283">
        <v>90</v>
      </c>
      <c r="C283" t="s">
        <v>24</v>
      </c>
      <c r="D283" t="s">
        <v>32</v>
      </c>
      <c r="E283" s="4">
        <v>45775</v>
      </c>
      <c r="F283" s="4">
        <v>45779</v>
      </c>
      <c r="G283" s="8">
        <v>4</v>
      </c>
      <c r="H283" t="s">
        <v>20</v>
      </c>
      <c r="I283">
        <v>0</v>
      </c>
      <c r="J283" t="s">
        <v>16</v>
      </c>
      <c r="K283" t="s">
        <v>22</v>
      </c>
      <c r="L283" s="6">
        <v>10424.219999999999</v>
      </c>
      <c r="M283" t="str">
        <f>TEXT(Table1[[#This Row],[Admission_Date]], "mmm")</f>
        <v>Apr</v>
      </c>
      <c r="N283">
        <f>YEAR(Table1[[#This Row],[Admission_Date]])</f>
        <v>2025</v>
      </c>
      <c r="O283" t="str">
        <f>IF(Table1[[#This Row],[Age]]&lt;30, "Young Adult", IF(Table1[[#This Row],[Age]]&lt;60, "Adult", "Senior"))</f>
        <v>Senior</v>
      </c>
    </row>
    <row r="284" spans="1:15" x14ac:dyDescent="0.25">
      <c r="A284" t="s">
        <v>311</v>
      </c>
      <c r="B284">
        <v>22</v>
      </c>
      <c r="C284" t="s">
        <v>13</v>
      </c>
      <c r="D284" t="s">
        <v>32</v>
      </c>
      <c r="E284" s="4">
        <v>45801</v>
      </c>
      <c r="F284" s="4">
        <v>45810</v>
      </c>
      <c r="G284" s="8">
        <v>9</v>
      </c>
      <c r="H284" t="s">
        <v>20</v>
      </c>
      <c r="I284">
        <v>0</v>
      </c>
      <c r="J284" t="s">
        <v>16</v>
      </c>
      <c r="K284" t="s">
        <v>22</v>
      </c>
      <c r="L284" s="6">
        <v>9012.02</v>
      </c>
      <c r="M284" t="str">
        <f>TEXT(Table1[[#This Row],[Admission_Date]], "mmm")</f>
        <v>May</v>
      </c>
      <c r="N284">
        <f>YEAR(Table1[[#This Row],[Admission_Date]])</f>
        <v>2025</v>
      </c>
      <c r="O284" t="str">
        <f>IF(Table1[[#This Row],[Age]]&lt;30, "Young Adult", IF(Table1[[#This Row],[Age]]&lt;60, "Adult", "Senior"))</f>
        <v>Young Adult</v>
      </c>
    </row>
    <row r="285" spans="1:15" x14ac:dyDescent="0.25">
      <c r="A285" t="s">
        <v>312</v>
      </c>
      <c r="B285">
        <v>27</v>
      </c>
      <c r="C285" t="s">
        <v>24</v>
      </c>
      <c r="D285" t="s">
        <v>14</v>
      </c>
      <c r="E285" s="4">
        <v>46022</v>
      </c>
      <c r="F285" s="4">
        <v>46036</v>
      </c>
      <c r="G285" s="8">
        <v>14</v>
      </c>
      <c r="H285" t="s">
        <v>20</v>
      </c>
      <c r="I285">
        <v>0</v>
      </c>
      <c r="J285" t="s">
        <v>21</v>
      </c>
      <c r="K285" t="s">
        <v>17</v>
      </c>
      <c r="L285" s="6">
        <v>12602.43</v>
      </c>
      <c r="M285" t="str">
        <f>TEXT(Table1[[#This Row],[Admission_Date]], "mmm")</f>
        <v>Dec</v>
      </c>
      <c r="N285">
        <f>YEAR(Table1[[#This Row],[Admission_Date]])</f>
        <v>2025</v>
      </c>
      <c r="O285" t="str">
        <f>IF(Table1[[#This Row],[Age]]&lt;30, "Young Adult", IF(Table1[[#This Row],[Age]]&lt;60, "Adult", "Senior"))</f>
        <v>Young Adult</v>
      </c>
    </row>
    <row r="286" spans="1:15" x14ac:dyDescent="0.25">
      <c r="A286" t="s">
        <v>313</v>
      </c>
      <c r="B286">
        <v>60</v>
      </c>
      <c r="C286" t="s">
        <v>24</v>
      </c>
      <c r="D286" t="s">
        <v>28</v>
      </c>
      <c r="E286" s="4">
        <v>45857</v>
      </c>
      <c r="F286" s="4">
        <v>45868</v>
      </c>
      <c r="G286" s="8">
        <v>11</v>
      </c>
      <c r="H286" t="s">
        <v>20</v>
      </c>
      <c r="I286">
        <v>0</v>
      </c>
      <c r="J286" t="s">
        <v>21</v>
      </c>
      <c r="K286" t="s">
        <v>17</v>
      </c>
      <c r="L286" s="6">
        <v>11000.37</v>
      </c>
      <c r="M286" t="str">
        <f>TEXT(Table1[[#This Row],[Admission_Date]], "mmm")</f>
        <v>Jul</v>
      </c>
      <c r="N286">
        <f>YEAR(Table1[[#This Row],[Admission_Date]])</f>
        <v>2025</v>
      </c>
      <c r="O286" t="str">
        <f>IF(Table1[[#This Row],[Age]]&lt;30, "Young Adult", IF(Table1[[#This Row],[Age]]&lt;60, "Adult", "Senior"))</f>
        <v>Senior</v>
      </c>
    </row>
    <row r="287" spans="1:15" x14ac:dyDescent="0.25">
      <c r="A287" t="s">
        <v>314</v>
      </c>
      <c r="B287">
        <v>24</v>
      </c>
      <c r="C287" t="s">
        <v>13</v>
      </c>
      <c r="D287" t="s">
        <v>40</v>
      </c>
      <c r="E287" s="4">
        <v>45914</v>
      </c>
      <c r="F287" s="4">
        <v>45926</v>
      </c>
      <c r="G287" s="8">
        <v>12</v>
      </c>
      <c r="H287" t="s">
        <v>20</v>
      </c>
      <c r="I287">
        <v>0</v>
      </c>
      <c r="J287" t="s">
        <v>21</v>
      </c>
      <c r="K287" t="s">
        <v>22</v>
      </c>
      <c r="L287" s="6">
        <v>5438.59</v>
      </c>
      <c r="M287" t="str">
        <f>TEXT(Table1[[#This Row],[Admission_Date]], "mmm")</f>
        <v>Sep</v>
      </c>
      <c r="N287">
        <f>YEAR(Table1[[#This Row],[Admission_Date]])</f>
        <v>2025</v>
      </c>
      <c r="O287" t="str">
        <f>IF(Table1[[#This Row],[Age]]&lt;30, "Young Adult", IF(Table1[[#This Row],[Age]]&lt;60, "Adult", "Senior"))</f>
        <v>Young Adult</v>
      </c>
    </row>
    <row r="288" spans="1:15" x14ac:dyDescent="0.25">
      <c r="A288" t="s">
        <v>315</v>
      </c>
      <c r="B288">
        <v>59</v>
      </c>
      <c r="C288" t="s">
        <v>13</v>
      </c>
      <c r="D288" t="s">
        <v>28</v>
      </c>
      <c r="E288" s="4">
        <v>45972</v>
      </c>
      <c r="F288" s="4">
        <v>45982</v>
      </c>
      <c r="G288" s="8">
        <v>10</v>
      </c>
      <c r="H288" t="s">
        <v>20</v>
      </c>
      <c r="I288">
        <v>0</v>
      </c>
      <c r="J288" t="s">
        <v>25</v>
      </c>
      <c r="K288" t="s">
        <v>47</v>
      </c>
      <c r="L288" s="6">
        <v>7613.75</v>
      </c>
      <c r="M288" t="str">
        <f>TEXT(Table1[[#This Row],[Admission_Date]], "mmm")</f>
        <v>Nov</v>
      </c>
      <c r="N288">
        <f>YEAR(Table1[[#This Row],[Admission_Date]])</f>
        <v>2025</v>
      </c>
      <c r="O288" t="str">
        <f>IF(Table1[[#This Row],[Age]]&lt;30, "Young Adult", IF(Table1[[#This Row],[Age]]&lt;60, "Adult", "Senior"))</f>
        <v>Adult</v>
      </c>
    </row>
    <row r="289" spans="1:15" x14ac:dyDescent="0.25">
      <c r="A289" t="s">
        <v>316</v>
      </c>
      <c r="B289">
        <v>73</v>
      </c>
      <c r="C289" t="s">
        <v>13</v>
      </c>
      <c r="D289" t="s">
        <v>28</v>
      </c>
      <c r="E289" s="4">
        <v>45840</v>
      </c>
      <c r="F289" s="4">
        <v>45849</v>
      </c>
      <c r="G289" s="8">
        <v>9</v>
      </c>
      <c r="H289" t="s">
        <v>20</v>
      </c>
      <c r="I289">
        <v>0</v>
      </c>
      <c r="J289" t="s">
        <v>29</v>
      </c>
      <c r="K289" t="s">
        <v>22</v>
      </c>
      <c r="L289" s="6">
        <v>11696.43</v>
      </c>
      <c r="M289" t="str">
        <f>TEXT(Table1[[#This Row],[Admission_Date]], "mmm")</f>
        <v>Jul</v>
      </c>
      <c r="N289">
        <f>YEAR(Table1[[#This Row],[Admission_Date]])</f>
        <v>2025</v>
      </c>
      <c r="O289" t="str">
        <f>IF(Table1[[#This Row],[Age]]&lt;30, "Young Adult", IF(Table1[[#This Row],[Age]]&lt;60, "Adult", "Senior"))</f>
        <v>Senior</v>
      </c>
    </row>
    <row r="290" spans="1:15" x14ac:dyDescent="0.25">
      <c r="A290" t="s">
        <v>317</v>
      </c>
      <c r="B290">
        <v>27</v>
      </c>
      <c r="C290" t="s">
        <v>13</v>
      </c>
      <c r="D290" t="s">
        <v>32</v>
      </c>
      <c r="E290" s="4">
        <v>45809</v>
      </c>
      <c r="F290" s="4">
        <v>45822</v>
      </c>
      <c r="G290" s="8">
        <v>13</v>
      </c>
      <c r="H290" t="s">
        <v>15</v>
      </c>
      <c r="I290">
        <v>5</v>
      </c>
      <c r="J290" t="s">
        <v>29</v>
      </c>
      <c r="K290" t="s">
        <v>17</v>
      </c>
      <c r="L290" s="6">
        <v>11866.41</v>
      </c>
      <c r="M290" t="str">
        <f>TEXT(Table1[[#This Row],[Admission_Date]], "mmm")</f>
        <v>Jun</v>
      </c>
      <c r="N290">
        <f>YEAR(Table1[[#This Row],[Admission_Date]])</f>
        <v>2025</v>
      </c>
      <c r="O290" t="str">
        <f>IF(Table1[[#This Row],[Age]]&lt;30, "Young Adult", IF(Table1[[#This Row],[Age]]&lt;60, "Adult", "Senior"))</f>
        <v>Young Adult</v>
      </c>
    </row>
    <row r="291" spans="1:15" x14ac:dyDescent="0.25">
      <c r="A291" t="s">
        <v>318</v>
      </c>
      <c r="B291">
        <v>64</v>
      </c>
      <c r="C291" t="s">
        <v>13</v>
      </c>
      <c r="D291" t="s">
        <v>19</v>
      </c>
      <c r="E291" s="4">
        <v>45736</v>
      </c>
      <c r="F291" s="4">
        <v>45748</v>
      </c>
      <c r="G291" s="8">
        <v>12</v>
      </c>
      <c r="H291" t="s">
        <v>20</v>
      </c>
      <c r="I291">
        <v>0</v>
      </c>
      <c r="J291" t="s">
        <v>16</v>
      </c>
      <c r="K291" t="s">
        <v>47</v>
      </c>
      <c r="L291" s="6">
        <v>6948.67</v>
      </c>
      <c r="M291" t="str">
        <f>TEXT(Table1[[#This Row],[Admission_Date]], "mmm")</f>
        <v>Mar</v>
      </c>
      <c r="N291">
        <f>YEAR(Table1[[#This Row],[Admission_Date]])</f>
        <v>2025</v>
      </c>
      <c r="O291" t="str">
        <f>IF(Table1[[#This Row],[Age]]&lt;30, "Young Adult", IF(Table1[[#This Row],[Age]]&lt;60, "Adult", "Senior"))</f>
        <v>Senior</v>
      </c>
    </row>
    <row r="292" spans="1:15" x14ac:dyDescent="0.25">
      <c r="A292" t="s">
        <v>319</v>
      </c>
      <c r="B292">
        <v>41</v>
      </c>
      <c r="C292" t="s">
        <v>24</v>
      </c>
      <c r="D292" t="s">
        <v>40</v>
      </c>
      <c r="E292" s="4">
        <v>45796</v>
      </c>
      <c r="F292" s="4">
        <v>45798</v>
      </c>
      <c r="G292" s="8">
        <v>2</v>
      </c>
      <c r="H292" t="s">
        <v>15</v>
      </c>
      <c r="I292">
        <v>18</v>
      </c>
      <c r="J292" t="s">
        <v>29</v>
      </c>
      <c r="K292" t="s">
        <v>22</v>
      </c>
      <c r="L292" s="6">
        <v>880.8</v>
      </c>
      <c r="M292" t="str">
        <f>TEXT(Table1[[#This Row],[Admission_Date]], "mmm")</f>
        <v>May</v>
      </c>
      <c r="N292">
        <f>YEAR(Table1[[#This Row],[Admission_Date]])</f>
        <v>2025</v>
      </c>
      <c r="O292" t="str">
        <f>IF(Table1[[#This Row],[Age]]&lt;30, "Young Adult", IF(Table1[[#This Row],[Age]]&lt;60, "Adult", "Senior"))</f>
        <v>Adult</v>
      </c>
    </row>
    <row r="293" spans="1:15" x14ac:dyDescent="0.25">
      <c r="A293" t="s">
        <v>320</v>
      </c>
      <c r="B293">
        <v>59</v>
      </c>
      <c r="C293" t="s">
        <v>24</v>
      </c>
      <c r="D293" t="s">
        <v>19</v>
      </c>
      <c r="E293" s="4">
        <v>45839</v>
      </c>
      <c r="F293" s="4">
        <v>45848</v>
      </c>
      <c r="G293" s="8">
        <v>9</v>
      </c>
      <c r="H293" t="s">
        <v>15</v>
      </c>
      <c r="I293">
        <v>10</v>
      </c>
      <c r="J293" t="s">
        <v>29</v>
      </c>
      <c r="K293" t="s">
        <v>47</v>
      </c>
      <c r="L293" s="6">
        <v>11797.95</v>
      </c>
      <c r="M293" t="str">
        <f>TEXT(Table1[[#This Row],[Admission_Date]], "mmm")</f>
        <v>Jul</v>
      </c>
      <c r="N293">
        <f>YEAR(Table1[[#This Row],[Admission_Date]])</f>
        <v>2025</v>
      </c>
      <c r="O293" t="str">
        <f>IF(Table1[[#This Row],[Age]]&lt;30, "Young Adult", IF(Table1[[#This Row],[Age]]&lt;60, "Adult", "Senior"))</f>
        <v>Adult</v>
      </c>
    </row>
    <row r="294" spans="1:15" x14ac:dyDescent="0.25">
      <c r="A294" t="s">
        <v>321</v>
      </c>
      <c r="B294">
        <v>39</v>
      </c>
      <c r="C294" t="s">
        <v>24</v>
      </c>
      <c r="D294" t="s">
        <v>14</v>
      </c>
      <c r="E294" s="4">
        <v>45944</v>
      </c>
      <c r="F294" s="4">
        <v>45948</v>
      </c>
      <c r="G294" s="8">
        <v>4</v>
      </c>
      <c r="H294" t="s">
        <v>20</v>
      </c>
      <c r="I294">
        <v>0</v>
      </c>
      <c r="J294" t="s">
        <v>21</v>
      </c>
      <c r="K294" t="s">
        <v>47</v>
      </c>
      <c r="L294" s="6">
        <v>4866.3999999999996</v>
      </c>
      <c r="M294" t="str">
        <f>TEXT(Table1[[#This Row],[Admission_Date]], "mmm")</f>
        <v>Oct</v>
      </c>
      <c r="N294">
        <f>YEAR(Table1[[#This Row],[Admission_Date]])</f>
        <v>2025</v>
      </c>
      <c r="O294" t="str">
        <f>IF(Table1[[#This Row],[Age]]&lt;30, "Young Adult", IF(Table1[[#This Row],[Age]]&lt;60, "Adult", "Senior"))</f>
        <v>Adult</v>
      </c>
    </row>
    <row r="295" spans="1:15" x14ac:dyDescent="0.25">
      <c r="A295" t="s">
        <v>322</v>
      </c>
      <c r="B295">
        <v>73</v>
      </c>
      <c r="C295" t="s">
        <v>24</v>
      </c>
      <c r="D295" t="s">
        <v>40</v>
      </c>
      <c r="E295" s="4">
        <v>45910</v>
      </c>
      <c r="F295" s="4">
        <v>45913</v>
      </c>
      <c r="G295" s="8">
        <v>3</v>
      </c>
      <c r="H295" t="s">
        <v>15</v>
      </c>
      <c r="I295">
        <v>10</v>
      </c>
      <c r="J295" t="s">
        <v>29</v>
      </c>
      <c r="K295" t="s">
        <v>22</v>
      </c>
      <c r="L295" s="6">
        <v>5736.31</v>
      </c>
      <c r="M295" t="str">
        <f>TEXT(Table1[[#This Row],[Admission_Date]], "mmm")</f>
        <v>Sep</v>
      </c>
      <c r="N295">
        <f>YEAR(Table1[[#This Row],[Admission_Date]])</f>
        <v>2025</v>
      </c>
      <c r="O295" t="str">
        <f>IF(Table1[[#This Row],[Age]]&lt;30, "Young Adult", IF(Table1[[#This Row],[Age]]&lt;60, "Adult", "Senior"))</f>
        <v>Senior</v>
      </c>
    </row>
    <row r="296" spans="1:15" x14ac:dyDescent="0.25">
      <c r="A296" t="s">
        <v>323</v>
      </c>
      <c r="B296">
        <v>43</v>
      </c>
      <c r="C296" t="s">
        <v>24</v>
      </c>
      <c r="D296" t="s">
        <v>19</v>
      </c>
      <c r="E296" s="4">
        <v>45784</v>
      </c>
      <c r="F296" s="4">
        <v>45796</v>
      </c>
      <c r="G296" s="8">
        <v>12</v>
      </c>
      <c r="H296" t="s">
        <v>20</v>
      </c>
      <c r="I296">
        <v>0</v>
      </c>
      <c r="J296" t="s">
        <v>21</v>
      </c>
      <c r="K296" t="s">
        <v>47</v>
      </c>
      <c r="L296" s="6">
        <v>598.13</v>
      </c>
      <c r="M296" t="str">
        <f>TEXT(Table1[[#This Row],[Admission_Date]], "mmm")</f>
        <v>May</v>
      </c>
      <c r="N296">
        <f>YEAR(Table1[[#This Row],[Admission_Date]])</f>
        <v>2025</v>
      </c>
      <c r="O296" t="str">
        <f>IF(Table1[[#This Row],[Age]]&lt;30, "Young Adult", IF(Table1[[#This Row],[Age]]&lt;60, "Adult", "Senior"))</f>
        <v>Adult</v>
      </c>
    </row>
    <row r="297" spans="1:15" x14ac:dyDescent="0.25">
      <c r="A297" t="s">
        <v>324</v>
      </c>
      <c r="B297">
        <v>66</v>
      </c>
      <c r="C297" t="s">
        <v>24</v>
      </c>
      <c r="D297" t="s">
        <v>40</v>
      </c>
      <c r="E297" s="4">
        <v>45860</v>
      </c>
      <c r="F297" s="4">
        <v>45866</v>
      </c>
      <c r="G297" s="8">
        <v>6</v>
      </c>
      <c r="H297" t="s">
        <v>20</v>
      </c>
      <c r="I297">
        <v>0</v>
      </c>
      <c r="J297" t="s">
        <v>25</v>
      </c>
      <c r="K297" t="s">
        <v>47</v>
      </c>
      <c r="L297" s="6">
        <v>12324.39</v>
      </c>
      <c r="M297" t="str">
        <f>TEXT(Table1[[#This Row],[Admission_Date]], "mmm")</f>
        <v>Jul</v>
      </c>
      <c r="N297">
        <f>YEAR(Table1[[#This Row],[Admission_Date]])</f>
        <v>2025</v>
      </c>
      <c r="O297" t="str">
        <f>IF(Table1[[#This Row],[Age]]&lt;30, "Young Adult", IF(Table1[[#This Row],[Age]]&lt;60, "Adult", "Senior"))</f>
        <v>Senior</v>
      </c>
    </row>
    <row r="298" spans="1:15" x14ac:dyDescent="0.25">
      <c r="A298" t="s">
        <v>325</v>
      </c>
      <c r="B298">
        <v>59</v>
      </c>
      <c r="C298" t="s">
        <v>13</v>
      </c>
      <c r="D298" t="s">
        <v>40</v>
      </c>
      <c r="E298" s="4">
        <v>45991</v>
      </c>
      <c r="F298" s="4">
        <v>46001</v>
      </c>
      <c r="G298" s="8">
        <v>10</v>
      </c>
      <c r="H298" t="s">
        <v>15</v>
      </c>
      <c r="I298">
        <v>11</v>
      </c>
      <c r="J298" t="s">
        <v>21</v>
      </c>
      <c r="K298" t="s">
        <v>47</v>
      </c>
      <c r="L298" s="6">
        <v>14546.52</v>
      </c>
      <c r="M298" t="str">
        <f>TEXT(Table1[[#This Row],[Admission_Date]], "mmm")</f>
        <v>Nov</v>
      </c>
      <c r="N298">
        <f>YEAR(Table1[[#This Row],[Admission_Date]])</f>
        <v>2025</v>
      </c>
      <c r="O298" t="str">
        <f>IF(Table1[[#This Row],[Age]]&lt;30, "Young Adult", IF(Table1[[#This Row],[Age]]&lt;60, "Adult", "Senior"))</f>
        <v>Adult</v>
      </c>
    </row>
    <row r="299" spans="1:15" x14ac:dyDescent="0.25">
      <c r="A299" t="s">
        <v>326</v>
      </c>
      <c r="B299">
        <v>80</v>
      </c>
      <c r="C299" t="s">
        <v>13</v>
      </c>
      <c r="D299" t="s">
        <v>32</v>
      </c>
      <c r="E299" s="4">
        <v>45807</v>
      </c>
      <c r="F299" s="4">
        <v>45819</v>
      </c>
      <c r="G299" s="8">
        <v>12</v>
      </c>
      <c r="H299" t="s">
        <v>20</v>
      </c>
      <c r="I299">
        <v>0</v>
      </c>
      <c r="J299" t="s">
        <v>29</v>
      </c>
      <c r="K299" t="s">
        <v>47</v>
      </c>
      <c r="L299" s="6">
        <v>12339.17</v>
      </c>
      <c r="M299" t="str">
        <f>TEXT(Table1[[#This Row],[Admission_Date]], "mmm")</f>
        <v>May</v>
      </c>
      <c r="N299">
        <f>YEAR(Table1[[#This Row],[Admission_Date]])</f>
        <v>2025</v>
      </c>
      <c r="O299" t="str">
        <f>IF(Table1[[#This Row],[Age]]&lt;30, "Young Adult", IF(Table1[[#This Row],[Age]]&lt;60, "Adult", "Senior"))</f>
        <v>Senior</v>
      </c>
    </row>
    <row r="300" spans="1:15" x14ac:dyDescent="0.25">
      <c r="A300" t="s">
        <v>327</v>
      </c>
      <c r="B300">
        <v>90</v>
      </c>
      <c r="C300" t="s">
        <v>13</v>
      </c>
      <c r="D300" t="s">
        <v>34</v>
      </c>
      <c r="E300" s="4">
        <v>45859</v>
      </c>
      <c r="F300" s="4">
        <v>45865</v>
      </c>
      <c r="G300" s="8">
        <v>6</v>
      </c>
      <c r="H300" t="s">
        <v>15</v>
      </c>
      <c r="I300">
        <v>18</v>
      </c>
      <c r="J300" t="s">
        <v>21</v>
      </c>
      <c r="K300" t="s">
        <v>17</v>
      </c>
      <c r="L300" s="6">
        <v>11630.46</v>
      </c>
      <c r="M300" t="str">
        <f>TEXT(Table1[[#This Row],[Admission_Date]], "mmm")</f>
        <v>Jul</v>
      </c>
      <c r="N300">
        <f>YEAR(Table1[[#This Row],[Admission_Date]])</f>
        <v>2025</v>
      </c>
      <c r="O300" t="str">
        <f>IF(Table1[[#This Row],[Age]]&lt;30, "Young Adult", IF(Table1[[#This Row],[Age]]&lt;60, "Adult", "Senior"))</f>
        <v>Senior</v>
      </c>
    </row>
    <row r="301" spans="1:15" x14ac:dyDescent="0.25">
      <c r="A301" t="s">
        <v>328</v>
      </c>
      <c r="B301">
        <v>44</v>
      </c>
      <c r="C301" t="s">
        <v>24</v>
      </c>
      <c r="D301" t="s">
        <v>32</v>
      </c>
      <c r="E301" s="4">
        <v>45671</v>
      </c>
      <c r="F301" s="4">
        <v>45683</v>
      </c>
      <c r="G301" s="8">
        <v>12</v>
      </c>
      <c r="H301" t="s">
        <v>20</v>
      </c>
      <c r="I301">
        <v>0</v>
      </c>
      <c r="J301" t="s">
        <v>16</v>
      </c>
      <c r="K301" t="s">
        <v>47</v>
      </c>
      <c r="L301" s="6">
        <v>10258.18</v>
      </c>
      <c r="M301" t="str">
        <f>TEXT(Table1[[#This Row],[Admission_Date]], "mmm")</f>
        <v>Jan</v>
      </c>
      <c r="N301">
        <f>YEAR(Table1[[#This Row],[Admission_Date]])</f>
        <v>2025</v>
      </c>
      <c r="O301" t="str">
        <f>IF(Table1[[#This Row],[Age]]&lt;30, "Young Adult", IF(Table1[[#This Row],[Age]]&lt;60, "Adult", "Senior"))</f>
        <v>Adult</v>
      </c>
    </row>
    <row r="302" spans="1:15" x14ac:dyDescent="0.25">
      <c r="A302" t="s">
        <v>329</v>
      </c>
      <c r="B302">
        <v>50</v>
      </c>
      <c r="C302" t="s">
        <v>13</v>
      </c>
      <c r="D302" t="s">
        <v>28</v>
      </c>
      <c r="E302" s="4">
        <v>45729</v>
      </c>
      <c r="F302" s="4">
        <v>45740</v>
      </c>
      <c r="G302" s="8">
        <v>11</v>
      </c>
      <c r="H302" t="s">
        <v>20</v>
      </c>
      <c r="I302">
        <v>0</v>
      </c>
      <c r="J302" t="s">
        <v>29</v>
      </c>
      <c r="K302" t="s">
        <v>47</v>
      </c>
      <c r="L302" s="6">
        <v>1572.49</v>
      </c>
      <c r="M302" t="str">
        <f>TEXT(Table1[[#This Row],[Admission_Date]], "mmm")</f>
        <v>Mar</v>
      </c>
      <c r="N302">
        <f>YEAR(Table1[[#This Row],[Admission_Date]])</f>
        <v>2025</v>
      </c>
      <c r="O302" t="str">
        <f>IF(Table1[[#This Row],[Age]]&lt;30, "Young Adult", IF(Table1[[#This Row],[Age]]&lt;60, "Adult", "Senior"))</f>
        <v>Adult</v>
      </c>
    </row>
    <row r="303" spans="1:15" x14ac:dyDescent="0.25">
      <c r="A303" t="s">
        <v>330</v>
      </c>
      <c r="B303">
        <v>86</v>
      </c>
      <c r="C303" t="s">
        <v>24</v>
      </c>
      <c r="D303" t="s">
        <v>34</v>
      </c>
      <c r="E303" s="4">
        <v>45964</v>
      </c>
      <c r="F303" s="4">
        <v>45972</v>
      </c>
      <c r="G303" s="8">
        <v>8</v>
      </c>
      <c r="H303" t="s">
        <v>20</v>
      </c>
      <c r="I303">
        <v>0</v>
      </c>
      <c r="J303" t="s">
        <v>16</v>
      </c>
      <c r="K303" t="s">
        <v>47</v>
      </c>
      <c r="L303" s="6">
        <v>10673.7</v>
      </c>
      <c r="M303" t="str">
        <f>TEXT(Table1[[#This Row],[Admission_Date]], "mmm")</f>
        <v>Nov</v>
      </c>
      <c r="N303">
        <f>YEAR(Table1[[#This Row],[Admission_Date]])</f>
        <v>2025</v>
      </c>
      <c r="O303" t="str">
        <f>IF(Table1[[#This Row],[Age]]&lt;30, "Young Adult", IF(Table1[[#This Row],[Age]]&lt;60, "Adult", "Senior"))</f>
        <v>Senior</v>
      </c>
    </row>
    <row r="304" spans="1:15" x14ac:dyDescent="0.25">
      <c r="A304" t="s">
        <v>331</v>
      </c>
      <c r="B304">
        <v>28</v>
      </c>
      <c r="C304" t="s">
        <v>13</v>
      </c>
      <c r="D304" t="s">
        <v>14</v>
      </c>
      <c r="E304" s="4">
        <v>45932</v>
      </c>
      <c r="F304" s="4">
        <v>45942</v>
      </c>
      <c r="G304" s="8">
        <v>10</v>
      </c>
      <c r="H304" t="s">
        <v>20</v>
      </c>
      <c r="I304">
        <v>0</v>
      </c>
      <c r="J304" t="s">
        <v>25</v>
      </c>
      <c r="K304" t="s">
        <v>22</v>
      </c>
      <c r="L304" s="6">
        <v>9881.5</v>
      </c>
      <c r="M304" t="str">
        <f>TEXT(Table1[[#This Row],[Admission_Date]], "mmm")</f>
        <v>Oct</v>
      </c>
      <c r="N304">
        <f>YEAR(Table1[[#This Row],[Admission_Date]])</f>
        <v>2025</v>
      </c>
      <c r="O304" t="str">
        <f>IF(Table1[[#This Row],[Age]]&lt;30, "Young Adult", IF(Table1[[#This Row],[Age]]&lt;60, "Adult", "Senior"))</f>
        <v>Young Adult</v>
      </c>
    </row>
    <row r="305" spans="1:15" x14ac:dyDescent="0.25">
      <c r="A305" t="s">
        <v>332</v>
      </c>
      <c r="B305">
        <v>69</v>
      </c>
      <c r="C305" t="s">
        <v>24</v>
      </c>
      <c r="D305" t="s">
        <v>40</v>
      </c>
      <c r="E305" s="4">
        <v>45680</v>
      </c>
      <c r="F305" s="4">
        <v>45690</v>
      </c>
      <c r="G305" s="8">
        <v>10</v>
      </c>
      <c r="H305" t="s">
        <v>20</v>
      </c>
      <c r="I305">
        <v>0</v>
      </c>
      <c r="J305" t="s">
        <v>16</v>
      </c>
      <c r="K305" t="s">
        <v>22</v>
      </c>
      <c r="L305" s="6">
        <v>1929.8</v>
      </c>
      <c r="M305" t="str">
        <f>TEXT(Table1[[#This Row],[Admission_Date]], "mmm")</f>
        <v>Jan</v>
      </c>
      <c r="N305">
        <f>YEAR(Table1[[#This Row],[Admission_Date]])</f>
        <v>2025</v>
      </c>
      <c r="O305" t="str">
        <f>IF(Table1[[#This Row],[Age]]&lt;30, "Young Adult", IF(Table1[[#This Row],[Age]]&lt;60, "Adult", "Senior"))</f>
        <v>Senior</v>
      </c>
    </row>
    <row r="306" spans="1:15" x14ac:dyDescent="0.25">
      <c r="A306" t="s">
        <v>333</v>
      </c>
      <c r="B306">
        <v>89</v>
      </c>
      <c r="C306" t="s">
        <v>13</v>
      </c>
      <c r="D306" t="s">
        <v>40</v>
      </c>
      <c r="E306" s="4">
        <v>45771</v>
      </c>
      <c r="F306" s="4">
        <v>45780</v>
      </c>
      <c r="G306" s="8">
        <v>9</v>
      </c>
      <c r="H306" t="s">
        <v>20</v>
      </c>
      <c r="I306">
        <v>0</v>
      </c>
      <c r="J306" t="s">
        <v>25</v>
      </c>
      <c r="K306" t="s">
        <v>47</v>
      </c>
      <c r="L306" s="6">
        <v>7214.42</v>
      </c>
      <c r="M306" t="str">
        <f>TEXT(Table1[[#This Row],[Admission_Date]], "mmm")</f>
        <v>Apr</v>
      </c>
      <c r="N306">
        <f>YEAR(Table1[[#This Row],[Admission_Date]])</f>
        <v>2025</v>
      </c>
      <c r="O306" t="str">
        <f>IF(Table1[[#This Row],[Age]]&lt;30, "Young Adult", IF(Table1[[#This Row],[Age]]&lt;60, "Adult", "Senior"))</f>
        <v>Senior</v>
      </c>
    </row>
    <row r="307" spans="1:15" x14ac:dyDescent="0.25">
      <c r="A307" t="s">
        <v>334</v>
      </c>
      <c r="B307">
        <v>37</v>
      </c>
      <c r="C307" t="s">
        <v>24</v>
      </c>
      <c r="D307" t="s">
        <v>19</v>
      </c>
      <c r="E307" s="4">
        <v>46005</v>
      </c>
      <c r="F307" s="4">
        <v>46015</v>
      </c>
      <c r="G307" s="8">
        <v>10</v>
      </c>
      <c r="H307" t="s">
        <v>20</v>
      </c>
      <c r="I307">
        <v>0</v>
      </c>
      <c r="J307" t="s">
        <v>29</v>
      </c>
      <c r="K307" t="s">
        <v>22</v>
      </c>
      <c r="L307" s="6">
        <v>4783.7700000000004</v>
      </c>
      <c r="M307" t="str">
        <f>TEXT(Table1[[#This Row],[Admission_Date]], "mmm")</f>
        <v>Dec</v>
      </c>
      <c r="N307">
        <f>YEAR(Table1[[#This Row],[Admission_Date]])</f>
        <v>2025</v>
      </c>
      <c r="O307" t="str">
        <f>IF(Table1[[#This Row],[Age]]&lt;30, "Young Adult", IF(Table1[[#This Row],[Age]]&lt;60, "Adult", "Senior"))</f>
        <v>Adult</v>
      </c>
    </row>
    <row r="308" spans="1:15" x14ac:dyDescent="0.25">
      <c r="A308" t="s">
        <v>335</v>
      </c>
      <c r="B308">
        <v>36</v>
      </c>
      <c r="C308" t="s">
        <v>24</v>
      </c>
      <c r="D308" t="s">
        <v>32</v>
      </c>
      <c r="E308" s="4">
        <v>45701</v>
      </c>
      <c r="F308" s="4">
        <v>45703</v>
      </c>
      <c r="G308" s="8">
        <v>2</v>
      </c>
      <c r="H308" t="s">
        <v>20</v>
      </c>
      <c r="I308">
        <v>0</v>
      </c>
      <c r="J308" t="s">
        <v>25</v>
      </c>
      <c r="K308" t="s">
        <v>47</v>
      </c>
      <c r="L308" s="6">
        <v>11871.91</v>
      </c>
      <c r="M308" t="str">
        <f>TEXT(Table1[[#This Row],[Admission_Date]], "mmm")</f>
        <v>Feb</v>
      </c>
      <c r="N308">
        <f>YEAR(Table1[[#This Row],[Admission_Date]])</f>
        <v>2025</v>
      </c>
      <c r="O308" t="str">
        <f>IF(Table1[[#This Row],[Age]]&lt;30, "Young Adult", IF(Table1[[#This Row],[Age]]&lt;60, "Adult", "Senior"))</f>
        <v>Adult</v>
      </c>
    </row>
    <row r="309" spans="1:15" x14ac:dyDescent="0.25">
      <c r="A309" t="s">
        <v>336</v>
      </c>
      <c r="B309">
        <v>30</v>
      </c>
      <c r="C309" t="s">
        <v>24</v>
      </c>
      <c r="D309" t="s">
        <v>28</v>
      </c>
      <c r="E309" s="4">
        <v>45924</v>
      </c>
      <c r="F309" s="4">
        <v>45932</v>
      </c>
      <c r="G309" s="8">
        <v>8</v>
      </c>
      <c r="H309" t="s">
        <v>20</v>
      </c>
      <c r="I309">
        <v>0</v>
      </c>
      <c r="J309" t="s">
        <v>29</v>
      </c>
      <c r="K309" t="s">
        <v>47</v>
      </c>
      <c r="L309" s="6">
        <v>1474.03</v>
      </c>
      <c r="M309" t="str">
        <f>TEXT(Table1[[#This Row],[Admission_Date]], "mmm")</f>
        <v>Sep</v>
      </c>
      <c r="N309">
        <f>YEAR(Table1[[#This Row],[Admission_Date]])</f>
        <v>2025</v>
      </c>
      <c r="O309" t="str">
        <f>IF(Table1[[#This Row],[Age]]&lt;30, "Young Adult", IF(Table1[[#This Row],[Age]]&lt;60, "Adult", "Senior"))</f>
        <v>Adult</v>
      </c>
    </row>
    <row r="310" spans="1:15" x14ac:dyDescent="0.25">
      <c r="A310" t="s">
        <v>337</v>
      </c>
      <c r="B310">
        <v>20</v>
      </c>
      <c r="C310" t="s">
        <v>24</v>
      </c>
      <c r="D310" t="s">
        <v>28</v>
      </c>
      <c r="E310" s="4">
        <v>45680</v>
      </c>
      <c r="F310" s="4">
        <v>45693</v>
      </c>
      <c r="G310" s="8">
        <v>13</v>
      </c>
      <c r="H310" t="s">
        <v>20</v>
      </c>
      <c r="I310">
        <v>0</v>
      </c>
      <c r="J310" t="s">
        <v>16</v>
      </c>
      <c r="K310" t="s">
        <v>17</v>
      </c>
      <c r="L310" s="6">
        <v>12100.73</v>
      </c>
      <c r="M310" t="str">
        <f>TEXT(Table1[[#This Row],[Admission_Date]], "mmm")</f>
        <v>Jan</v>
      </c>
      <c r="N310">
        <f>YEAR(Table1[[#This Row],[Admission_Date]])</f>
        <v>2025</v>
      </c>
      <c r="O310" t="str">
        <f>IF(Table1[[#This Row],[Age]]&lt;30, "Young Adult", IF(Table1[[#This Row],[Age]]&lt;60, "Adult", "Senior"))</f>
        <v>Young Adult</v>
      </c>
    </row>
    <row r="311" spans="1:15" x14ac:dyDescent="0.25">
      <c r="A311" t="s">
        <v>338</v>
      </c>
      <c r="B311">
        <v>38</v>
      </c>
      <c r="C311" t="s">
        <v>24</v>
      </c>
      <c r="D311" t="s">
        <v>34</v>
      </c>
      <c r="E311" s="4">
        <v>45782</v>
      </c>
      <c r="F311" s="4">
        <v>45791</v>
      </c>
      <c r="G311" s="8">
        <v>9</v>
      </c>
      <c r="H311" t="s">
        <v>15</v>
      </c>
      <c r="I311">
        <v>14</v>
      </c>
      <c r="J311" t="s">
        <v>29</v>
      </c>
      <c r="K311" t="s">
        <v>22</v>
      </c>
      <c r="L311" s="6">
        <v>12067.46</v>
      </c>
      <c r="M311" t="str">
        <f>TEXT(Table1[[#This Row],[Admission_Date]], "mmm")</f>
        <v>May</v>
      </c>
      <c r="N311">
        <f>YEAR(Table1[[#This Row],[Admission_Date]])</f>
        <v>2025</v>
      </c>
      <c r="O311" t="str">
        <f>IF(Table1[[#This Row],[Age]]&lt;30, "Young Adult", IF(Table1[[#This Row],[Age]]&lt;60, "Adult", "Senior"))</f>
        <v>Adult</v>
      </c>
    </row>
    <row r="312" spans="1:15" x14ac:dyDescent="0.25">
      <c r="A312" t="s">
        <v>339</v>
      </c>
      <c r="B312">
        <v>73</v>
      </c>
      <c r="C312" t="s">
        <v>24</v>
      </c>
      <c r="D312" t="s">
        <v>19</v>
      </c>
      <c r="E312" s="4">
        <v>45980</v>
      </c>
      <c r="F312" s="4">
        <v>45983</v>
      </c>
      <c r="G312" s="8">
        <v>3</v>
      </c>
      <c r="H312" t="s">
        <v>15</v>
      </c>
      <c r="I312">
        <v>24</v>
      </c>
      <c r="J312" t="s">
        <v>21</v>
      </c>
      <c r="K312" t="s">
        <v>47</v>
      </c>
      <c r="L312" s="6">
        <v>9086.9500000000007</v>
      </c>
      <c r="M312" t="str">
        <f>TEXT(Table1[[#This Row],[Admission_Date]], "mmm")</f>
        <v>Nov</v>
      </c>
      <c r="N312">
        <f>YEAR(Table1[[#This Row],[Admission_Date]])</f>
        <v>2025</v>
      </c>
      <c r="O312" t="str">
        <f>IF(Table1[[#This Row],[Age]]&lt;30, "Young Adult", IF(Table1[[#This Row],[Age]]&lt;60, "Adult", "Senior"))</f>
        <v>Senior</v>
      </c>
    </row>
    <row r="313" spans="1:15" x14ac:dyDescent="0.25">
      <c r="A313" t="s">
        <v>340</v>
      </c>
      <c r="B313">
        <v>44</v>
      </c>
      <c r="C313" t="s">
        <v>24</v>
      </c>
      <c r="D313" t="s">
        <v>28</v>
      </c>
      <c r="E313" s="4">
        <v>45857</v>
      </c>
      <c r="F313" s="4">
        <v>45858</v>
      </c>
      <c r="G313" s="8">
        <v>1</v>
      </c>
      <c r="H313" t="s">
        <v>20</v>
      </c>
      <c r="I313">
        <v>0</v>
      </c>
      <c r="J313" t="s">
        <v>16</v>
      </c>
      <c r="K313" t="s">
        <v>17</v>
      </c>
      <c r="L313" s="6">
        <v>1975.4</v>
      </c>
      <c r="M313" t="str">
        <f>TEXT(Table1[[#This Row],[Admission_Date]], "mmm")</f>
        <v>Jul</v>
      </c>
      <c r="N313">
        <f>YEAR(Table1[[#This Row],[Admission_Date]])</f>
        <v>2025</v>
      </c>
      <c r="O313" t="str">
        <f>IF(Table1[[#This Row],[Age]]&lt;30, "Young Adult", IF(Table1[[#This Row],[Age]]&lt;60, "Adult", "Senior"))</f>
        <v>Adult</v>
      </c>
    </row>
    <row r="314" spans="1:15" x14ac:dyDescent="0.25">
      <c r="A314" t="s">
        <v>341</v>
      </c>
      <c r="B314">
        <v>43</v>
      </c>
      <c r="C314" t="s">
        <v>24</v>
      </c>
      <c r="D314" t="s">
        <v>19</v>
      </c>
      <c r="E314" s="4">
        <v>45932</v>
      </c>
      <c r="F314" s="4">
        <v>45935</v>
      </c>
      <c r="G314" s="8">
        <v>3</v>
      </c>
      <c r="H314" t="s">
        <v>20</v>
      </c>
      <c r="I314">
        <v>0</v>
      </c>
      <c r="J314" t="s">
        <v>25</v>
      </c>
      <c r="K314" t="s">
        <v>17</v>
      </c>
      <c r="L314" s="6">
        <v>13008.23</v>
      </c>
      <c r="M314" t="str">
        <f>TEXT(Table1[[#This Row],[Admission_Date]], "mmm")</f>
        <v>Oct</v>
      </c>
      <c r="N314">
        <f>YEAR(Table1[[#This Row],[Admission_Date]])</f>
        <v>2025</v>
      </c>
      <c r="O314" t="str">
        <f>IF(Table1[[#This Row],[Age]]&lt;30, "Young Adult", IF(Table1[[#This Row],[Age]]&lt;60, "Adult", "Senior"))</f>
        <v>Adult</v>
      </c>
    </row>
    <row r="315" spans="1:15" x14ac:dyDescent="0.25">
      <c r="A315" t="s">
        <v>342</v>
      </c>
      <c r="B315">
        <v>67</v>
      </c>
      <c r="C315" t="s">
        <v>24</v>
      </c>
      <c r="D315" t="s">
        <v>34</v>
      </c>
      <c r="E315" s="4">
        <v>45928</v>
      </c>
      <c r="F315" s="4">
        <v>45939</v>
      </c>
      <c r="G315" s="8">
        <v>11</v>
      </c>
      <c r="H315" t="s">
        <v>20</v>
      </c>
      <c r="I315">
        <v>0</v>
      </c>
      <c r="J315" t="s">
        <v>16</v>
      </c>
      <c r="K315" t="s">
        <v>47</v>
      </c>
      <c r="L315" s="6">
        <v>5603.78</v>
      </c>
      <c r="M315" t="str">
        <f>TEXT(Table1[[#This Row],[Admission_Date]], "mmm")</f>
        <v>Sep</v>
      </c>
      <c r="N315">
        <f>YEAR(Table1[[#This Row],[Admission_Date]])</f>
        <v>2025</v>
      </c>
      <c r="O315" t="str">
        <f>IF(Table1[[#This Row],[Age]]&lt;30, "Young Adult", IF(Table1[[#This Row],[Age]]&lt;60, "Adult", "Senior"))</f>
        <v>Senior</v>
      </c>
    </row>
    <row r="316" spans="1:15" x14ac:dyDescent="0.25">
      <c r="A316" t="s">
        <v>343</v>
      </c>
      <c r="B316">
        <v>56</v>
      </c>
      <c r="C316" t="s">
        <v>13</v>
      </c>
      <c r="D316" t="s">
        <v>28</v>
      </c>
      <c r="E316" s="4">
        <v>45892</v>
      </c>
      <c r="F316" s="4">
        <v>45902</v>
      </c>
      <c r="G316" s="8">
        <v>10</v>
      </c>
      <c r="H316" t="s">
        <v>15</v>
      </c>
      <c r="I316">
        <v>5</v>
      </c>
      <c r="J316" t="s">
        <v>25</v>
      </c>
      <c r="K316" t="s">
        <v>22</v>
      </c>
      <c r="L316" s="6">
        <v>3959.3</v>
      </c>
      <c r="M316" t="str">
        <f>TEXT(Table1[[#This Row],[Admission_Date]], "mmm")</f>
        <v>Aug</v>
      </c>
      <c r="N316">
        <f>YEAR(Table1[[#This Row],[Admission_Date]])</f>
        <v>2025</v>
      </c>
      <c r="O316" t="str">
        <f>IF(Table1[[#This Row],[Age]]&lt;30, "Young Adult", IF(Table1[[#This Row],[Age]]&lt;60, "Adult", "Senior"))</f>
        <v>Adult</v>
      </c>
    </row>
    <row r="317" spans="1:15" x14ac:dyDescent="0.25">
      <c r="A317" t="s">
        <v>344</v>
      </c>
      <c r="B317">
        <v>36</v>
      </c>
      <c r="C317" t="s">
        <v>24</v>
      </c>
      <c r="D317" t="s">
        <v>40</v>
      </c>
      <c r="E317" s="4">
        <v>45717</v>
      </c>
      <c r="F317" s="4">
        <v>45720</v>
      </c>
      <c r="G317" s="8">
        <v>3</v>
      </c>
      <c r="H317" t="s">
        <v>20</v>
      </c>
      <c r="I317">
        <v>0</v>
      </c>
      <c r="J317" t="s">
        <v>21</v>
      </c>
      <c r="K317" t="s">
        <v>17</v>
      </c>
      <c r="L317" s="6">
        <v>6063.79</v>
      </c>
      <c r="M317" t="str">
        <f>TEXT(Table1[[#This Row],[Admission_Date]], "mmm")</f>
        <v>Mar</v>
      </c>
      <c r="N317">
        <f>YEAR(Table1[[#This Row],[Admission_Date]])</f>
        <v>2025</v>
      </c>
      <c r="O317" t="str">
        <f>IF(Table1[[#This Row],[Age]]&lt;30, "Young Adult", IF(Table1[[#This Row],[Age]]&lt;60, "Adult", "Senior"))</f>
        <v>Adult</v>
      </c>
    </row>
    <row r="318" spans="1:15" x14ac:dyDescent="0.25">
      <c r="A318" t="s">
        <v>345</v>
      </c>
      <c r="B318">
        <v>40</v>
      </c>
      <c r="C318" t="s">
        <v>13</v>
      </c>
      <c r="D318" t="s">
        <v>40</v>
      </c>
      <c r="E318" s="4">
        <v>45753</v>
      </c>
      <c r="F318" s="4">
        <v>45761</v>
      </c>
      <c r="G318" s="8">
        <v>8</v>
      </c>
      <c r="H318" t="s">
        <v>20</v>
      </c>
      <c r="I318">
        <v>0</v>
      </c>
      <c r="J318" t="s">
        <v>25</v>
      </c>
      <c r="K318" t="s">
        <v>22</v>
      </c>
      <c r="L318" s="6">
        <v>3212.93</v>
      </c>
      <c r="M318" t="str">
        <f>TEXT(Table1[[#This Row],[Admission_Date]], "mmm")</f>
        <v>Apr</v>
      </c>
      <c r="N318">
        <f>YEAR(Table1[[#This Row],[Admission_Date]])</f>
        <v>2025</v>
      </c>
      <c r="O318" t="str">
        <f>IF(Table1[[#This Row],[Age]]&lt;30, "Young Adult", IF(Table1[[#This Row],[Age]]&lt;60, "Adult", "Senior"))</f>
        <v>Adult</v>
      </c>
    </row>
    <row r="319" spans="1:15" x14ac:dyDescent="0.25">
      <c r="A319" t="s">
        <v>346</v>
      </c>
      <c r="B319">
        <v>63</v>
      </c>
      <c r="C319" t="s">
        <v>13</v>
      </c>
      <c r="D319" t="s">
        <v>40</v>
      </c>
      <c r="E319" s="4">
        <v>45888</v>
      </c>
      <c r="F319" s="4">
        <v>45898</v>
      </c>
      <c r="G319" s="8">
        <v>10</v>
      </c>
      <c r="H319" t="s">
        <v>15</v>
      </c>
      <c r="I319">
        <v>5</v>
      </c>
      <c r="J319" t="s">
        <v>21</v>
      </c>
      <c r="K319" t="s">
        <v>47</v>
      </c>
      <c r="L319" s="6">
        <v>14475.52</v>
      </c>
      <c r="M319" t="str">
        <f>TEXT(Table1[[#This Row],[Admission_Date]], "mmm")</f>
        <v>Aug</v>
      </c>
      <c r="N319">
        <f>YEAR(Table1[[#This Row],[Admission_Date]])</f>
        <v>2025</v>
      </c>
      <c r="O319" t="str">
        <f>IF(Table1[[#This Row],[Age]]&lt;30, "Young Adult", IF(Table1[[#This Row],[Age]]&lt;60, "Adult", "Senior"))</f>
        <v>Senior</v>
      </c>
    </row>
    <row r="320" spans="1:15" x14ac:dyDescent="0.25">
      <c r="A320" t="s">
        <v>347</v>
      </c>
      <c r="B320">
        <v>80</v>
      </c>
      <c r="C320" t="s">
        <v>24</v>
      </c>
      <c r="D320" t="s">
        <v>28</v>
      </c>
      <c r="E320" s="4">
        <v>45916</v>
      </c>
      <c r="F320" s="4">
        <v>45927</v>
      </c>
      <c r="G320" s="8">
        <v>11</v>
      </c>
      <c r="H320" t="s">
        <v>20</v>
      </c>
      <c r="I320">
        <v>0</v>
      </c>
      <c r="J320" t="s">
        <v>29</v>
      </c>
      <c r="K320" t="s">
        <v>47</v>
      </c>
      <c r="L320" s="6">
        <v>2925.18</v>
      </c>
      <c r="M320" t="str">
        <f>TEXT(Table1[[#This Row],[Admission_Date]], "mmm")</f>
        <v>Sep</v>
      </c>
      <c r="N320">
        <f>YEAR(Table1[[#This Row],[Admission_Date]])</f>
        <v>2025</v>
      </c>
      <c r="O320" t="str">
        <f>IF(Table1[[#This Row],[Age]]&lt;30, "Young Adult", IF(Table1[[#This Row],[Age]]&lt;60, "Adult", "Senior"))</f>
        <v>Senior</v>
      </c>
    </row>
    <row r="321" spans="1:15" x14ac:dyDescent="0.25">
      <c r="A321" t="s">
        <v>348</v>
      </c>
      <c r="B321">
        <v>46</v>
      </c>
      <c r="C321" t="s">
        <v>24</v>
      </c>
      <c r="D321" t="s">
        <v>19</v>
      </c>
      <c r="E321" s="4">
        <v>45947</v>
      </c>
      <c r="F321" s="4">
        <v>45948</v>
      </c>
      <c r="G321" s="8">
        <v>1</v>
      </c>
      <c r="H321" t="s">
        <v>20</v>
      </c>
      <c r="I321">
        <v>0</v>
      </c>
      <c r="J321" t="s">
        <v>25</v>
      </c>
      <c r="K321" t="s">
        <v>22</v>
      </c>
      <c r="L321" s="6">
        <v>8295.32</v>
      </c>
      <c r="M321" t="str">
        <f>TEXT(Table1[[#This Row],[Admission_Date]], "mmm")</f>
        <v>Oct</v>
      </c>
      <c r="N321">
        <f>YEAR(Table1[[#This Row],[Admission_Date]])</f>
        <v>2025</v>
      </c>
      <c r="O321" t="str">
        <f>IF(Table1[[#This Row],[Age]]&lt;30, "Young Adult", IF(Table1[[#This Row],[Age]]&lt;60, "Adult", "Senior"))</f>
        <v>Adult</v>
      </c>
    </row>
    <row r="322" spans="1:15" x14ac:dyDescent="0.25">
      <c r="A322" t="s">
        <v>349</v>
      </c>
      <c r="B322">
        <v>81</v>
      </c>
      <c r="C322" t="s">
        <v>13</v>
      </c>
      <c r="D322" t="s">
        <v>34</v>
      </c>
      <c r="E322" s="4">
        <v>45744</v>
      </c>
      <c r="F322" s="4">
        <v>45757</v>
      </c>
      <c r="G322" s="8">
        <v>13</v>
      </c>
      <c r="H322" t="s">
        <v>20</v>
      </c>
      <c r="I322">
        <v>0</v>
      </c>
      <c r="J322" t="s">
        <v>16</v>
      </c>
      <c r="K322" t="s">
        <v>47</v>
      </c>
      <c r="L322" s="6">
        <v>11739.14</v>
      </c>
      <c r="M322" t="str">
        <f>TEXT(Table1[[#This Row],[Admission_Date]], "mmm")</f>
        <v>Mar</v>
      </c>
      <c r="N322">
        <f>YEAR(Table1[[#This Row],[Admission_Date]])</f>
        <v>2025</v>
      </c>
      <c r="O322" t="str">
        <f>IF(Table1[[#This Row],[Age]]&lt;30, "Young Adult", IF(Table1[[#This Row],[Age]]&lt;60, "Adult", "Senior"))</f>
        <v>Senior</v>
      </c>
    </row>
    <row r="323" spans="1:15" x14ac:dyDescent="0.25">
      <c r="A323" t="s">
        <v>350</v>
      </c>
      <c r="B323">
        <v>23</v>
      </c>
      <c r="C323" t="s">
        <v>24</v>
      </c>
      <c r="D323" t="s">
        <v>34</v>
      </c>
      <c r="E323" s="4">
        <v>45845</v>
      </c>
      <c r="F323" s="4">
        <v>45854</v>
      </c>
      <c r="G323" s="8">
        <v>9</v>
      </c>
      <c r="H323" t="s">
        <v>20</v>
      </c>
      <c r="I323">
        <v>0</v>
      </c>
      <c r="J323" t="s">
        <v>21</v>
      </c>
      <c r="K323" t="s">
        <v>47</v>
      </c>
      <c r="L323" s="6">
        <v>1985.04</v>
      </c>
      <c r="M323" t="str">
        <f>TEXT(Table1[[#This Row],[Admission_Date]], "mmm")</f>
        <v>Jul</v>
      </c>
      <c r="N323">
        <f>YEAR(Table1[[#This Row],[Admission_Date]])</f>
        <v>2025</v>
      </c>
      <c r="O323" t="str">
        <f>IF(Table1[[#This Row],[Age]]&lt;30, "Young Adult", IF(Table1[[#This Row],[Age]]&lt;60, "Adult", "Senior"))</f>
        <v>Young Adult</v>
      </c>
    </row>
    <row r="324" spans="1:15" x14ac:dyDescent="0.25">
      <c r="A324" t="s">
        <v>351</v>
      </c>
      <c r="B324">
        <v>22</v>
      </c>
      <c r="C324" t="s">
        <v>24</v>
      </c>
      <c r="D324" t="s">
        <v>32</v>
      </c>
      <c r="E324" s="4">
        <v>45992</v>
      </c>
      <c r="F324" s="4">
        <v>46005</v>
      </c>
      <c r="G324" s="8">
        <v>13</v>
      </c>
      <c r="H324" t="s">
        <v>15</v>
      </c>
      <c r="I324">
        <v>12</v>
      </c>
      <c r="J324" t="s">
        <v>16</v>
      </c>
      <c r="K324" t="s">
        <v>47</v>
      </c>
      <c r="L324" s="6">
        <v>13046.71</v>
      </c>
      <c r="M324" t="str">
        <f>TEXT(Table1[[#This Row],[Admission_Date]], "mmm")</f>
        <v>Dec</v>
      </c>
      <c r="N324">
        <f>YEAR(Table1[[#This Row],[Admission_Date]])</f>
        <v>2025</v>
      </c>
      <c r="O324" t="str">
        <f>IF(Table1[[#This Row],[Age]]&lt;30, "Young Adult", IF(Table1[[#This Row],[Age]]&lt;60, "Adult", "Senior"))</f>
        <v>Young Adult</v>
      </c>
    </row>
    <row r="325" spans="1:15" x14ac:dyDescent="0.25">
      <c r="A325" t="s">
        <v>352</v>
      </c>
      <c r="B325">
        <v>44</v>
      </c>
      <c r="C325" t="s">
        <v>24</v>
      </c>
      <c r="D325" t="s">
        <v>28</v>
      </c>
      <c r="E325" s="4">
        <v>45718</v>
      </c>
      <c r="F325" s="4">
        <v>45731</v>
      </c>
      <c r="G325" s="8">
        <v>13</v>
      </c>
      <c r="H325" t="s">
        <v>20</v>
      </c>
      <c r="I325">
        <v>0</v>
      </c>
      <c r="J325" t="s">
        <v>29</v>
      </c>
      <c r="K325" t="s">
        <v>22</v>
      </c>
      <c r="L325" s="6">
        <v>9434.19</v>
      </c>
      <c r="M325" t="str">
        <f>TEXT(Table1[[#This Row],[Admission_Date]], "mmm")</f>
        <v>Mar</v>
      </c>
      <c r="N325">
        <f>YEAR(Table1[[#This Row],[Admission_Date]])</f>
        <v>2025</v>
      </c>
      <c r="O325" t="str">
        <f>IF(Table1[[#This Row],[Age]]&lt;30, "Young Adult", IF(Table1[[#This Row],[Age]]&lt;60, "Adult", "Senior"))</f>
        <v>Adult</v>
      </c>
    </row>
    <row r="326" spans="1:15" x14ac:dyDescent="0.25">
      <c r="A326" t="s">
        <v>353</v>
      </c>
      <c r="B326">
        <v>25</v>
      </c>
      <c r="C326" t="s">
        <v>24</v>
      </c>
      <c r="D326" t="s">
        <v>34</v>
      </c>
      <c r="E326" s="4">
        <v>45763</v>
      </c>
      <c r="F326" s="4">
        <v>45777</v>
      </c>
      <c r="G326" s="8">
        <v>14</v>
      </c>
      <c r="H326" t="s">
        <v>15</v>
      </c>
      <c r="I326">
        <v>9</v>
      </c>
      <c r="J326" t="s">
        <v>21</v>
      </c>
      <c r="K326" t="s">
        <v>47</v>
      </c>
      <c r="L326" s="6">
        <v>14695.5</v>
      </c>
      <c r="M326" t="str">
        <f>TEXT(Table1[[#This Row],[Admission_Date]], "mmm")</f>
        <v>Apr</v>
      </c>
      <c r="N326">
        <f>YEAR(Table1[[#This Row],[Admission_Date]])</f>
        <v>2025</v>
      </c>
      <c r="O326" t="str">
        <f>IF(Table1[[#This Row],[Age]]&lt;30, "Young Adult", IF(Table1[[#This Row],[Age]]&lt;60, "Adult", "Senior"))</f>
        <v>Young Adult</v>
      </c>
    </row>
    <row r="327" spans="1:15" x14ac:dyDescent="0.25">
      <c r="A327" t="s">
        <v>354</v>
      </c>
      <c r="B327">
        <v>83</v>
      </c>
      <c r="C327" t="s">
        <v>13</v>
      </c>
      <c r="D327" t="s">
        <v>14</v>
      </c>
      <c r="E327" s="4">
        <v>45807</v>
      </c>
      <c r="F327" s="4">
        <v>45812</v>
      </c>
      <c r="G327" s="8">
        <v>5</v>
      </c>
      <c r="H327" t="s">
        <v>20</v>
      </c>
      <c r="I327">
        <v>0</v>
      </c>
      <c r="J327" t="s">
        <v>29</v>
      </c>
      <c r="K327" t="s">
        <v>22</v>
      </c>
      <c r="L327" s="6">
        <v>14891.05</v>
      </c>
      <c r="M327" t="str">
        <f>TEXT(Table1[[#This Row],[Admission_Date]], "mmm")</f>
        <v>May</v>
      </c>
      <c r="N327">
        <f>YEAR(Table1[[#This Row],[Admission_Date]])</f>
        <v>2025</v>
      </c>
      <c r="O327" t="str">
        <f>IF(Table1[[#This Row],[Age]]&lt;30, "Young Adult", IF(Table1[[#This Row],[Age]]&lt;60, "Adult", "Senior"))</f>
        <v>Senior</v>
      </c>
    </row>
    <row r="328" spans="1:15" x14ac:dyDescent="0.25">
      <c r="A328" t="s">
        <v>355</v>
      </c>
      <c r="B328">
        <v>34</v>
      </c>
      <c r="C328" t="s">
        <v>13</v>
      </c>
      <c r="D328" t="s">
        <v>14</v>
      </c>
      <c r="E328" s="4">
        <v>45993</v>
      </c>
      <c r="F328" s="4">
        <v>45996</v>
      </c>
      <c r="G328" s="8">
        <v>3</v>
      </c>
      <c r="H328" t="s">
        <v>20</v>
      </c>
      <c r="I328">
        <v>0</v>
      </c>
      <c r="J328" t="s">
        <v>25</v>
      </c>
      <c r="K328" t="s">
        <v>22</v>
      </c>
      <c r="L328" s="6">
        <v>11541.37</v>
      </c>
      <c r="M328" t="str">
        <f>TEXT(Table1[[#This Row],[Admission_Date]], "mmm")</f>
        <v>Dec</v>
      </c>
      <c r="N328">
        <f>YEAR(Table1[[#This Row],[Admission_Date]])</f>
        <v>2025</v>
      </c>
      <c r="O328" t="str">
        <f>IF(Table1[[#This Row],[Age]]&lt;30, "Young Adult", IF(Table1[[#This Row],[Age]]&lt;60, "Adult", "Senior"))</f>
        <v>Adult</v>
      </c>
    </row>
    <row r="329" spans="1:15" x14ac:dyDescent="0.25">
      <c r="A329" t="s">
        <v>356</v>
      </c>
      <c r="B329">
        <v>52</v>
      </c>
      <c r="C329" t="s">
        <v>24</v>
      </c>
      <c r="D329" t="s">
        <v>40</v>
      </c>
      <c r="E329" s="4">
        <v>46004</v>
      </c>
      <c r="F329" s="4">
        <v>46011</v>
      </c>
      <c r="G329" s="8">
        <v>7</v>
      </c>
      <c r="H329" t="s">
        <v>20</v>
      </c>
      <c r="I329">
        <v>0</v>
      </c>
      <c r="J329" t="s">
        <v>29</v>
      </c>
      <c r="K329" t="s">
        <v>22</v>
      </c>
      <c r="L329" s="6">
        <v>9687.6</v>
      </c>
      <c r="M329" t="str">
        <f>TEXT(Table1[[#This Row],[Admission_Date]], "mmm")</f>
        <v>Dec</v>
      </c>
      <c r="N329">
        <f>YEAR(Table1[[#This Row],[Admission_Date]])</f>
        <v>2025</v>
      </c>
      <c r="O329" t="str">
        <f>IF(Table1[[#This Row],[Age]]&lt;30, "Young Adult", IF(Table1[[#This Row],[Age]]&lt;60, "Adult", "Senior"))</f>
        <v>Adult</v>
      </c>
    </row>
    <row r="330" spans="1:15" x14ac:dyDescent="0.25">
      <c r="A330" t="s">
        <v>357</v>
      </c>
      <c r="B330">
        <v>53</v>
      </c>
      <c r="C330" t="s">
        <v>24</v>
      </c>
      <c r="D330" t="s">
        <v>40</v>
      </c>
      <c r="E330" s="4">
        <v>45705</v>
      </c>
      <c r="F330" s="4">
        <v>45712</v>
      </c>
      <c r="G330" s="8">
        <v>7</v>
      </c>
      <c r="H330" t="s">
        <v>20</v>
      </c>
      <c r="I330">
        <v>0</v>
      </c>
      <c r="J330" t="s">
        <v>29</v>
      </c>
      <c r="K330" t="s">
        <v>47</v>
      </c>
      <c r="L330" s="6">
        <v>8938.36</v>
      </c>
      <c r="M330" t="str">
        <f>TEXT(Table1[[#This Row],[Admission_Date]], "mmm")</f>
        <v>Feb</v>
      </c>
      <c r="N330">
        <f>YEAR(Table1[[#This Row],[Admission_Date]])</f>
        <v>2025</v>
      </c>
      <c r="O330" t="str">
        <f>IF(Table1[[#This Row],[Age]]&lt;30, "Young Adult", IF(Table1[[#This Row],[Age]]&lt;60, "Adult", "Senior"))</f>
        <v>Adult</v>
      </c>
    </row>
    <row r="331" spans="1:15" x14ac:dyDescent="0.25">
      <c r="A331" t="s">
        <v>358</v>
      </c>
      <c r="B331">
        <v>63</v>
      </c>
      <c r="C331" t="s">
        <v>13</v>
      </c>
      <c r="D331" t="s">
        <v>34</v>
      </c>
      <c r="E331" s="4">
        <v>45705</v>
      </c>
      <c r="F331" s="4">
        <v>45717</v>
      </c>
      <c r="G331" s="8">
        <v>12</v>
      </c>
      <c r="H331" t="s">
        <v>20</v>
      </c>
      <c r="I331">
        <v>0</v>
      </c>
      <c r="J331" t="s">
        <v>29</v>
      </c>
      <c r="K331" t="s">
        <v>22</v>
      </c>
      <c r="L331" s="6">
        <v>14537.86</v>
      </c>
      <c r="M331" t="str">
        <f>TEXT(Table1[[#This Row],[Admission_Date]], "mmm")</f>
        <v>Feb</v>
      </c>
      <c r="N331">
        <f>YEAR(Table1[[#This Row],[Admission_Date]])</f>
        <v>2025</v>
      </c>
      <c r="O331" t="str">
        <f>IF(Table1[[#This Row],[Age]]&lt;30, "Young Adult", IF(Table1[[#This Row],[Age]]&lt;60, "Adult", "Senior"))</f>
        <v>Senior</v>
      </c>
    </row>
    <row r="332" spans="1:15" x14ac:dyDescent="0.25">
      <c r="A332" t="s">
        <v>359</v>
      </c>
      <c r="B332">
        <v>54</v>
      </c>
      <c r="C332" t="s">
        <v>24</v>
      </c>
      <c r="D332" t="s">
        <v>34</v>
      </c>
      <c r="E332" s="4">
        <v>45766</v>
      </c>
      <c r="F332" s="4">
        <v>45774</v>
      </c>
      <c r="G332" s="8">
        <v>8</v>
      </c>
      <c r="H332" t="s">
        <v>15</v>
      </c>
      <c r="I332">
        <v>19</v>
      </c>
      <c r="J332" t="s">
        <v>21</v>
      </c>
      <c r="K332" t="s">
        <v>17</v>
      </c>
      <c r="L332" s="6">
        <v>12860.13</v>
      </c>
      <c r="M332" t="str">
        <f>TEXT(Table1[[#This Row],[Admission_Date]], "mmm")</f>
        <v>Apr</v>
      </c>
      <c r="N332">
        <f>YEAR(Table1[[#This Row],[Admission_Date]])</f>
        <v>2025</v>
      </c>
      <c r="O332" t="str">
        <f>IF(Table1[[#This Row],[Age]]&lt;30, "Young Adult", IF(Table1[[#This Row],[Age]]&lt;60, "Adult", "Senior"))</f>
        <v>Adult</v>
      </c>
    </row>
    <row r="333" spans="1:15" x14ac:dyDescent="0.25">
      <c r="A333" t="s">
        <v>360</v>
      </c>
      <c r="B333">
        <v>23</v>
      </c>
      <c r="C333" t="s">
        <v>13</v>
      </c>
      <c r="D333" t="s">
        <v>28</v>
      </c>
      <c r="E333" s="4">
        <v>45833</v>
      </c>
      <c r="F333" s="4">
        <v>45844</v>
      </c>
      <c r="G333" s="8">
        <v>11</v>
      </c>
      <c r="H333" t="s">
        <v>20</v>
      </c>
      <c r="I333">
        <v>0</v>
      </c>
      <c r="J333" t="s">
        <v>29</v>
      </c>
      <c r="K333" t="s">
        <v>22</v>
      </c>
      <c r="L333" s="6">
        <v>2301.44</v>
      </c>
      <c r="M333" t="str">
        <f>TEXT(Table1[[#This Row],[Admission_Date]], "mmm")</f>
        <v>Jun</v>
      </c>
      <c r="N333">
        <f>YEAR(Table1[[#This Row],[Admission_Date]])</f>
        <v>2025</v>
      </c>
      <c r="O333" t="str">
        <f>IF(Table1[[#This Row],[Age]]&lt;30, "Young Adult", IF(Table1[[#This Row],[Age]]&lt;60, "Adult", "Senior"))</f>
        <v>Young Adult</v>
      </c>
    </row>
    <row r="334" spans="1:15" x14ac:dyDescent="0.25">
      <c r="A334" t="s">
        <v>361</v>
      </c>
      <c r="B334">
        <v>72</v>
      </c>
      <c r="C334" t="s">
        <v>13</v>
      </c>
      <c r="D334" t="s">
        <v>28</v>
      </c>
      <c r="E334" s="4">
        <v>45738</v>
      </c>
      <c r="F334" s="4">
        <v>45746</v>
      </c>
      <c r="G334" s="8">
        <v>8</v>
      </c>
      <c r="H334" t="s">
        <v>20</v>
      </c>
      <c r="I334">
        <v>0</v>
      </c>
      <c r="J334" t="s">
        <v>21</v>
      </c>
      <c r="K334" t="s">
        <v>17</v>
      </c>
      <c r="L334" s="6">
        <v>4877.05</v>
      </c>
      <c r="M334" t="str">
        <f>TEXT(Table1[[#This Row],[Admission_Date]], "mmm")</f>
        <v>Mar</v>
      </c>
      <c r="N334">
        <f>YEAR(Table1[[#This Row],[Admission_Date]])</f>
        <v>2025</v>
      </c>
      <c r="O334" t="str">
        <f>IF(Table1[[#This Row],[Age]]&lt;30, "Young Adult", IF(Table1[[#This Row],[Age]]&lt;60, "Adult", "Senior"))</f>
        <v>Senior</v>
      </c>
    </row>
    <row r="335" spans="1:15" x14ac:dyDescent="0.25">
      <c r="A335" t="s">
        <v>362</v>
      </c>
      <c r="B335">
        <v>50</v>
      </c>
      <c r="C335" t="s">
        <v>13</v>
      </c>
      <c r="D335" t="s">
        <v>32</v>
      </c>
      <c r="E335" s="4">
        <v>45798</v>
      </c>
      <c r="F335" s="4">
        <v>45800</v>
      </c>
      <c r="G335" s="8">
        <v>2</v>
      </c>
      <c r="H335" t="s">
        <v>20</v>
      </c>
      <c r="I335">
        <v>0</v>
      </c>
      <c r="J335" t="s">
        <v>21</v>
      </c>
      <c r="K335" t="s">
        <v>22</v>
      </c>
      <c r="L335" s="6">
        <v>6246.95</v>
      </c>
      <c r="M335" t="str">
        <f>TEXT(Table1[[#This Row],[Admission_Date]], "mmm")</f>
        <v>May</v>
      </c>
      <c r="N335">
        <f>YEAR(Table1[[#This Row],[Admission_Date]])</f>
        <v>2025</v>
      </c>
      <c r="O335" t="str">
        <f>IF(Table1[[#This Row],[Age]]&lt;30, "Young Adult", IF(Table1[[#This Row],[Age]]&lt;60, "Adult", "Senior"))</f>
        <v>Adult</v>
      </c>
    </row>
    <row r="336" spans="1:15" x14ac:dyDescent="0.25">
      <c r="A336" t="s">
        <v>363</v>
      </c>
      <c r="B336">
        <v>47</v>
      </c>
      <c r="C336" t="s">
        <v>24</v>
      </c>
      <c r="D336" t="s">
        <v>28</v>
      </c>
      <c r="E336" s="4">
        <v>45814</v>
      </c>
      <c r="F336" s="4">
        <v>45826</v>
      </c>
      <c r="G336" s="8">
        <v>12</v>
      </c>
      <c r="H336" t="s">
        <v>20</v>
      </c>
      <c r="I336">
        <v>0</v>
      </c>
      <c r="J336" t="s">
        <v>16</v>
      </c>
      <c r="K336" t="s">
        <v>17</v>
      </c>
      <c r="L336" s="6">
        <v>1880.16</v>
      </c>
      <c r="M336" t="str">
        <f>TEXT(Table1[[#This Row],[Admission_Date]], "mmm")</f>
        <v>Jun</v>
      </c>
      <c r="N336">
        <f>YEAR(Table1[[#This Row],[Admission_Date]])</f>
        <v>2025</v>
      </c>
      <c r="O336" t="str">
        <f>IF(Table1[[#This Row],[Age]]&lt;30, "Young Adult", IF(Table1[[#This Row],[Age]]&lt;60, "Adult", "Senior"))</f>
        <v>Adult</v>
      </c>
    </row>
    <row r="337" spans="1:15" x14ac:dyDescent="0.25">
      <c r="A337" t="s">
        <v>364</v>
      </c>
      <c r="B337">
        <v>46</v>
      </c>
      <c r="C337" t="s">
        <v>24</v>
      </c>
      <c r="D337" t="s">
        <v>19</v>
      </c>
      <c r="E337" s="4">
        <v>45767</v>
      </c>
      <c r="F337" s="4">
        <v>45775</v>
      </c>
      <c r="G337" s="8">
        <v>8</v>
      </c>
      <c r="H337" t="s">
        <v>15</v>
      </c>
      <c r="I337">
        <v>1</v>
      </c>
      <c r="J337" t="s">
        <v>25</v>
      </c>
      <c r="K337" t="s">
        <v>22</v>
      </c>
      <c r="L337" s="6">
        <v>14828.25</v>
      </c>
      <c r="M337" t="str">
        <f>TEXT(Table1[[#This Row],[Admission_Date]], "mmm")</f>
        <v>Apr</v>
      </c>
      <c r="N337">
        <f>YEAR(Table1[[#This Row],[Admission_Date]])</f>
        <v>2025</v>
      </c>
      <c r="O337" t="str">
        <f>IF(Table1[[#This Row],[Age]]&lt;30, "Young Adult", IF(Table1[[#This Row],[Age]]&lt;60, "Adult", "Senior"))</f>
        <v>Adult</v>
      </c>
    </row>
    <row r="338" spans="1:15" x14ac:dyDescent="0.25">
      <c r="A338" t="s">
        <v>365</v>
      </c>
      <c r="B338">
        <v>27</v>
      </c>
      <c r="C338" t="s">
        <v>13</v>
      </c>
      <c r="D338" t="s">
        <v>40</v>
      </c>
      <c r="E338" s="4">
        <v>45874</v>
      </c>
      <c r="F338" s="4">
        <v>45886</v>
      </c>
      <c r="G338" s="8">
        <v>12</v>
      </c>
      <c r="H338" t="s">
        <v>15</v>
      </c>
      <c r="I338">
        <v>3</v>
      </c>
      <c r="J338" t="s">
        <v>16</v>
      </c>
      <c r="K338" t="s">
        <v>22</v>
      </c>
      <c r="L338" s="6">
        <v>5043.6000000000004</v>
      </c>
      <c r="M338" t="str">
        <f>TEXT(Table1[[#This Row],[Admission_Date]], "mmm")</f>
        <v>Aug</v>
      </c>
      <c r="N338">
        <f>YEAR(Table1[[#This Row],[Admission_Date]])</f>
        <v>2025</v>
      </c>
      <c r="O338" t="str">
        <f>IF(Table1[[#This Row],[Age]]&lt;30, "Young Adult", IF(Table1[[#This Row],[Age]]&lt;60, "Adult", "Senior"))</f>
        <v>Young Adult</v>
      </c>
    </row>
    <row r="339" spans="1:15" x14ac:dyDescent="0.25">
      <c r="A339" t="s">
        <v>366</v>
      </c>
      <c r="B339">
        <v>35</v>
      </c>
      <c r="C339" t="s">
        <v>13</v>
      </c>
      <c r="D339" t="s">
        <v>19</v>
      </c>
      <c r="E339" s="4">
        <v>45811</v>
      </c>
      <c r="F339" s="4">
        <v>45814</v>
      </c>
      <c r="G339" s="8">
        <v>3</v>
      </c>
      <c r="H339" t="s">
        <v>20</v>
      </c>
      <c r="I339">
        <v>0</v>
      </c>
      <c r="J339" t="s">
        <v>16</v>
      </c>
      <c r="K339" t="s">
        <v>17</v>
      </c>
      <c r="L339" s="6">
        <v>9925.2900000000009</v>
      </c>
      <c r="M339" t="str">
        <f>TEXT(Table1[[#This Row],[Admission_Date]], "mmm")</f>
        <v>Jun</v>
      </c>
      <c r="N339">
        <f>YEAR(Table1[[#This Row],[Admission_Date]])</f>
        <v>2025</v>
      </c>
      <c r="O339" t="str">
        <f>IF(Table1[[#This Row],[Age]]&lt;30, "Young Adult", IF(Table1[[#This Row],[Age]]&lt;60, "Adult", "Senior"))</f>
        <v>Adult</v>
      </c>
    </row>
    <row r="340" spans="1:15" x14ac:dyDescent="0.25">
      <c r="A340" t="s">
        <v>367</v>
      </c>
      <c r="B340">
        <v>37</v>
      </c>
      <c r="C340" t="s">
        <v>24</v>
      </c>
      <c r="D340" t="s">
        <v>34</v>
      </c>
      <c r="E340" s="4">
        <v>45883</v>
      </c>
      <c r="F340" s="4">
        <v>45889</v>
      </c>
      <c r="G340" s="8">
        <v>6</v>
      </c>
      <c r="H340" t="s">
        <v>20</v>
      </c>
      <c r="I340">
        <v>0</v>
      </c>
      <c r="J340" t="s">
        <v>29</v>
      </c>
      <c r="K340" t="s">
        <v>22</v>
      </c>
      <c r="L340" s="6">
        <v>1756.98</v>
      </c>
      <c r="M340" t="str">
        <f>TEXT(Table1[[#This Row],[Admission_Date]], "mmm")</f>
        <v>Aug</v>
      </c>
      <c r="N340">
        <f>YEAR(Table1[[#This Row],[Admission_Date]])</f>
        <v>2025</v>
      </c>
      <c r="O340" t="str">
        <f>IF(Table1[[#This Row],[Age]]&lt;30, "Young Adult", IF(Table1[[#This Row],[Age]]&lt;60, "Adult", "Senior"))</f>
        <v>Adult</v>
      </c>
    </row>
    <row r="341" spans="1:15" x14ac:dyDescent="0.25">
      <c r="A341" t="s">
        <v>368</v>
      </c>
      <c r="B341">
        <v>67</v>
      </c>
      <c r="C341" t="s">
        <v>24</v>
      </c>
      <c r="D341" t="s">
        <v>40</v>
      </c>
      <c r="E341" s="4">
        <v>45709</v>
      </c>
      <c r="F341" s="4">
        <v>45712</v>
      </c>
      <c r="G341" s="8">
        <v>3</v>
      </c>
      <c r="H341" t="s">
        <v>20</v>
      </c>
      <c r="I341">
        <v>0</v>
      </c>
      <c r="J341" t="s">
        <v>25</v>
      </c>
      <c r="K341" t="s">
        <v>22</v>
      </c>
      <c r="L341" s="6">
        <v>4092.9</v>
      </c>
      <c r="M341" t="str">
        <f>TEXT(Table1[[#This Row],[Admission_Date]], "mmm")</f>
        <v>Feb</v>
      </c>
      <c r="N341">
        <f>YEAR(Table1[[#This Row],[Admission_Date]])</f>
        <v>2025</v>
      </c>
      <c r="O341" t="str">
        <f>IF(Table1[[#This Row],[Age]]&lt;30, "Young Adult", IF(Table1[[#This Row],[Age]]&lt;60, "Adult", "Senior"))</f>
        <v>Senior</v>
      </c>
    </row>
    <row r="342" spans="1:15" x14ac:dyDescent="0.25">
      <c r="A342" t="s">
        <v>369</v>
      </c>
      <c r="B342">
        <v>54</v>
      </c>
      <c r="C342" t="s">
        <v>13</v>
      </c>
      <c r="D342" t="s">
        <v>28</v>
      </c>
      <c r="E342" s="4">
        <v>45988</v>
      </c>
      <c r="F342" s="4">
        <v>45990</v>
      </c>
      <c r="G342" s="8">
        <v>2</v>
      </c>
      <c r="H342" t="s">
        <v>15</v>
      </c>
      <c r="I342">
        <v>29</v>
      </c>
      <c r="J342" t="s">
        <v>25</v>
      </c>
      <c r="K342" t="s">
        <v>22</v>
      </c>
      <c r="L342" s="6">
        <v>8007.36</v>
      </c>
      <c r="M342" t="str">
        <f>TEXT(Table1[[#This Row],[Admission_Date]], "mmm")</f>
        <v>Nov</v>
      </c>
      <c r="N342">
        <f>YEAR(Table1[[#This Row],[Admission_Date]])</f>
        <v>2025</v>
      </c>
      <c r="O342" t="str">
        <f>IF(Table1[[#This Row],[Age]]&lt;30, "Young Adult", IF(Table1[[#This Row],[Age]]&lt;60, "Adult", "Senior"))</f>
        <v>Adult</v>
      </c>
    </row>
    <row r="343" spans="1:15" x14ac:dyDescent="0.25">
      <c r="A343" t="s">
        <v>370</v>
      </c>
      <c r="B343">
        <v>55</v>
      </c>
      <c r="C343" t="s">
        <v>13</v>
      </c>
      <c r="D343" t="s">
        <v>14</v>
      </c>
      <c r="E343" s="4">
        <v>45918</v>
      </c>
      <c r="F343" s="4">
        <v>45922</v>
      </c>
      <c r="G343" s="8">
        <v>4</v>
      </c>
      <c r="H343" t="s">
        <v>20</v>
      </c>
      <c r="I343">
        <v>0</v>
      </c>
      <c r="J343" t="s">
        <v>29</v>
      </c>
      <c r="K343" t="s">
        <v>47</v>
      </c>
      <c r="L343" s="6">
        <v>2134.7800000000002</v>
      </c>
      <c r="M343" t="str">
        <f>TEXT(Table1[[#This Row],[Admission_Date]], "mmm")</f>
        <v>Sep</v>
      </c>
      <c r="N343">
        <f>YEAR(Table1[[#This Row],[Admission_Date]])</f>
        <v>2025</v>
      </c>
      <c r="O343" t="str">
        <f>IF(Table1[[#This Row],[Age]]&lt;30, "Young Adult", IF(Table1[[#This Row],[Age]]&lt;60, "Adult", "Senior"))</f>
        <v>Adult</v>
      </c>
    </row>
    <row r="344" spans="1:15" x14ac:dyDescent="0.25">
      <c r="A344" t="s">
        <v>371</v>
      </c>
      <c r="B344">
        <v>85</v>
      </c>
      <c r="C344" t="s">
        <v>13</v>
      </c>
      <c r="D344" t="s">
        <v>32</v>
      </c>
      <c r="E344" s="4">
        <v>45913</v>
      </c>
      <c r="F344" s="4">
        <v>45924</v>
      </c>
      <c r="G344" s="8">
        <v>11</v>
      </c>
      <c r="H344" t="s">
        <v>20</v>
      </c>
      <c r="I344">
        <v>0</v>
      </c>
      <c r="J344" t="s">
        <v>25</v>
      </c>
      <c r="K344" t="s">
        <v>22</v>
      </c>
      <c r="L344" s="6">
        <v>6109.15</v>
      </c>
      <c r="M344" t="str">
        <f>TEXT(Table1[[#This Row],[Admission_Date]], "mmm")</f>
        <v>Sep</v>
      </c>
      <c r="N344">
        <f>YEAR(Table1[[#This Row],[Admission_Date]])</f>
        <v>2025</v>
      </c>
      <c r="O344" t="str">
        <f>IF(Table1[[#This Row],[Age]]&lt;30, "Young Adult", IF(Table1[[#This Row],[Age]]&lt;60, "Adult", "Senior"))</f>
        <v>Senior</v>
      </c>
    </row>
    <row r="345" spans="1:15" x14ac:dyDescent="0.25">
      <c r="A345" t="s">
        <v>372</v>
      </c>
      <c r="B345">
        <v>40</v>
      </c>
      <c r="C345" t="s">
        <v>24</v>
      </c>
      <c r="D345" t="s">
        <v>19</v>
      </c>
      <c r="E345" s="4">
        <v>45949</v>
      </c>
      <c r="F345" s="4">
        <v>45956</v>
      </c>
      <c r="G345" s="8">
        <v>7</v>
      </c>
      <c r="H345" t="s">
        <v>20</v>
      </c>
      <c r="I345">
        <v>0</v>
      </c>
      <c r="J345" t="s">
        <v>16</v>
      </c>
      <c r="K345" t="s">
        <v>17</v>
      </c>
      <c r="L345" s="6">
        <v>1479.22</v>
      </c>
      <c r="M345" t="str">
        <f>TEXT(Table1[[#This Row],[Admission_Date]], "mmm")</f>
        <v>Oct</v>
      </c>
      <c r="N345">
        <f>YEAR(Table1[[#This Row],[Admission_Date]])</f>
        <v>2025</v>
      </c>
      <c r="O345" t="str">
        <f>IF(Table1[[#This Row],[Age]]&lt;30, "Young Adult", IF(Table1[[#This Row],[Age]]&lt;60, "Adult", "Senior"))</f>
        <v>Adult</v>
      </c>
    </row>
    <row r="346" spans="1:15" x14ac:dyDescent="0.25">
      <c r="A346" t="s">
        <v>373</v>
      </c>
      <c r="B346">
        <v>25</v>
      </c>
      <c r="C346" t="s">
        <v>24</v>
      </c>
      <c r="D346" t="s">
        <v>34</v>
      </c>
      <c r="E346" s="4">
        <v>45792</v>
      </c>
      <c r="F346" s="4">
        <v>45796</v>
      </c>
      <c r="G346" s="8">
        <v>4</v>
      </c>
      <c r="H346" t="s">
        <v>15</v>
      </c>
      <c r="I346">
        <v>10</v>
      </c>
      <c r="J346" t="s">
        <v>29</v>
      </c>
      <c r="K346" t="s">
        <v>47</v>
      </c>
      <c r="L346" s="6">
        <v>10676.25</v>
      </c>
      <c r="M346" t="str">
        <f>TEXT(Table1[[#This Row],[Admission_Date]], "mmm")</f>
        <v>May</v>
      </c>
      <c r="N346">
        <f>YEAR(Table1[[#This Row],[Admission_Date]])</f>
        <v>2025</v>
      </c>
      <c r="O346" t="str">
        <f>IF(Table1[[#This Row],[Age]]&lt;30, "Young Adult", IF(Table1[[#This Row],[Age]]&lt;60, "Adult", "Senior"))</f>
        <v>Young Adult</v>
      </c>
    </row>
    <row r="347" spans="1:15" x14ac:dyDescent="0.25">
      <c r="A347" t="s">
        <v>374</v>
      </c>
      <c r="B347">
        <v>37</v>
      </c>
      <c r="C347" t="s">
        <v>24</v>
      </c>
      <c r="D347" t="s">
        <v>19</v>
      </c>
      <c r="E347" s="4">
        <v>45700</v>
      </c>
      <c r="F347" s="4">
        <v>45711</v>
      </c>
      <c r="G347" s="8">
        <v>11</v>
      </c>
      <c r="H347" t="s">
        <v>20</v>
      </c>
      <c r="I347">
        <v>0</v>
      </c>
      <c r="J347" t="s">
        <v>25</v>
      </c>
      <c r="K347" t="s">
        <v>22</v>
      </c>
      <c r="L347" s="6">
        <v>7913.92</v>
      </c>
      <c r="M347" t="str">
        <f>TEXT(Table1[[#This Row],[Admission_Date]], "mmm")</f>
        <v>Feb</v>
      </c>
      <c r="N347">
        <f>YEAR(Table1[[#This Row],[Admission_Date]])</f>
        <v>2025</v>
      </c>
      <c r="O347" t="str">
        <f>IF(Table1[[#This Row],[Age]]&lt;30, "Young Adult", IF(Table1[[#This Row],[Age]]&lt;60, "Adult", "Senior"))</f>
        <v>Adult</v>
      </c>
    </row>
    <row r="348" spans="1:15" x14ac:dyDescent="0.25">
      <c r="A348" t="s">
        <v>375</v>
      </c>
      <c r="B348">
        <v>59</v>
      </c>
      <c r="C348" t="s">
        <v>24</v>
      </c>
      <c r="D348" t="s">
        <v>34</v>
      </c>
      <c r="E348" s="4">
        <v>45762</v>
      </c>
      <c r="F348" s="4">
        <v>45775</v>
      </c>
      <c r="G348" s="8">
        <v>13</v>
      </c>
      <c r="H348" t="s">
        <v>15</v>
      </c>
      <c r="I348">
        <v>21</v>
      </c>
      <c r="J348" t="s">
        <v>16</v>
      </c>
      <c r="K348" t="s">
        <v>47</v>
      </c>
      <c r="L348" s="6">
        <v>10630.8</v>
      </c>
      <c r="M348" t="str">
        <f>TEXT(Table1[[#This Row],[Admission_Date]], "mmm")</f>
        <v>Apr</v>
      </c>
      <c r="N348">
        <f>YEAR(Table1[[#This Row],[Admission_Date]])</f>
        <v>2025</v>
      </c>
      <c r="O348" t="str">
        <f>IF(Table1[[#This Row],[Age]]&lt;30, "Young Adult", IF(Table1[[#This Row],[Age]]&lt;60, "Adult", "Senior"))</f>
        <v>Adult</v>
      </c>
    </row>
    <row r="349" spans="1:15" x14ac:dyDescent="0.25">
      <c r="A349" t="s">
        <v>376</v>
      </c>
      <c r="B349">
        <v>73</v>
      </c>
      <c r="C349" t="s">
        <v>13</v>
      </c>
      <c r="D349" t="s">
        <v>40</v>
      </c>
      <c r="E349" s="4">
        <v>45780</v>
      </c>
      <c r="F349" s="4">
        <v>45781</v>
      </c>
      <c r="G349" s="8">
        <v>1</v>
      </c>
      <c r="H349" t="s">
        <v>15</v>
      </c>
      <c r="I349">
        <v>20</v>
      </c>
      <c r="J349" t="s">
        <v>16</v>
      </c>
      <c r="K349" t="s">
        <v>47</v>
      </c>
      <c r="L349" s="6">
        <v>10158.15</v>
      </c>
      <c r="M349" t="str">
        <f>TEXT(Table1[[#This Row],[Admission_Date]], "mmm")</f>
        <v>May</v>
      </c>
      <c r="N349">
        <f>YEAR(Table1[[#This Row],[Admission_Date]])</f>
        <v>2025</v>
      </c>
      <c r="O349" t="str">
        <f>IF(Table1[[#This Row],[Age]]&lt;30, "Young Adult", IF(Table1[[#This Row],[Age]]&lt;60, "Adult", "Senior"))</f>
        <v>Senior</v>
      </c>
    </row>
    <row r="350" spans="1:15" x14ac:dyDescent="0.25">
      <c r="A350" t="s">
        <v>377</v>
      </c>
      <c r="B350">
        <v>19</v>
      </c>
      <c r="C350" t="s">
        <v>13</v>
      </c>
      <c r="D350" t="s">
        <v>28</v>
      </c>
      <c r="E350" s="4">
        <v>45994</v>
      </c>
      <c r="F350" s="4">
        <v>46006</v>
      </c>
      <c r="G350" s="8">
        <v>12</v>
      </c>
      <c r="H350" t="s">
        <v>15</v>
      </c>
      <c r="I350">
        <v>1</v>
      </c>
      <c r="J350" t="s">
        <v>21</v>
      </c>
      <c r="K350" t="s">
        <v>47</v>
      </c>
      <c r="L350" s="6">
        <v>14318.73</v>
      </c>
      <c r="M350" t="str">
        <f>TEXT(Table1[[#This Row],[Admission_Date]], "mmm")</f>
        <v>Dec</v>
      </c>
      <c r="N350">
        <f>YEAR(Table1[[#This Row],[Admission_Date]])</f>
        <v>2025</v>
      </c>
      <c r="O350" t="str">
        <f>IF(Table1[[#This Row],[Age]]&lt;30, "Young Adult", IF(Table1[[#This Row],[Age]]&lt;60, "Adult", "Senior"))</f>
        <v>Young Adult</v>
      </c>
    </row>
    <row r="351" spans="1:15" x14ac:dyDescent="0.25">
      <c r="A351" t="s">
        <v>378</v>
      </c>
      <c r="B351">
        <v>51</v>
      </c>
      <c r="C351" t="s">
        <v>13</v>
      </c>
      <c r="D351" t="s">
        <v>32</v>
      </c>
      <c r="E351" s="4">
        <v>45925</v>
      </c>
      <c r="F351" s="4">
        <v>45934</v>
      </c>
      <c r="G351" s="8">
        <v>9</v>
      </c>
      <c r="H351" t="s">
        <v>20</v>
      </c>
      <c r="I351">
        <v>0</v>
      </c>
      <c r="J351" t="s">
        <v>21</v>
      </c>
      <c r="K351" t="s">
        <v>17</v>
      </c>
      <c r="L351" s="6">
        <v>11826.3</v>
      </c>
      <c r="M351" t="str">
        <f>TEXT(Table1[[#This Row],[Admission_Date]], "mmm")</f>
        <v>Sep</v>
      </c>
      <c r="N351">
        <f>YEAR(Table1[[#This Row],[Admission_Date]])</f>
        <v>2025</v>
      </c>
      <c r="O351" t="str">
        <f>IF(Table1[[#This Row],[Age]]&lt;30, "Young Adult", IF(Table1[[#This Row],[Age]]&lt;60, "Adult", "Senior"))</f>
        <v>Adult</v>
      </c>
    </row>
    <row r="352" spans="1:15" x14ac:dyDescent="0.25">
      <c r="A352" t="s">
        <v>379</v>
      </c>
      <c r="B352">
        <v>21</v>
      </c>
      <c r="C352" t="s">
        <v>24</v>
      </c>
      <c r="D352" t="s">
        <v>40</v>
      </c>
      <c r="E352" s="4">
        <v>45795</v>
      </c>
      <c r="F352" s="4">
        <v>45807</v>
      </c>
      <c r="G352" s="8">
        <v>12</v>
      </c>
      <c r="H352" t="s">
        <v>20</v>
      </c>
      <c r="I352">
        <v>0</v>
      </c>
      <c r="J352" t="s">
        <v>25</v>
      </c>
      <c r="K352" t="s">
        <v>17</v>
      </c>
      <c r="L352" s="6">
        <v>1426.14</v>
      </c>
      <c r="M352" t="str">
        <f>TEXT(Table1[[#This Row],[Admission_Date]], "mmm")</f>
        <v>May</v>
      </c>
      <c r="N352">
        <f>YEAR(Table1[[#This Row],[Admission_Date]])</f>
        <v>2025</v>
      </c>
      <c r="O352" t="str">
        <f>IF(Table1[[#This Row],[Age]]&lt;30, "Young Adult", IF(Table1[[#This Row],[Age]]&lt;60, "Adult", "Senior"))</f>
        <v>Young Adult</v>
      </c>
    </row>
    <row r="353" spans="1:15" x14ac:dyDescent="0.25">
      <c r="A353" t="s">
        <v>380</v>
      </c>
      <c r="B353">
        <v>81</v>
      </c>
      <c r="C353" t="s">
        <v>24</v>
      </c>
      <c r="D353" t="s">
        <v>34</v>
      </c>
      <c r="E353" s="4">
        <v>46022</v>
      </c>
      <c r="F353" s="4">
        <v>46032</v>
      </c>
      <c r="G353" s="8">
        <v>10</v>
      </c>
      <c r="H353" t="s">
        <v>20</v>
      </c>
      <c r="I353">
        <v>0</v>
      </c>
      <c r="J353" t="s">
        <v>25</v>
      </c>
      <c r="K353" t="s">
        <v>22</v>
      </c>
      <c r="L353" s="6">
        <v>7744.35</v>
      </c>
      <c r="M353" t="str">
        <f>TEXT(Table1[[#This Row],[Admission_Date]], "mmm")</f>
        <v>Dec</v>
      </c>
      <c r="N353">
        <f>YEAR(Table1[[#This Row],[Admission_Date]])</f>
        <v>2025</v>
      </c>
      <c r="O353" t="str">
        <f>IF(Table1[[#This Row],[Age]]&lt;30, "Young Adult", IF(Table1[[#This Row],[Age]]&lt;60, "Adult", "Senior"))</f>
        <v>Senior</v>
      </c>
    </row>
    <row r="354" spans="1:15" x14ac:dyDescent="0.25">
      <c r="A354" t="s">
        <v>381</v>
      </c>
      <c r="B354">
        <v>50</v>
      </c>
      <c r="C354" t="s">
        <v>13</v>
      </c>
      <c r="D354" t="s">
        <v>34</v>
      </c>
      <c r="E354" s="4">
        <v>45948</v>
      </c>
      <c r="F354" s="4">
        <v>45951</v>
      </c>
      <c r="G354" s="8">
        <v>3</v>
      </c>
      <c r="H354" t="s">
        <v>20</v>
      </c>
      <c r="I354">
        <v>0</v>
      </c>
      <c r="J354" t="s">
        <v>16</v>
      </c>
      <c r="K354" t="s">
        <v>22</v>
      </c>
      <c r="L354" s="6">
        <v>11241.31</v>
      </c>
      <c r="M354" t="str">
        <f>TEXT(Table1[[#This Row],[Admission_Date]], "mmm")</f>
        <v>Oct</v>
      </c>
      <c r="N354">
        <f>YEAR(Table1[[#This Row],[Admission_Date]])</f>
        <v>2025</v>
      </c>
      <c r="O354" t="str">
        <f>IF(Table1[[#This Row],[Age]]&lt;30, "Young Adult", IF(Table1[[#This Row],[Age]]&lt;60, "Adult", "Senior"))</f>
        <v>Adult</v>
      </c>
    </row>
    <row r="355" spans="1:15" x14ac:dyDescent="0.25">
      <c r="A355" t="s">
        <v>382</v>
      </c>
      <c r="B355">
        <v>19</v>
      </c>
      <c r="C355" t="s">
        <v>13</v>
      </c>
      <c r="D355" t="s">
        <v>19</v>
      </c>
      <c r="E355" s="4">
        <v>45659</v>
      </c>
      <c r="F355" s="4">
        <v>45660</v>
      </c>
      <c r="G355" s="8">
        <v>1</v>
      </c>
      <c r="H355" t="s">
        <v>20</v>
      </c>
      <c r="I355">
        <v>0</v>
      </c>
      <c r="J355" t="s">
        <v>29</v>
      </c>
      <c r="K355" t="s">
        <v>47</v>
      </c>
      <c r="L355" s="6">
        <v>6053.2</v>
      </c>
      <c r="M355" t="str">
        <f>TEXT(Table1[[#This Row],[Admission_Date]], "mmm")</f>
        <v>Jan</v>
      </c>
      <c r="N355">
        <f>YEAR(Table1[[#This Row],[Admission_Date]])</f>
        <v>2025</v>
      </c>
      <c r="O355" t="str">
        <f>IF(Table1[[#This Row],[Age]]&lt;30, "Young Adult", IF(Table1[[#This Row],[Age]]&lt;60, "Adult", "Senior"))</f>
        <v>Young Adult</v>
      </c>
    </row>
    <row r="356" spans="1:15" x14ac:dyDescent="0.25">
      <c r="A356" t="s">
        <v>383</v>
      </c>
      <c r="B356">
        <v>22</v>
      </c>
      <c r="C356" t="s">
        <v>24</v>
      </c>
      <c r="D356" t="s">
        <v>14</v>
      </c>
      <c r="E356" s="4">
        <v>45734</v>
      </c>
      <c r="F356" s="4">
        <v>45737</v>
      </c>
      <c r="G356" s="8">
        <v>3</v>
      </c>
      <c r="H356" t="s">
        <v>20</v>
      </c>
      <c r="I356">
        <v>0</v>
      </c>
      <c r="J356" t="s">
        <v>25</v>
      </c>
      <c r="K356" t="s">
        <v>22</v>
      </c>
      <c r="L356" s="6">
        <v>6535.72</v>
      </c>
      <c r="M356" t="str">
        <f>TEXT(Table1[[#This Row],[Admission_Date]], "mmm")</f>
        <v>Mar</v>
      </c>
      <c r="N356">
        <f>YEAR(Table1[[#This Row],[Admission_Date]])</f>
        <v>2025</v>
      </c>
      <c r="O356" t="str">
        <f>IF(Table1[[#This Row],[Age]]&lt;30, "Young Adult", IF(Table1[[#This Row],[Age]]&lt;60, "Adult", "Senior"))</f>
        <v>Young Adult</v>
      </c>
    </row>
    <row r="357" spans="1:15" x14ac:dyDescent="0.25">
      <c r="A357" t="s">
        <v>384</v>
      </c>
      <c r="B357">
        <v>65</v>
      </c>
      <c r="C357" t="s">
        <v>13</v>
      </c>
      <c r="D357" t="s">
        <v>34</v>
      </c>
      <c r="E357" s="4">
        <v>45821</v>
      </c>
      <c r="F357" s="4">
        <v>45826</v>
      </c>
      <c r="G357" s="8">
        <v>5</v>
      </c>
      <c r="H357" t="s">
        <v>20</v>
      </c>
      <c r="I357">
        <v>0</v>
      </c>
      <c r="J357" t="s">
        <v>16</v>
      </c>
      <c r="K357" t="s">
        <v>22</v>
      </c>
      <c r="L357" s="6">
        <v>3736.18</v>
      </c>
      <c r="M357" t="str">
        <f>TEXT(Table1[[#This Row],[Admission_Date]], "mmm")</f>
        <v>Jun</v>
      </c>
      <c r="N357">
        <f>YEAR(Table1[[#This Row],[Admission_Date]])</f>
        <v>2025</v>
      </c>
      <c r="O357" t="str">
        <f>IF(Table1[[#This Row],[Age]]&lt;30, "Young Adult", IF(Table1[[#This Row],[Age]]&lt;60, "Adult", "Senior"))</f>
        <v>Senior</v>
      </c>
    </row>
    <row r="358" spans="1:15" x14ac:dyDescent="0.25">
      <c r="A358" t="s">
        <v>385</v>
      </c>
      <c r="B358">
        <v>26</v>
      </c>
      <c r="C358" t="s">
        <v>24</v>
      </c>
      <c r="D358" t="s">
        <v>32</v>
      </c>
      <c r="E358" s="4">
        <v>45922</v>
      </c>
      <c r="F358" s="4">
        <v>45923</v>
      </c>
      <c r="G358" s="8">
        <v>1</v>
      </c>
      <c r="H358" t="s">
        <v>20</v>
      </c>
      <c r="I358">
        <v>0</v>
      </c>
      <c r="J358" t="s">
        <v>25</v>
      </c>
      <c r="K358" t="s">
        <v>47</v>
      </c>
      <c r="L358" s="6">
        <v>1752.59</v>
      </c>
      <c r="M358" t="str">
        <f>TEXT(Table1[[#This Row],[Admission_Date]], "mmm")</f>
        <v>Sep</v>
      </c>
      <c r="N358">
        <f>YEAR(Table1[[#This Row],[Admission_Date]])</f>
        <v>2025</v>
      </c>
      <c r="O358" t="str">
        <f>IF(Table1[[#This Row],[Age]]&lt;30, "Young Adult", IF(Table1[[#This Row],[Age]]&lt;60, "Adult", "Senior"))</f>
        <v>Young Adult</v>
      </c>
    </row>
    <row r="359" spans="1:15" x14ac:dyDescent="0.25">
      <c r="A359" t="s">
        <v>386</v>
      </c>
      <c r="B359">
        <v>55</v>
      </c>
      <c r="C359" t="s">
        <v>24</v>
      </c>
      <c r="D359" t="s">
        <v>28</v>
      </c>
      <c r="E359" s="4">
        <v>45891</v>
      </c>
      <c r="F359" s="4">
        <v>45892</v>
      </c>
      <c r="G359" s="8">
        <v>1</v>
      </c>
      <c r="H359" t="s">
        <v>20</v>
      </c>
      <c r="I359">
        <v>0</v>
      </c>
      <c r="J359" t="s">
        <v>21</v>
      </c>
      <c r="K359" t="s">
        <v>47</v>
      </c>
      <c r="L359" s="6">
        <v>5839.97</v>
      </c>
      <c r="M359" t="str">
        <f>TEXT(Table1[[#This Row],[Admission_Date]], "mmm")</f>
        <v>Aug</v>
      </c>
      <c r="N359">
        <f>YEAR(Table1[[#This Row],[Admission_Date]])</f>
        <v>2025</v>
      </c>
      <c r="O359" t="str">
        <f>IF(Table1[[#This Row],[Age]]&lt;30, "Young Adult", IF(Table1[[#This Row],[Age]]&lt;60, "Adult", "Senior"))</f>
        <v>Adult</v>
      </c>
    </row>
    <row r="360" spans="1:15" x14ac:dyDescent="0.25">
      <c r="A360" t="s">
        <v>387</v>
      </c>
      <c r="B360">
        <v>87</v>
      </c>
      <c r="C360" t="s">
        <v>13</v>
      </c>
      <c r="D360" t="s">
        <v>14</v>
      </c>
      <c r="E360" s="4">
        <v>45910</v>
      </c>
      <c r="F360" s="4">
        <v>45923</v>
      </c>
      <c r="G360" s="8">
        <v>13</v>
      </c>
      <c r="H360" t="s">
        <v>20</v>
      </c>
      <c r="I360">
        <v>0</v>
      </c>
      <c r="J360" t="s">
        <v>16</v>
      </c>
      <c r="K360" t="s">
        <v>47</v>
      </c>
      <c r="L360" s="6">
        <v>846.7</v>
      </c>
      <c r="M360" t="str">
        <f>TEXT(Table1[[#This Row],[Admission_Date]], "mmm")</f>
        <v>Sep</v>
      </c>
      <c r="N360">
        <f>YEAR(Table1[[#This Row],[Admission_Date]])</f>
        <v>2025</v>
      </c>
      <c r="O360" t="str">
        <f>IF(Table1[[#This Row],[Age]]&lt;30, "Young Adult", IF(Table1[[#This Row],[Age]]&lt;60, "Adult", "Senior"))</f>
        <v>Senior</v>
      </c>
    </row>
    <row r="361" spans="1:15" x14ac:dyDescent="0.25">
      <c r="A361" t="s">
        <v>388</v>
      </c>
      <c r="B361">
        <v>19</v>
      </c>
      <c r="C361" t="s">
        <v>24</v>
      </c>
      <c r="D361" t="s">
        <v>19</v>
      </c>
      <c r="E361" s="4">
        <v>45935</v>
      </c>
      <c r="F361" s="4">
        <v>45941</v>
      </c>
      <c r="G361" s="8">
        <v>6</v>
      </c>
      <c r="H361" t="s">
        <v>20</v>
      </c>
      <c r="I361">
        <v>0</v>
      </c>
      <c r="J361" t="s">
        <v>29</v>
      </c>
      <c r="K361" t="s">
        <v>17</v>
      </c>
      <c r="L361" s="6">
        <v>11044.62</v>
      </c>
      <c r="M361" t="str">
        <f>TEXT(Table1[[#This Row],[Admission_Date]], "mmm")</f>
        <v>Oct</v>
      </c>
      <c r="N361">
        <f>YEAR(Table1[[#This Row],[Admission_Date]])</f>
        <v>2025</v>
      </c>
      <c r="O361" t="str">
        <f>IF(Table1[[#This Row],[Age]]&lt;30, "Young Adult", IF(Table1[[#This Row],[Age]]&lt;60, "Adult", "Senior"))</f>
        <v>Young Adult</v>
      </c>
    </row>
    <row r="362" spans="1:15" x14ac:dyDescent="0.25">
      <c r="A362" t="s">
        <v>389</v>
      </c>
      <c r="B362">
        <v>48</v>
      </c>
      <c r="C362" t="s">
        <v>24</v>
      </c>
      <c r="D362" t="s">
        <v>40</v>
      </c>
      <c r="E362" s="4">
        <v>45711</v>
      </c>
      <c r="F362" s="4">
        <v>45715</v>
      </c>
      <c r="G362" s="8">
        <v>4</v>
      </c>
      <c r="H362" t="s">
        <v>20</v>
      </c>
      <c r="I362">
        <v>0</v>
      </c>
      <c r="J362" t="s">
        <v>16</v>
      </c>
      <c r="K362" t="s">
        <v>22</v>
      </c>
      <c r="L362" s="6">
        <v>10818.96</v>
      </c>
      <c r="M362" t="str">
        <f>TEXT(Table1[[#This Row],[Admission_Date]], "mmm")</f>
        <v>Feb</v>
      </c>
      <c r="N362">
        <f>YEAR(Table1[[#This Row],[Admission_Date]])</f>
        <v>2025</v>
      </c>
      <c r="O362" t="str">
        <f>IF(Table1[[#This Row],[Age]]&lt;30, "Young Adult", IF(Table1[[#This Row],[Age]]&lt;60, "Adult", "Senior"))</f>
        <v>Adult</v>
      </c>
    </row>
    <row r="363" spans="1:15" x14ac:dyDescent="0.25">
      <c r="A363" t="s">
        <v>390</v>
      </c>
      <c r="B363">
        <v>84</v>
      </c>
      <c r="C363" t="s">
        <v>24</v>
      </c>
      <c r="D363" t="s">
        <v>28</v>
      </c>
      <c r="E363" s="4">
        <v>45705</v>
      </c>
      <c r="F363" s="4">
        <v>45706</v>
      </c>
      <c r="G363" s="8">
        <v>1</v>
      </c>
      <c r="H363" t="s">
        <v>20</v>
      </c>
      <c r="I363">
        <v>0</v>
      </c>
      <c r="J363" t="s">
        <v>25</v>
      </c>
      <c r="K363" t="s">
        <v>47</v>
      </c>
      <c r="L363" s="6">
        <v>14631.04</v>
      </c>
      <c r="M363" t="str">
        <f>TEXT(Table1[[#This Row],[Admission_Date]], "mmm")</f>
        <v>Feb</v>
      </c>
      <c r="N363">
        <f>YEAR(Table1[[#This Row],[Admission_Date]])</f>
        <v>2025</v>
      </c>
      <c r="O363" t="str">
        <f>IF(Table1[[#This Row],[Age]]&lt;30, "Young Adult", IF(Table1[[#This Row],[Age]]&lt;60, "Adult", "Senior"))</f>
        <v>Senior</v>
      </c>
    </row>
    <row r="364" spans="1:15" x14ac:dyDescent="0.25">
      <c r="A364" t="s">
        <v>391</v>
      </c>
      <c r="B364">
        <v>35</v>
      </c>
      <c r="C364" t="s">
        <v>24</v>
      </c>
      <c r="D364" t="s">
        <v>19</v>
      </c>
      <c r="E364" s="4">
        <v>45701</v>
      </c>
      <c r="F364" s="4">
        <v>45711</v>
      </c>
      <c r="G364" s="8">
        <v>10</v>
      </c>
      <c r="H364" t="s">
        <v>15</v>
      </c>
      <c r="I364">
        <v>19</v>
      </c>
      <c r="J364" t="s">
        <v>16</v>
      </c>
      <c r="K364" t="s">
        <v>47</v>
      </c>
      <c r="L364" s="6">
        <v>10105.44</v>
      </c>
      <c r="M364" t="str">
        <f>TEXT(Table1[[#This Row],[Admission_Date]], "mmm")</f>
        <v>Feb</v>
      </c>
      <c r="N364">
        <f>YEAR(Table1[[#This Row],[Admission_Date]])</f>
        <v>2025</v>
      </c>
      <c r="O364" t="str">
        <f>IF(Table1[[#This Row],[Age]]&lt;30, "Young Adult", IF(Table1[[#This Row],[Age]]&lt;60, "Adult", "Senior"))</f>
        <v>Adult</v>
      </c>
    </row>
    <row r="365" spans="1:15" x14ac:dyDescent="0.25">
      <c r="A365" t="s">
        <v>392</v>
      </c>
      <c r="B365">
        <v>58</v>
      </c>
      <c r="C365" t="s">
        <v>24</v>
      </c>
      <c r="D365" t="s">
        <v>28</v>
      </c>
      <c r="E365" s="4">
        <v>45724</v>
      </c>
      <c r="F365" s="4">
        <v>45728</v>
      </c>
      <c r="G365" s="8">
        <v>4</v>
      </c>
      <c r="H365" t="s">
        <v>15</v>
      </c>
      <c r="I365">
        <v>27</v>
      </c>
      <c r="J365" t="s">
        <v>25</v>
      </c>
      <c r="K365" t="s">
        <v>47</v>
      </c>
      <c r="L365" s="6">
        <v>7064.99</v>
      </c>
      <c r="M365" t="str">
        <f>TEXT(Table1[[#This Row],[Admission_Date]], "mmm")</f>
        <v>Mar</v>
      </c>
      <c r="N365">
        <f>YEAR(Table1[[#This Row],[Admission_Date]])</f>
        <v>2025</v>
      </c>
      <c r="O365" t="str">
        <f>IF(Table1[[#This Row],[Age]]&lt;30, "Young Adult", IF(Table1[[#This Row],[Age]]&lt;60, "Adult", "Senior"))</f>
        <v>Adult</v>
      </c>
    </row>
    <row r="366" spans="1:15" x14ac:dyDescent="0.25">
      <c r="A366" t="s">
        <v>393</v>
      </c>
      <c r="B366">
        <v>35</v>
      </c>
      <c r="C366" t="s">
        <v>13</v>
      </c>
      <c r="D366" t="s">
        <v>14</v>
      </c>
      <c r="E366" s="4">
        <v>45777</v>
      </c>
      <c r="F366" s="4">
        <v>45779</v>
      </c>
      <c r="G366" s="8">
        <v>2</v>
      </c>
      <c r="H366" t="s">
        <v>20</v>
      </c>
      <c r="I366">
        <v>0</v>
      </c>
      <c r="J366" t="s">
        <v>16</v>
      </c>
      <c r="K366" t="s">
        <v>22</v>
      </c>
      <c r="L366" s="6">
        <v>7018.72</v>
      </c>
      <c r="M366" t="str">
        <f>TEXT(Table1[[#This Row],[Admission_Date]], "mmm")</f>
        <v>Apr</v>
      </c>
      <c r="N366">
        <f>YEAR(Table1[[#This Row],[Admission_Date]])</f>
        <v>2025</v>
      </c>
      <c r="O366" t="str">
        <f>IF(Table1[[#This Row],[Age]]&lt;30, "Young Adult", IF(Table1[[#This Row],[Age]]&lt;60, "Adult", "Senior"))</f>
        <v>Adult</v>
      </c>
    </row>
    <row r="367" spans="1:15" x14ac:dyDescent="0.25">
      <c r="A367" t="s">
        <v>394</v>
      </c>
      <c r="B367">
        <v>63</v>
      </c>
      <c r="C367" t="s">
        <v>13</v>
      </c>
      <c r="D367" t="s">
        <v>40</v>
      </c>
      <c r="E367" s="4">
        <v>45818</v>
      </c>
      <c r="F367" s="4">
        <v>45825</v>
      </c>
      <c r="G367" s="8">
        <v>7</v>
      </c>
      <c r="H367" t="s">
        <v>15</v>
      </c>
      <c r="I367">
        <v>10</v>
      </c>
      <c r="J367" t="s">
        <v>29</v>
      </c>
      <c r="K367" t="s">
        <v>47</v>
      </c>
      <c r="L367" s="6">
        <v>12860.99</v>
      </c>
      <c r="M367" t="str">
        <f>TEXT(Table1[[#This Row],[Admission_Date]], "mmm")</f>
        <v>Jun</v>
      </c>
      <c r="N367">
        <f>YEAR(Table1[[#This Row],[Admission_Date]])</f>
        <v>2025</v>
      </c>
      <c r="O367" t="str">
        <f>IF(Table1[[#This Row],[Age]]&lt;30, "Young Adult", IF(Table1[[#This Row],[Age]]&lt;60, "Adult", "Senior"))</f>
        <v>Senior</v>
      </c>
    </row>
    <row r="368" spans="1:15" x14ac:dyDescent="0.25">
      <c r="A368" t="s">
        <v>395</v>
      </c>
      <c r="B368">
        <v>56</v>
      </c>
      <c r="C368" t="s">
        <v>13</v>
      </c>
      <c r="D368" t="s">
        <v>14</v>
      </c>
      <c r="E368" s="4">
        <v>45704</v>
      </c>
      <c r="F368" s="4">
        <v>45707</v>
      </c>
      <c r="G368" s="8">
        <v>3</v>
      </c>
      <c r="H368" t="s">
        <v>20</v>
      </c>
      <c r="I368">
        <v>0</v>
      </c>
      <c r="J368" t="s">
        <v>25</v>
      </c>
      <c r="K368" t="s">
        <v>22</v>
      </c>
      <c r="L368" s="6">
        <v>1822.59</v>
      </c>
      <c r="M368" t="str">
        <f>TEXT(Table1[[#This Row],[Admission_Date]], "mmm")</f>
        <v>Feb</v>
      </c>
      <c r="N368">
        <f>YEAR(Table1[[#This Row],[Admission_Date]])</f>
        <v>2025</v>
      </c>
      <c r="O368" t="str">
        <f>IF(Table1[[#This Row],[Age]]&lt;30, "Young Adult", IF(Table1[[#This Row],[Age]]&lt;60, "Adult", "Senior"))</f>
        <v>Adult</v>
      </c>
    </row>
    <row r="369" spans="1:15" x14ac:dyDescent="0.25">
      <c r="A369" t="s">
        <v>396</v>
      </c>
      <c r="B369">
        <v>24</v>
      </c>
      <c r="C369" t="s">
        <v>24</v>
      </c>
      <c r="D369" t="s">
        <v>32</v>
      </c>
      <c r="E369" s="4">
        <v>45785</v>
      </c>
      <c r="F369" s="4">
        <v>45791</v>
      </c>
      <c r="G369" s="8">
        <v>6</v>
      </c>
      <c r="H369" t="s">
        <v>20</v>
      </c>
      <c r="I369">
        <v>0</v>
      </c>
      <c r="J369" t="s">
        <v>21</v>
      </c>
      <c r="K369" t="s">
        <v>22</v>
      </c>
      <c r="L369" s="6">
        <v>14305.4</v>
      </c>
      <c r="M369" t="str">
        <f>TEXT(Table1[[#This Row],[Admission_Date]], "mmm")</f>
        <v>May</v>
      </c>
      <c r="N369">
        <f>YEAR(Table1[[#This Row],[Admission_Date]])</f>
        <v>2025</v>
      </c>
      <c r="O369" t="str">
        <f>IF(Table1[[#This Row],[Age]]&lt;30, "Young Adult", IF(Table1[[#This Row],[Age]]&lt;60, "Adult", "Senior"))</f>
        <v>Young Adult</v>
      </c>
    </row>
    <row r="370" spans="1:15" x14ac:dyDescent="0.25">
      <c r="A370" t="s">
        <v>397</v>
      </c>
      <c r="B370">
        <v>49</v>
      </c>
      <c r="C370" t="s">
        <v>13</v>
      </c>
      <c r="D370" t="s">
        <v>40</v>
      </c>
      <c r="E370" s="4">
        <v>45889</v>
      </c>
      <c r="F370" s="4">
        <v>45898</v>
      </c>
      <c r="G370" s="8">
        <v>9</v>
      </c>
      <c r="H370" t="s">
        <v>20</v>
      </c>
      <c r="I370">
        <v>0</v>
      </c>
      <c r="J370" t="s">
        <v>16</v>
      </c>
      <c r="K370" t="s">
        <v>22</v>
      </c>
      <c r="L370" s="6">
        <v>2261.0700000000002</v>
      </c>
      <c r="M370" t="str">
        <f>TEXT(Table1[[#This Row],[Admission_Date]], "mmm")</f>
        <v>Aug</v>
      </c>
      <c r="N370">
        <f>YEAR(Table1[[#This Row],[Admission_Date]])</f>
        <v>2025</v>
      </c>
      <c r="O370" t="str">
        <f>IF(Table1[[#This Row],[Age]]&lt;30, "Young Adult", IF(Table1[[#This Row],[Age]]&lt;60, "Adult", "Senior"))</f>
        <v>Adult</v>
      </c>
    </row>
    <row r="371" spans="1:15" x14ac:dyDescent="0.25">
      <c r="A371" t="s">
        <v>398</v>
      </c>
      <c r="B371">
        <v>46</v>
      </c>
      <c r="C371" t="s">
        <v>13</v>
      </c>
      <c r="D371" t="s">
        <v>14</v>
      </c>
      <c r="E371" s="4">
        <v>45689</v>
      </c>
      <c r="F371" s="4">
        <v>45703</v>
      </c>
      <c r="G371" s="8">
        <v>14</v>
      </c>
      <c r="H371" t="s">
        <v>20</v>
      </c>
      <c r="I371">
        <v>0</v>
      </c>
      <c r="J371" t="s">
        <v>29</v>
      </c>
      <c r="K371" t="s">
        <v>47</v>
      </c>
      <c r="L371" s="6">
        <v>10451.14</v>
      </c>
      <c r="M371" t="str">
        <f>TEXT(Table1[[#This Row],[Admission_Date]], "mmm")</f>
        <v>Feb</v>
      </c>
      <c r="N371">
        <f>YEAR(Table1[[#This Row],[Admission_Date]])</f>
        <v>2025</v>
      </c>
      <c r="O371" t="str">
        <f>IF(Table1[[#This Row],[Age]]&lt;30, "Young Adult", IF(Table1[[#This Row],[Age]]&lt;60, "Adult", "Senior"))</f>
        <v>Adult</v>
      </c>
    </row>
    <row r="372" spans="1:15" x14ac:dyDescent="0.25">
      <c r="A372" t="s">
        <v>399</v>
      </c>
      <c r="B372">
        <v>51</v>
      </c>
      <c r="C372" t="s">
        <v>13</v>
      </c>
      <c r="D372" t="s">
        <v>19</v>
      </c>
      <c r="E372" s="4">
        <v>45988</v>
      </c>
      <c r="F372" s="4">
        <v>45990</v>
      </c>
      <c r="G372" s="8">
        <v>2</v>
      </c>
      <c r="H372" t="s">
        <v>20</v>
      </c>
      <c r="I372">
        <v>0</v>
      </c>
      <c r="J372" t="s">
        <v>16</v>
      </c>
      <c r="K372" t="s">
        <v>22</v>
      </c>
      <c r="L372" s="6">
        <v>13586.19</v>
      </c>
      <c r="M372" t="str">
        <f>TEXT(Table1[[#This Row],[Admission_Date]], "mmm")</f>
        <v>Nov</v>
      </c>
      <c r="N372">
        <f>YEAR(Table1[[#This Row],[Admission_Date]])</f>
        <v>2025</v>
      </c>
      <c r="O372" t="str">
        <f>IF(Table1[[#This Row],[Age]]&lt;30, "Young Adult", IF(Table1[[#This Row],[Age]]&lt;60, "Adult", "Senior"))</f>
        <v>Adult</v>
      </c>
    </row>
    <row r="373" spans="1:15" x14ac:dyDescent="0.25">
      <c r="A373" t="s">
        <v>400</v>
      </c>
      <c r="B373">
        <v>60</v>
      </c>
      <c r="C373" t="s">
        <v>13</v>
      </c>
      <c r="D373" t="s">
        <v>19</v>
      </c>
      <c r="E373" s="4">
        <v>45885</v>
      </c>
      <c r="F373" s="4">
        <v>45898</v>
      </c>
      <c r="G373" s="8">
        <v>13</v>
      </c>
      <c r="H373" t="s">
        <v>15</v>
      </c>
      <c r="I373">
        <v>15</v>
      </c>
      <c r="J373" t="s">
        <v>16</v>
      </c>
      <c r="K373" t="s">
        <v>22</v>
      </c>
      <c r="L373" s="6">
        <v>13899.91</v>
      </c>
      <c r="M373" t="str">
        <f>TEXT(Table1[[#This Row],[Admission_Date]], "mmm")</f>
        <v>Aug</v>
      </c>
      <c r="N373">
        <f>YEAR(Table1[[#This Row],[Admission_Date]])</f>
        <v>2025</v>
      </c>
      <c r="O373" t="str">
        <f>IF(Table1[[#This Row],[Age]]&lt;30, "Young Adult", IF(Table1[[#This Row],[Age]]&lt;60, "Adult", "Senior"))</f>
        <v>Senior</v>
      </c>
    </row>
    <row r="374" spans="1:15" x14ac:dyDescent="0.25">
      <c r="A374" t="s">
        <v>401</v>
      </c>
      <c r="B374">
        <v>81</v>
      </c>
      <c r="C374" t="s">
        <v>13</v>
      </c>
      <c r="D374" t="s">
        <v>40</v>
      </c>
      <c r="E374" s="4">
        <v>45879</v>
      </c>
      <c r="F374" s="4">
        <v>45893</v>
      </c>
      <c r="G374" s="8">
        <v>14</v>
      </c>
      <c r="H374" t="s">
        <v>20</v>
      </c>
      <c r="I374">
        <v>0</v>
      </c>
      <c r="J374" t="s">
        <v>29</v>
      </c>
      <c r="K374" t="s">
        <v>22</v>
      </c>
      <c r="L374" s="6">
        <v>5632.18</v>
      </c>
      <c r="M374" t="str">
        <f>TEXT(Table1[[#This Row],[Admission_Date]], "mmm")</f>
        <v>Aug</v>
      </c>
      <c r="N374">
        <f>YEAR(Table1[[#This Row],[Admission_Date]])</f>
        <v>2025</v>
      </c>
      <c r="O374" t="str">
        <f>IF(Table1[[#This Row],[Age]]&lt;30, "Young Adult", IF(Table1[[#This Row],[Age]]&lt;60, "Adult", "Senior"))</f>
        <v>Senior</v>
      </c>
    </row>
    <row r="375" spans="1:15" x14ac:dyDescent="0.25">
      <c r="A375" t="s">
        <v>402</v>
      </c>
      <c r="B375">
        <v>37</v>
      </c>
      <c r="C375" t="s">
        <v>13</v>
      </c>
      <c r="D375" t="s">
        <v>34</v>
      </c>
      <c r="E375" s="4">
        <v>45753</v>
      </c>
      <c r="F375" s="4">
        <v>45758</v>
      </c>
      <c r="G375" s="8">
        <v>5</v>
      </c>
      <c r="H375" t="s">
        <v>15</v>
      </c>
      <c r="I375">
        <v>20</v>
      </c>
      <c r="J375" t="s">
        <v>21</v>
      </c>
      <c r="K375" t="s">
        <v>17</v>
      </c>
      <c r="L375" s="6">
        <v>4779.0200000000004</v>
      </c>
      <c r="M375" t="str">
        <f>TEXT(Table1[[#This Row],[Admission_Date]], "mmm")</f>
        <v>Apr</v>
      </c>
      <c r="N375">
        <f>YEAR(Table1[[#This Row],[Admission_Date]])</f>
        <v>2025</v>
      </c>
      <c r="O375" t="str">
        <f>IF(Table1[[#This Row],[Age]]&lt;30, "Young Adult", IF(Table1[[#This Row],[Age]]&lt;60, "Adult", "Senior"))</f>
        <v>Adult</v>
      </c>
    </row>
    <row r="376" spans="1:15" x14ac:dyDescent="0.25">
      <c r="A376" t="s">
        <v>403</v>
      </c>
      <c r="B376">
        <v>29</v>
      </c>
      <c r="C376" t="s">
        <v>24</v>
      </c>
      <c r="D376" t="s">
        <v>40</v>
      </c>
      <c r="E376" s="4">
        <v>45868</v>
      </c>
      <c r="F376" s="4">
        <v>45877</v>
      </c>
      <c r="G376" s="8">
        <v>9</v>
      </c>
      <c r="H376" t="s">
        <v>20</v>
      </c>
      <c r="I376">
        <v>0</v>
      </c>
      <c r="J376" t="s">
        <v>21</v>
      </c>
      <c r="K376" t="s">
        <v>47</v>
      </c>
      <c r="L376" s="6">
        <v>3392.14</v>
      </c>
      <c r="M376" t="str">
        <f>TEXT(Table1[[#This Row],[Admission_Date]], "mmm")</f>
        <v>Jul</v>
      </c>
      <c r="N376">
        <f>YEAR(Table1[[#This Row],[Admission_Date]])</f>
        <v>2025</v>
      </c>
      <c r="O376" t="str">
        <f>IF(Table1[[#This Row],[Age]]&lt;30, "Young Adult", IF(Table1[[#This Row],[Age]]&lt;60, "Adult", "Senior"))</f>
        <v>Young Adult</v>
      </c>
    </row>
    <row r="377" spans="1:15" x14ac:dyDescent="0.25">
      <c r="A377" t="s">
        <v>404</v>
      </c>
      <c r="B377">
        <v>87</v>
      </c>
      <c r="C377" t="s">
        <v>13</v>
      </c>
      <c r="D377" t="s">
        <v>40</v>
      </c>
      <c r="E377" s="4">
        <v>45927</v>
      </c>
      <c r="F377" s="4">
        <v>45931</v>
      </c>
      <c r="G377" s="8">
        <v>4</v>
      </c>
      <c r="H377" t="s">
        <v>20</v>
      </c>
      <c r="I377">
        <v>0</v>
      </c>
      <c r="J377" t="s">
        <v>25</v>
      </c>
      <c r="K377" t="s">
        <v>47</v>
      </c>
      <c r="L377" s="6">
        <v>8395.51</v>
      </c>
      <c r="M377" t="str">
        <f>TEXT(Table1[[#This Row],[Admission_Date]], "mmm")</f>
        <v>Sep</v>
      </c>
      <c r="N377">
        <f>YEAR(Table1[[#This Row],[Admission_Date]])</f>
        <v>2025</v>
      </c>
      <c r="O377" t="str">
        <f>IF(Table1[[#This Row],[Age]]&lt;30, "Young Adult", IF(Table1[[#This Row],[Age]]&lt;60, "Adult", "Senior"))</f>
        <v>Senior</v>
      </c>
    </row>
    <row r="378" spans="1:15" x14ac:dyDescent="0.25">
      <c r="A378" t="s">
        <v>405</v>
      </c>
      <c r="B378">
        <v>82</v>
      </c>
      <c r="C378" t="s">
        <v>24</v>
      </c>
      <c r="D378" t="s">
        <v>40</v>
      </c>
      <c r="E378" s="4">
        <v>45906</v>
      </c>
      <c r="F378" s="4">
        <v>45912</v>
      </c>
      <c r="G378" s="8">
        <v>6</v>
      </c>
      <c r="H378" t="s">
        <v>20</v>
      </c>
      <c r="I378">
        <v>0</v>
      </c>
      <c r="J378" t="s">
        <v>25</v>
      </c>
      <c r="K378" t="s">
        <v>22</v>
      </c>
      <c r="L378" s="6">
        <v>877.91</v>
      </c>
      <c r="M378" t="str">
        <f>TEXT(Table1[[#This Row],[Admission_Date]], "mmm")</f>
        <v>Sep</v>
      </c>
      <c r="N378">
        <f>YEAR(Table1[[#This Row],[Admission_Date]])</f>
        <v>2025</v>
      </c>
      <c r="O378" t="str">
        <f>IF(Table1[[#This Row],[Age]]&lt;30, "Young Adult", IF(Table1[[#This Row],[Age]]&lt;60, "Adult", "Senior"))</f>
        <v>Senior</v>
      </c>
    </row>
    <row r="379" spans="1:15" x14ac:dyDescent="0.25">
      <c r="A379" t="s">
        <v>406</v>
      </c>
      <c r="B379">
        <v>53</v>
      </c>
      <c r="C379" t="s">
        <v>13</v>
      </c>
      <c r="D379" t="s">
        <v>40</v>
      </c>
      <c r="E379" s="4">
        <v>45963</v>
      </c>
      <c r="F379" s="4">
        <v>45967</v>
      </c>
      <c r="G379" s="8">
        <v>4</v>
      </c>
      <c r="H379" t="s">
        <v>15</v>
      </c>
      <c r="I379">
        <v>17</v>
      </c>
      <c r="J379" t="s">
        <v>25</v>
      </c>
      <c r="K379" t="s">
        <v>17</v>
      </c>
      <c r="L379" s="6">
        <v>14994.28</v>
      </c>
      <c r="M379" t="str">
        <f>TEXT(Table1[[#This Row],[Admission_Date]], "mmm")</f>
        <v>Nov</v>
      </c>
      <c r="N379">
        <f>YEAR(Table1[[#This Row],[Admission_Date]])</f>
        <v>2025</v>
      </c>
      <c r="O379" t="str">
        <f>IF(Table1[[#This Row],[Age]]&lt;30, "Young Adult", IF(Table1[[#This Row],[Age]]&lt;60, "Adult", "Senior"))</f>
        <v>Adult</v>
      </c>
    </row>
    <row r="380" spans="1:15" x14ac:dyDescent="0.25">
      <c r="A380" t="s">
        <v>407</v>
      </c>
      <c r="B380">
        <v>48</v>
      </c>
      <c r="C380" t="s">
        <v>24</v>
      </c>
      <c r="D380" t="s">
        <v>34</v>
      </c>
      <c r="E380" s="4">
        <v>45739</v>
      </c>
      <c r="F380" s="4">
        <v>45741</v>
      </c>
      <c r="G380" s="8">
        <v>2</v>
      </c>
      <c r="H380" t="s">
        <v>15</v>
      </c>
      <c r="I380">
        <v>27</v>
      </c>
      <c r="J380" t="s">
        <v>16</v>
      </c>
      <c r="K380" t="s">
        <v>22</v>
      </c>
      <c r="L380" s="6">
        <v>8847.5400000000009</v>
      </c>
      <c r="M380" t="str">
        <f>TEXT(Table1[[#This Row],[Admission_Date]], "mmm")</f>
        <v>Mar</v>
      </c>
      <c r="N380">
        <f>YEAR(Table1[[#This Row],[Admission_Date]])</f>
        <v>2025</v>
      </c>
      <c r="O380" t="str">
        <f>IF(Table1[[#This Row],[Age]]&lt;30, "Young Adult", IF(Table1[[#This Row],[Age]]&lt;60, "Adult", "Senior"))</f>
        <v>Adult</v>
      </c>
    </row>
    <row r="381" spans="1:15" x14ac:dyDescent="0.25">
      <c r="A381" t="s">
        <v>408</v>
      </c>
      <c r="B381">
        <v>40</v>
      </c>
      <c r="C381" t="s">
        <v>13</v>
      </c>
      <c r="D381" t="s">
        <v>14</v>
      </c>
      <c r="E381" s="4">
        <v>45856</v>
      </c>
      <c r="F381" s="4">
        <v>45862</v>
      </c>
      <c r="G381" s="8">
        <v>6</v>
      </c>
      <c r="H381" t="s">
        <v>20</v>
      </c>
      <c r="I381">
        <v>0</v>
      </c>
      <c r="J381" t="s">
        <v>25</v>
      </c>
      <c r="K381" t="s">
        <v>17</v>
      </c>
      <c r="L381" s="6">
        <v>10615.59</v>
      </c>
      <c r="M381" t="str">
        <f>TEXT(Table1[[#This Row],[Admission_Date]], "mmm")</f>
        <v>Jul</v>
      </c>
      <c r="N381">
        <f>YEAR(Table1[[#This Row],[Admission_Date]])</f>
        <v>2025</v>
      </c>
      <c r="O381" t="str">
        <f>IF(Table1[[#This Row],[Age]]&lt;30, "Young Adult", IF(Table1[[#This Row],[Age]]&lt;60, "Adult", "Senior"))</f>
        <v>Adult</v>
      </c>
    </row>
    <row r="382" spans="1:15" x14ac:dyDescent="0.25">
      <c r="A382" t="s">
        <v>409</v>
      </c>
      <c r="B382">
        <v>63</v>
      </c>
      <c r="C382" t="s">
        <v>13</v>
      </c>
      <c r="D382" t="s">
        <v>34</v>
      </c>
      <c r="E382" s="4">
        <v>45960</v>
      </c>
      <c r="F382" s="4">
        <v>45961</v>
      </c>
      <c r="G382" s="8">
        <v>1</v>
      </c>
      <c r="H382" t="s">
        <v>20</v>
      </c>
      <c r="I382">
        <v>0</v>
      </c>
      <c r="J382" t="s">
        <v>21</v>
      </c>
      <c r="K382" t="s">
        <v>47</v>
      </c>
      <c r="L382" s="6">
        <v>8360.81</v>
      </c>
      <c r="M382" t="str">
        <f>TEXT(Table1[[#This Row],[Admission_Date]], "mmm")</f>
        <v>Oct</v>
      </c>
      <c r="N382">
        <f>YEAR(Table1[[#This Row],[Admission_Date]])</f>
        <v>2025</v>
      </c>
      <c r="O382" t="str">
        <f>IF(Table1[[#This Row],[Age]]&lt;30, "Young Adult", IF(Table1[[#This Row],[Age]]&lt;60, "Adult", "Senior"))</f>
        <v>Senior</v>
      </c>
    </row>
    <row r="383" spans="1:15" x14ac:dyDescent="0.25">
      <c r="A383" t="s">
        <v>410</v>
      </c>
      <c r="B383">
        <v>25</v>
      </c>
      <c r="C383" t="s">
        <v>13</v>
      </c>
      <c r="D383" t="s">
        <v>34</v>
      </c>
      <c r="E383" s="4">
        <v>45747</v>
      </c>
      <c r="F383" s="4">
        <v>45755</v>
      </c>
      <c r="G383" s="8">
        <v>8</v>
      </c>
      <c r="H383" t="s">
        <v>15</v>
      </c>
      <c r="I383">
        <v>8</v>
      </c>
      <c r="J383" t="s">
        <v>16</v>
      </c>
      <c r="K383" t="s">
        <v>17</v>
      </c>
      <c r="L383" s="6">
        <v>7430.84</v>
      </c>
      <c r="M383" t="str">
        <f>TEXT(Table1[[#This Row],[Admission_Date]], "mmm")</f>
        <v>Mar</v>
      </c>
      <c r="N383">
        <f>YEAR(Table1[[#This Row],[Admission_Date]])</f>
        <v>2025</v>
      </c>
      <c r="O383" t="str">
        <f>IF(Table1[[#This Row],[Age]]&lt;30, "Young Adult", IF(Table1[[#This Row],[Age]]&lt;60, "Adult", "Senior"))</f>
        <v>Young Adult</v>
      </c>
    </row>
    <row r="384" spans="1:15" x14ac:dyDescent="0.25">
      <c r="A384" t="s">
        <v>411</v>
      </c>
      <c r="B384">
        <v>34</v>
      </c>
      <c r="C384" t="s">
        <v>24</v>
      </c>
      <c r="D384" t="s">
        <v>28</v>
      </c>
      <c r="E384" s="4">
        <v>45827</v>
      </c>
      <c r="F384" s="4">
        <v>45837</v>
      </c>
      <c r="G384" s="8">
        <v>10</v>
      </c>
      <c r="H384" t="s">
        <v>15</v>
      </c>
      <c r="I384">
        <v>6</v>
      </c>
      <c r="J384" t="s">
        <v>25</v>
      </c>
      <c r="K384" t="s">
        <v>22</v>
      </c>
      <c r="L384" s="6">
        <v>817.74</v>
      </c>
      <c r="M384" t="str">
        <f>TEXT(Table1[[#This Row],[Admission_Date]], "mmm")</f>
        <v>Jun</v>
      </c>
      <c r="N384">
        <f>YEAR(Table1[[#This Row],[Admission_Date]])</f>
        <v>2025</v>
      </c>
      <c r="O384" t="str">
        <f>IF(Table1[[#This Row],[Age]]&lt;30, "Young Adult", IF(Table1[[#This Row],[Age]]&lt;60, "Adult", "Senior"))</f>
        <v>Adult</v>
      </c>
    </row>
    <row r="385" spans="1:15" x14ac:dyDescent="0.25">
      <c r="A385" t="s">
        <v>412</v>
      </c>
      <c r="B385">
        <v>32</v>
      </c>
      <c r="C385" t="s">
        <v>24</v>
      </c>
      <c r="D385" t="s">
        <v>19</v>
      </c>
      <c r="E385" s="4">
        <v>45958</v>
      </c>
      <c r="F385" s="4">
        <v>45970</v>
      </c>
      <c r="G385" s="8">
        <v>12</v>
      </c>
      <c r="H385" t="s">
        <v>20</v>
      </c>
      <c r="I385">
        <v>0</v>
      </c>
      <c r="J385" t="s">
        <v>25</v>
      </c>
      <c r="K385" t="s">
        <v>17</v>
      </c>
      <c r="L385" s="6">
        <v>14157.89</v>
      </c>
      <c r="M385" t="str">
        <f>TEXT(Table1[[#This Row],[Admission_Date]], "mmm")</f>
        <v>Oct</v>
      </c>
      <c r="N385">
        <f>YEAR(Table1[[#This Row],[Admission_Date]])</f>
        <v>2025</v>
      </c>
      <c r="O385" t="str">
        <f>IF(Table1[[#This Row],[Age]]&lt;30, "Young Adult", IF(Table1[[#This Row],[Age]]&lt;60, "Adult", "Senior"))</f>
        <v>Adult</v>
      </c>
    </row>
    <row r="386" spans="1:15" x14ac:dyDescent="0.25">
      <c r="A386" t="s">
        <v>413</v>
      </c>
      <c r="B386">
        <v>56</v>
      </c>
      <c r="C386" t="s">
        <v>24</v>
      </c>
      <c r="D386" t="s">
        <v>14</v>
      </c>
      <c r="E386" s="4">
        <v>45860</v>
      </c>
      <c r="F386" s="4">
        <v>45870</v>
      </c>
      <c r="G386" s="8">
        <v>10</v>
      </c>
      <c r="H386" t="s">
        <v>15</v>
      </c>
      <c r="I386">
        <v>6</v>
      </c>
      <c r="J386" t="s">
        <v>29</v>
      </c>
      <c r="K386" t="s">
        <v>17</v>
      </c>
      <c r="L386" s="6">
        <v>14429.6</v>
      </c>
      <c r="M386" t="str">
        <f>TEXT(Table1[[#This Row],[Admission_Date]], "mmm")</f>
        <v>Jul</v>
      </c>
      <c r="N386">
        <f>YEAR(Table1[[#This Row],[Admission_Date]])</f>
        <v>2025</v>
      </c>
      <c r="O386" t="str">
        <f>IF(Table1[[#This Row],[Age]]&lt;30, "Young Adult", IF(Table1[[#This Row],[Age]]&lt;60, "Adult", "Senior"))</f>
        <v>Adult</v>
      </c>
    </row>
    <row r="387" spans="1:15" x14ac:dyDescent="0.25">
      <c r="A387" t="s">
        <v>414</v>
      </c>
      <c r="B387">
        <v>89</v>
      </c>
      <c r="C387" t="s">
        <v>24</v>
      </c>
      <c r="D387" t="s">
        <v>14</v>
      </c>
      <c r="E387" s="4">
        <v>45990</v>
      </c>
      <c r="F387" s="4">
        <v>45996</v>
      </c>
      <c r="G387" s="8">
        <v>6</v>
      </c>
      <c r="H387" t="s">
        <v>15</v>
      </c>
      <c r="I387">
        <v>22</v>
      </c>
      <c r="J387" t="s">
        <v>21</v>
      </c>
      <c r="K387" t="s">
        <v>47</v>
      </c>
      <c r="L387" s="6">
        <v>4948.9399999999996</v>
      </c>
      <c r="M387" t="str">
        <f>TEXT(Table1[[#This Row],[Admission_Date]], "mmm")</f>
        <v>Nov</v>
      </c>
      <c r="N387">
        <f>YEAR(Table1[[#This Row],[Admission_Date]])</f>
        <v>2025</v>
      </c>
      <c r="O387" t="str">
        <f>IF(Table1[[#This Row],[Age]]&lt;30, "Young Adult", IF(Table1[[#This Row],[Age]]&lt;60, "Adult", "Senior"))</f>
        <v>Senior</v>
      </c>
    </row>
    <row r="388" spans="1:15" x14ac:dyDescent="0.25">
      <c r="A388" t="s">
        <v>415</v>
      </c>
      <c r="B388">
        <v>18</v>
      </c>
      <c r="C388" t="s">
        <v>24</v>
      </c>
      <c r="D388" t="s">
        <v>34</v>
      </c>
      <c r="E388" s="4">
        <v>46010</v>
      </c>
      <c r="F388" s="4">
        <v>46015</v>
      </c>
      <c r="G388" s="8">
        <v>5</v>
      </c>
      <c r="H388" t="s">
        <v>15</v>
      </c>
      <c r="I388">
        <v>2</v>
      </c>
      <c r="J388" t="s">
        <v>21</v>
      </c>
      <c r="K388" t="s">
        <v>17</v>
      </c>
      <c r="L388" s="6">
        <v>5114.1499999999996</v>
      </c>
      <c r="M388" t="str">
        <f>TEXT(Table1[[#This Row],[Admission_Date]], "mmm")</f>
        <v>Dec</v>
      </c>
      <c r="N388">
        <f>YEAR(Table1[[#This Row],[Admission_Date]])</f>
        <v>2025</v>
      </c>
      <c r="O388" t="str">
        <f>IF(Table1[[#This Row],[Age]]&lt;30, "Young Adult", IF(Table1[[#This Row],[Age]]&lt;60, "Adult", "Senior"))</f>
        <v>Young Adult</v>
      </c>
    </row>
    <row r="389" spans="1:15" x14ac:dyDescent="0.25">
      <c r="A389" t="s">
        <v>416</v>
      </c>
      <c r="B389">
        <v>31</v>
      </c>
      <c r="C389" t="s">
        <v>24</v>
      </c>
      <c r="D389" t="s">
        <v>14</v>
      </c>
      <c r="E389" s="4">
        <v>45971</v>
      </c>
      <c r="F389" s="4">
        <v>45975</v>
      </c>
      <c r="G389" s="8">
        <v>4</v>
      </c>
      <c r="H389" t="s">
        <v>20</v>
      </c>
      <c r="I389">
        <v>0</v>
      </c>
      <c r="J389" t="s">
        <v>25</v>
      </c>
      <c r="K389" t="s">
        <v>17</v>
      </c>
      <c r="L389" s="6">
        <v>1628.2</v>
      </c>
      <c r="M389" t="str">
        <f>TEXT(Table1[[#This Row],[Admission_Date]], "mmm")</f>
        <v>Nov</v>
      </c>
      <c r="N389">
        <f>YEAR(Table1[[#This Row],[Admission_Date]])</f>
        <v>2025</v>
      </c>
      <c r="O389" t="str">
        <f>IF(Table1[[#This Row],[Age]]&lt;30, "Young Adult", IF(Table1[[#This Row],[Age]]&lt;60, "Adult", "Senior"))</f>
        <v>Adult</v>
      </c>
    </row>
    <row r="390" spans="1:15" x14ac:dyDescent="0.25">
      <c r="A390" t="s">
        <v>417</v>
      </c>
      <c r="B390">
        <v>29</v>
      </c>
      <c r="C390" t="s">
        <v>24</v>
      </c>
      <c r="D390" t="s">
        <v>40</v>
      </c>
      <c r="E390" s="4">
        <v>45835</v>
      </c>
      <c r="F390" s="4">
        <v>45841</v>
      </c>
      <c r="G390" s="8">
        <v>6</v>
      </c>
      <c r="H390" t="s">
        <v>15</v>
      </c>
      <c r="I390">
        <v>1</v>
      </c>
      <c r="J390" t="s">
        <v>25</v>
      </c>
      <c r="K390" t="s">
        <v>22</v>
      </c>
      <c r="L390" s="6">
        <v>4118.34</v>
      </c>
      <c r="M390" t="str">
        <f>TEXT(Table1[[#This Row],[Admission_Date]], "mmm")</f>
        <v>Jun</v>
      </c>
      <c r="N390">
        <f>YEAR(Table1[[#This Row],[Admission_Date]])</f>
        <v>2025</v>
      </c>
      <c r="O390" t="str">
        <f>IF(Table1[[#This Row],[Age]]&lt;30, "Young Adult", IF(Table1[[#This Row],[Age]]&lt;60, "Adult", "Senior"))</f>
        <v>Young Adult</v>
      </c>
    </row>
    <row r="391" spans="1:15" x14ac:dyDescent="0.25">
      <c r="A391" t="s">
        <v>418</v>
      </c>
      <c r="B391">
        <v>31</v>
      </c>
      <c r="C391" t="s">
        <v>13</v>
      </c>
      <c r="D391" t="s">
        <v>19</v>
      </c>
      <c r="E391" s="4">
        <v>45692</v>
      </c>
      <c r="F391" s="4">
        <v>45698</v>
      </c>
      <c r="G391" s="8">
        <v>6</v>
      </c>
      <c r="H391" t="s">
        <v>15</v>
      </c>
      <c r="I391">
        <v>13</v>
      </c>
      <c r="J391" t="s">
        <v>29</v>
      </c>
      <c r="K391" t="s">
        <v>17</v>
      </c>
      <c r="L391" s="6">
        <v>6584.97</v>
      </c>
      <c r="M391" t="str">
        <f>TEXT(Table1[[#This Row],[Admission_Date]], "mmm")</f>
        <v>Feb</v>
      </c>
      <c r="N391">
        <f>YEAR(Table1[[#This Row],[Admission_Date]])</f>
        <v>2025</v>
      </c>
      <c r="O391" t="str">
        <f>IF(Table1[[#This Row],[Age]]&lt;30, "Young Adult", IF(Table1[[#This Row],[Age]]&lt;60, "Adult", "Senior"))</f>
        <v>Adult</v>
      </c>
    </row>
    <row r="392" spans="1:15" x14ac:dyDescent="0.25">
      <c r="A392" t="s">
        <v>419</v>
      </c>
      <c r="B392">
        <v>66</v>
      </c>
      <c r="C392" t="s">
        <v>24</v>
      </c>
      <c r="D392" t="s">
        <v>34</v>
      </c>
      <c r="E392" s="4">
        <v>45743</v>
      </c>
      <c r="F392" s="4">
        <v>45750</v>
      </c>
      <c r="G392" s="8">
        <v>7</v>
      </c>
      <c r="H392" t="s">
        <v>20</v>
      </c>
      <c r="I392">
        <v>0</v>
      </c>
      <c r="J392" t="s">
        <v>29</v>
      </c>
      <c r="K392" t="s">
        <v>22</v>
      </c>
      <c r="L392" s="6">
        <v>12517.7</v>
      </c>
      <c r="M392" t="str">
        <f>TEXT(Table1[[#This Row],[Admission_Date]], "mmm")</f>
        <v>Mar</v>
      </c>
      <c r="N392">
        <f>YEAR(Table1[[#This Row],[Admission_Date]])</f>
        <v>2025</v>
      </c>
      <c r="O392" t="str">
        <f>IF(Table1[[#This Row],[Age]]&lt;30, "Young Adult", IF(Table1[[#This Row],[Age]]&lt;60, "Adult", "Senior"))</f>
        <v>Senior</v>
      </c>
    </row>
    <row r="393" spans="1:15" x14ac:dyDescent="0.25">
      <c r="A393" t="s">
        <v>420</v>
      </c>
      <c r="B393">
        <v>46</v>
      </c>
      <c r="C393" t="s">
        <v>13</v>
      </c>
      <c r="D393" t="s">
        <v>40</v>
      </c>
      <c r="E393" s="4">
        <v>45953</v>
      </c>
      <c r="F393" s="4">
        <v>45964</v>
      </c>
      <c r="G393" s="8">
        <v>11</v>
      </c>
      <c r="H393" t="s">
        <v>20</v>
      </c>
      <c r="I393">
        <v>0</v>
      </c>
      <c r="J393" t="s">
        <v>16</v>
      </c>
      <c r="K393" t="s">
        <v>22</v>
      </c>
      <c r="L393" s="6">
        <v>4776.17</v>
      </c>
      <c r="M393" t="str">
        <f>TEXT(Table1[[#This Row],[Admission_Date]], "mmm")</f>
        <v>Oct</v>
      </c>
      <c r="N393">
        <f>YEAR(Table1[[#This Row],[Admission_Date]])</f>
        <v>2025</v>
      </c>
      <c r="O393" t="str">
        <f>IF(Table1[[#This Row],[Age]]&lt;30, "Young Adult", IF(Table1[[#This Row],[Age]]&lt;60, "Adult", "Senior"))</f>
        <v>Adult</v>
      </c>
    </row>
    <row r="394" spans="1:15" x14ac:dyDescent="0.25">
      <c r="A394" t="s">
        <v>421</v>
      </c>
      <c r="B394">
        <v>27</v>
      </c>
      <c r="C394" t="s">
        <v>24</v>
      </c>
      <c r="D394" t="s">
        <v>14</v>
      </c>
      <c r="E394" s="4">
        <v>45821</v>
      </c>
      <c r="F394" s="4">
        <v>45826</v>
      </c>
      <c r="G394" s="8">
        <v>5</v>
      </c>
      <c r="H394" t="s">
        <v>20</v>
      </c>
      <c r="I394">
        <v>0</v>
      </c>
      <c r="J394" t="s">
        <v>29</v>
      </c>
      <c r="K394" t="s">
        <v>22</v>
      </c>
      <c r="L394" s="6">
        <v>11113.78</v>
      </c>
      <c r="M394" t="str">
        <f>TEXT(Table1[[#This Row],[Admission_Date]], "mmm")</f>
        <v>Jun</v>
      </c>
      <c r="N394">
        <f>YEAR(Table1[[#This Row],[Admission_Date]])</f>
        <v>2025</v>
      </c>
      <c r="O394" t="str">
        <f>IF(Table1[[#This Row],[Age]]&lt;30, "Young Adult", IF(Table1[[#This Row],[Age]]&lt;60, "Adult", "Senior"))</f>
        <v>Young Adult</v>
      </c>
    </row>
    <row r="395" spans="1:15" x14ac:dyDescent="0.25">
      <c r="A395" t="s">
        <v>422</v>
      </c>
      <c r="B395">
        <v>79</v>
      </c>
      <c r="C395" t="s">
        <v>13</v>
      </c>
      <c r="D395" t="s">
        <v>40</v>
      </c>
      <c r="E395" s="4">
        <v>45938</v>
      </c>
      <c r="F395" s="4">
        <v>45940</v>
      </c>
      <c r="G395" s="8">
        <v>2</v>
      </c>
      <c r="H395" t="s">
        <v>20</v>
      </c>
      <c r="I395">
        <v>0</v>
      </c>
      <c r="J395" t="s">
        <v>21</v>
      </c>
      <c r="K395" t="s">
        <v>17</v>
      </c>
      <c r="L395" s="6">
        <v>13401.42</v>
      </c>
      <c r="M395" t="str">
        <f>TEXT(Table1[[#This Row],[Admission_Date]], "mmm")</f>
        <v>Oct</v>
      </c>
      <c r="N395">
        <f>YEAR(Table1[[#This Row],[Admission_Date]])</f>
        <v>2025</v>
      </c>
      <c r="O395" t="str">
        <f>IF(Table1[[#This Row],[Age]]&lt;30, "Young Adult", IF(Table1[[#This Row],[Age]]&lt;60, "Adult", "Senior"))</f>
        <v>Senior</v>
      </c>
    </row>
    <row r="396" spans="1:15" x14ac:dyDescent="0.25">
      <c r="A396" t="s">
        <v>423</v>
      </c>
      <c r="B396">
        <v>44</v>
      </c>
      <c r="C396" t="s">
        <v>13</v>
      </c>
      <c r="D396" t="s">
        <v>40</v>
      </c>
      <c r="E396" s="4">
        <v>45738</v>
      </c>
      <c r="F396" s="4">
        <v>45739</v>
      </c>
      <c r="G396" s="8">
        <v>1</v>
      </c>
      <c r="H396" t="s">
        <v>15</v>
      </c>
      <c r="I396">
        <v>23</v>
      </c>
      <c r="J396" t="s">
        <v>25</v>
      </c>
      <c r="K396" t="s">
        <v>17</v>
      </c>
      <c r="L396" s="6">
        <v>4582.08</v>
      </c>
      <c r="M396" t="str">
        <f>TEXT(Table1[[#This Row],[Admission_Date]], "mmm")</f>
        <v>Mar</v>
      </c>
      <c r="N396">
        <f>YEAR(Table1[[#This Row],[Admission_Date]])</f>
        <v>2025</v>
      </c>
      <c r="O396" t="str">
        <f>IF(Table1[[#This Row],[Age]]&lt;30, "Young Adult", IF(Table1[[#This Row],[Age]]&lt;60, "Adult", "Senior"))</f>
        <v>Adult</v>
      </c>
    </row>
    <row r="397" spans="1:15" x14ac:dyDescent="0.25">
      <c r="A397" t="s">
        <v>424</v>
      </c>
      <c r="B397">
        <v>88</v>
      </c>
      <c r="C397" t="s">
        <v>24</v>
      </c>
      <c r="D397" t="s">
        <v>14</v>
      </c>
      <c r="E397" s="4">
        <v>45779</v>
      </c>
      <c r="F397" s="4">
        <v>45781</v>
      </c>
      <c r="G397" s="8">
        <v>2</v>
      </c>
      <c r="H397" t="s">
        <v>15</v>
      </c>
      <c r="I397">
        <v>2</v>
      </c>
      <c r="J397" t="s">
        <v>25</v>
      </c>
      <c r="K397" t="s">
        <v>22</v>
      </c>
      <c r="L397" s="6">
        <v>6700.29</v>
      </c>
      <c r="M397" t="str">
        <f>TEXT(Table1[[#This Row],[Admission_Date]], "mmm")</f>
        <v>May</v>
      </c>
      <c r="N397">
        <f>YEAR(Table1[[#This Row],[Admission_Date]])</f>
        <v>2025</v>
      </c>
      <c r="O397" t="str">
        <f>IF(Table1[[#This Row],[Age]]&lt;30, "Young Adult", IF(Table1[[#This Row],[Age]]&lt;60, "Adult", "Senior"))</f>
        <v>Senior</v>
      </c>
    </row>
    <row r="398" spans="1:15" x14ac:dyDescent="0.25">
      <c r="A398" t="s">
        <v>425</v>
      </c>
      <c r="B398">
        <v>79</v>
      </c>
      <c r="C398" t="s">
        <v>13</v>
      </c>
      <c r="D398" t="s">
        <v>19</v>
      </c>
      <c r="E398" s="4">
        <v>45808</v>
      </c>
      <c r="F398" s="4">
        <v>45822</v>
      </c>
      <c r="G398" s="8">
        <v>14</v>
      </c>
      <c r="H398" t="s">
        <v>20</v>
      </c>
      <c r="I398">
        <v>0</v>
      </c>
      <c r="J398" t="s">
        <v>16</v>
      </c>
      <c r="K398" t="s">
        <v>22</v>
      </c>
      <c r="L398" s="6">
        <v>2977.07</v>
      </c>
      <c r="M398" t="str">
        <f>TEXT(Table1[[#This Row],[Admission_Date]], "mmm")</f>
        <v>May</v>
      </c>
      <c r="N398">
        <f>YEAR(Table1[[#This Row],[Admission_Date]])</f>
        <v>2025</v>
      </c>
      <c r="O398" t="str">
        <f>IF(Table1[[#This Row],[Age]]&lt;30, "Young Adult", IF(Table1[[#This Row],[Age]]&lt;60, "Adult", "Senior"))</f>
        <v>Senior</v>
      </c>
    </row>
    <row r="399" spans="1:15" x14ac:dyDescent="0.25">
      <c r="A399" t="s">
        <v>426</v>
      </c>
      <c r="B399">
        <v>32</v>
      </c>
      <c r="C399" t="s">
        <v>24</v>
      </c>
      <c r="D399" t="s">
        <v>40</v>
      </c>
      <c r="E399" s="4">
        <v>45807</v>
      </c>
      <c r="F399" s="4">
        <v>45809</v>
      </c>
      <c r="G399" s="8">
        <v>2</v>
      </c>
      <c r="H399" t="s">
        <v>20</v>
      </c>
      <c r="I399">
        <v>0</v>
      </c>
      <c r="J399" t="s">
        <v>29</v>
      </c>
      <c r="K399" t="s">
        <v>47</v>
      </c>
      <c r="L399" s="6">
        <v>13475.72</v>
      </c>
      <c r="M399" t="str">
        <f>TEXT(Table1[[#This Row],[Admission_Date]], "mmm")</f>
        <v>May</v>
      </c>
      <c r="N399">
        <f>YEAR(Table1[[#This Row],[Admission_Date]])</f>
        <v>2025</v>
      </c>
      <c r="O399" t="str">
        <f>IF(Table1[[#This Row],[Age]]&lt;30, "Young Adult", IF(Table1[[#This Row],[Age]]&lt;60, "Adult", "Senior"))</f>
        <v>Adult</v>
      </c>
    </row>
    <row r="400" spans="1:15" x14ac:dyDescent="0.25">
      <c r="A400" t="s">
        <v>427</v>
      </c>
      <c r="B400">
        <v>67</v>
      </c>
      <c r="C400" t="s">
        <v>13</v>
      </c>
      <c r="D400" t="s">
        <v>32</v>
      </c>
      <c r="E400" s="4">
        <v>45793</v>
      </c>
      <c r="F400" s="4">
        <v>45795</v>
      </c>
      <c r="G400" s="8">
        <v>2</v>
      </c>
      <c r="H400" t="s">
        <v>20</v>
      </c>
      <c r="I400">
        <v>0</v>
      </c>
      <c r="J400" t="s">
        <v>29</v>
      </c>
      <c r="K400" t="s">
        <v>47</v>
      </c>
      <c r="L400" s="6">
        <v>3205.45</v>
      </c>
      <c r="M400" t="str">
        <f>TEXT(Table1[[#This Row],[Admission_Date]], "mmm")</f>
        <v>May</v>
      </c>
      <c r="N400">
        <f>YEAR(Table1[[#This Row],[Admission_Date]])</f>
        <v>2025</v>
      </c>
      <c r="O400" t="str">
        <f>IF(Table1[[#This Row],[Age]]&lt;30, "Young Adult", IF(Table1[[#This Row],[Age]]&lt;60, "Adult", "Senior"))</f>
        <v>Senior</v>
      </c>
    </row>
    <row r="401" spans="1:15" x14ac:dyDescent="0.25">
      <c r="A401" t="s">
        <v>428</v>
      </c>
      <c r="B401">
        <v>51</v>
      </c>
      <c r="C401" t="s">
        <v>13</v>
      </c>
      <c r="D401" t="s">
        <v>32</v>
      </c>
      <c r="E401" s="4">
        <v>45680</v>
      </c>
      <c r="F401" s="4">
        <v>45685</v>
      </c>
      <c r="G401" s="8">
        <v>5</v>
      </c>
      <c r="H401" t="s">
        <v>20</v>
      </c>
      <c r="I401">
        <v>0</v>
      </c>
      <c r="J401" t="s">
        <v>16</v>
      </c>
      <c r="K401" t="s">
        <v>22</v>
      </c>
      <c r="L401" s="6">
        <v>11407.41</v>
      </c>
      <c r="M401" t="str">
        <f>TEXT(Table1[[#This Row],[Admission_Date]], "mmm")</f>
        <v>Jan</v>
      </c>
      <c r="N401">
        <f>YEAR(Table1[[#This Row],[Admission_Date]])</f>
        <v>2025</v>
      </c>
      <c r="O401" t="str">
        <f>IF(Table1[[#This Row],[Age]]&lt;30, "Young Adult", IF(Table1[[#This Row],[Age]]&lt;60, "Adult", "Senior"))</f>
        <v>Adult</v>
      </c>
    </row>
    <row r="402" spans="1:15" x14ac:dyDescent="0.25">
      <c r="A402" t="s">
        <v>429</v>
      </c>
      <c r="B402">
        <v>62</v>
      </c>
      <c r="C402" t="s">
        <v>24</v>
      </c>
      <c r="D402" t="s">
        <v>34</v>
      </c>
      <c r="E402" s="4">
        <v>45999</v>
      </c>
      <c r="F402" s="4">
        <v>46001</v>
      </c>
      <c r="G402" s="8">
        <v>2</v>
      </c>
      <c r="H402" t="s">
        <v>15</v>
      </c>
      <c r="I402">
        <v>8</v>
      </c>
      <c r="J402" t="s">
        <v>16</v>
      </c>
      <c r="K402" t="s">
        <v>47</v>
      </c>
      <c r="L402" s="6">
        <v>12366.88</v>
      </c>
      <c r="M402" t="str">
        <f>TEXT(Table1[[#This Row],[Admission_Date]], "mmm")</f>
        <v>Dec</v>
      </c>
      <c r="N402">
        <f>YEAR(Table1[[#This Row],[Admission_Date]])</f>
        <v>2025</v>
      </c>
      <c r="O402" t="str">
        <f>IF(Table1[[#This Row],[Age]]&lt;30, "Young Adult", IF(Table1[[#This Row],[Age]]&lt;60, "Adult", "Senior"))</f>
        <v>Senior</v>
      </c>
    </row>
    <row r="403" spans="1:15" x14ac:dyDescent="0.25">
      <c r="A403" t="s">
        <v>430</v>
      </c>
      <c r="B403">
        <v>78</v>
      </c>
      <c r="C403" t="s">
        <v>13</v>
      </c>
      <c r="D403" t="s">
        <v>40</v>
      </c>
      <c r="E403" s="4">
        <v>45872</v>
      </c>
      <c r="F403" s="4">
        <v>45881</v>
      </c>
      <c r="G403" s="8">
        <v>9</v>
      </c>
      <c r="H403" t="s">
        <v>20</v>
      </c>
      <c r="I403">
        <v>0</v>
      </c>
      <c r="J403" t="s">
        <v>25</v>
      </c>
      <c r="K403" t="s">
        <v>22</v>
      </c>
      <c r="L403" s="6">
        <v>6224.66</v>
      </c>
      <c r="M403" t="str">
        <f>TEXT(Table1[[#This Row],[Admission_Date]], "mmm")</f>
        <v>Aug</v>
      </c>
      <c r="N403">
        <f>YEAR(Table1[[#This Row],[Admission_Date]])</f>
        <v>2025</v>
      </c>
      <c r="O403" t="str">
        <f>IF(Table1[[#This Row],[Age]]&lt;30, "Young Adult", IF(Table1[[#This Row],[Age]]&lt;60, "Adult", "Senior"))</f>
        <v>Senior</v>
      </c>
    </row>
    <row r="404" spans="1:15" x14ac:dyDescent="0.25">
      <c r="A404" t="s">
        <v>431</v>
      </c>
      <c r="B404">
        <v>84</v>
      </c>
      <c r="C404" t="s">
        <v>13</v>
      </c>
      <c r="D404" t="s">
        <v>19</v>
      </c>
      <c r="E404" s="4">
        <v>45675</v>
      </c>
      <c r="F404" s="4">
        <v>45684</v>
      </c>
      <c r="G404" s="8">
        <v>9</v>
      </c>
      <c r="H404" t="s">
        <v>20</v>
      </c>
      <c r="I404">
        <v>0</v>
      </c>
      <c r="J404" t="s">
        <v>29</v>
      </c>
      <c r="K404" t="s">
        <v>22</v>
      </c>
      <c r="L404" s="6">
        <v>14261.39</v>
      </c>
      <c r="M404" t="str">
        <f>TEXT(Table1[[#This Row],[Admission_Date]], "mmm")</f>
        <v>Jan</v>
      </c>
      <c r="N404">
        <f>YEAR(Table1[[#This Row],[Admission_Date]])</f>
        <v>2025</v>
      </c>
      <c r="O404" t="str">
        <f>IF(Table1[[#This Row],[Age]]&lt;30, "Young Adult", IF(Table1[[#This Row],[Age]]&lt;60, "Adult", "Senior"))</f>
        <v>Senior</v>
      </c>
    </row>
    <row r="405" spans="1:15" x14ac:dyDescent="0.25">
      <c r="A405" t="s">
        <v>432</v>
      </c>
      <c r="B405">
        <v>34</v>
      </c>
      <c r="C405" t="s">
        <v>13</v>
      </c>
      <c r="D405" t="s">
        <v>40</v>
      </c>
      <c r="E405" s="4">
        <v>45743</v>
      </c>
      <c r="F405" s="4">
        <v>45747</v>
      </c>
      <c r="G405" s="8">
        <v>4</v>
      </c>
      <c r="H405" t="s">
        <v>20</v>
      </c>
      <c r="I405">
        <v>0</v>
      </c>
      <c r="J405" t="s">
        <v>16</v>
      </c>
      <c r="K405" t="s">
        <v>17</v>
      </c>
      <c r="L405" s="6">
        <v>6813.2</v>
      </c>
      <c r="M405" t="str">
        <f>TEXT(Table1[[#This Row],[Admission_Date]], "mmm")</f>
        <v>Mar</v>
      </c>
      <c r="N405">
        <f>YEAR(Table1[[#This Row],[Admission_Date]])</f>
        <v>2025</v>
      </c>
      <c r="O405" t="str">
        <f>IF(Table1[[#This Row],[Age]]&lt;30, "Young Adult", IF(Table1[[#This Row],[Age]]&lt;60, "Adult", "Senior"))</f>
        <v>Adult</v>
      </c>
    </row>
    <row r="406" spans="1:15" x14ac:dyDescent="0.25">
      <c r="A406" t="s">
        <v>433</v>
      </c>
      <c r="B406">
        <v>51</v>
      </c>
      <c r="C406" t="s">
        <v>24</v>
      </c>
      <c r="D406" t="s">
        <v>28</v>
      </c>
      <c r="E406" s="4">
        <v>45979</v>
      </c>
      <c r="F406" s="4">
        <v>45982</v>
      </c>
      <c r="G406" s="8">
        <v>3</v>
      </c>
      <c r="H406" t="s">
        <v>20</v>
      </c>
      <c r="I406">
        <v>0</v>
      </c>
      <c r="J406" t="s">
        <v>16</v>
      </c>
      <c r="K406" t="s">
        <v>22</v>
      </c>
      <c r="L406" s="6">
        <v>6127.44</v>
      </c>
      <c r="M406" t="str">
        <f>TEXT(Table1[[#This Row],[Admission_Date]], "mmm")</f>
        <v>Nov</v>
      </c>
      <c r="N406">
        <f>YEAR(Table1[[#This Row],[Admission_Date]])</f>
        <v>2025</v>
      </c>
      <c r="O406" t="str">
        <f>IF(Table1[[#This Row],[Age]]&lt;30, "Young Adult", IF(Table1[[#This Row],[Age]]&lt;60, "Adult", "Senior"))</f>
        <v>Adult</v>
      </c>
    </row>
    <row r="407" spans="1:15" x14ac:dyDescent="0.25">
      <c r="A407" t="s">
        <v>434</v>
      </c>
      <c r="B407">
        <v>53</v>
      </c>
      <c r="C407" t="s">
        <v>24</v>
      </c>
      <c r="D407" t="s">
        <v>19</v>
      </c>
      <c r="E407" s="4">
        <v>45861</v>
      </c>
      <c r="F407" s="4">
        <v>45870</v>
      </c>
      <c r="G407" s="8">
        <v>9</v>
      </c>
      <c r="H407" t="s">
        <v>20</v>
      </c>
      <c r="I407">
        <v>0</v>
      </c>
      <c r="J407" t="s">
        <v>29</v>
      </c>
      <c r="K407" t="s">
        <v>22</v>
      </c>
      <c r="L407" s="6">
        <v>6509.41</v>
      </c>
      <c r="M407" t="str">
        <f>TEXT(Table1[[#This Row],[Admission_Date]], "mmm")</f>
        <v>Jul</v>
      </c>
      <c r="N407">
        <f>YEAR(Table1[[#This Row],[Admission_Date]])</f>
        <v>2025</v>
      </c>
      <c r="O407" t="str">
        <f>IF(Table1[[#This Row],[Age]]&lt;30, "Young Adult", IF(Table1[[#This Row],[Age]]&lt;60, "Adult", "Senior"))</f>
        <v>Adult</v>
      </c>
    </row>
    <row r="408" spans="1:15" x14ac:dyDescent="0.25">
      <c r="A408" t="s">
        <v>435</v>
      </c>
      <c r="B408">
        <v>30</v>
      </c>
      <c r="C408" t="s">
        <v>13</v>
      </c>
      <c r="D408" t="s">
        <v>34</v>
      </c>
      <c r="E408" s="4">
        <v>45733</v>
      </c>
      <c r="F408" s="4">
        <v>45743</v>
      </c>
      <c r="G408" s="8">
        <v>10</v>
      </c>
      <c r="H408" t="s">
        <v>20</v>
      </c>
      <c r="I408">
        <v>0</v>
      </c>
      <c r="J408" t="s">
        <v>16</v>
      </c>
      <c r="K408" t="s">
        <v>47</v>
      </c>
      <c r="L408" s="6">
        <v>13078.39</v>
      </c>
      <c r="M408" t="str">
        <f>TEXT(Table1[[#This Row],[Admission_Date]], "mmm")</f>
        <v>Mar</v>
      </c>
      <c r="N408">
        <f>YEAR(Table1[[#This Row],[Admission_Date]])</f>
        <v>2025</v>
      </c>
      <c r="O408" t="str">
        <f>IF(Table1[[#This Row],[Age]]&lt;30, "Young Adult", IF(Table1[[#This Row],[Age]]&lt;60, "Adult", "Senior"))</f>
        <v>Adult</v>
      </c>
    </row>
    <row r="409" spans="1:15" x14ac:dyDescent="0.25">
      <c r="A409" t="s">
        <v>436</v>
      </c>
      <c r="B409">
        <v>80</v>
      </c>
      <c r="C409" t="s">
        <v>24</v>
      </c>
      <c r="D409" t="s">
        <v>19</v>
      </c>
      <c r="E409" s="4">
        <v>45834</v>
      </c>
      <c r="F409" s="4">
        <v>45841</v>
      </c>
      <c r="G409" s="8">
        <v>7</v>
      </c>
      <c r="H409" t="s">
        <v>15</v>
      </c>
      <c r="I409">
        <v>6</v>
      </c>
      <c r="J409" t="s">
        <v>25</v>
      </c>
      <c r="K409" t="s">
        <v>47</v>
      </c>
      <c r="L409" s="6">
        <v>2585.86</v>
      </c>
      <c r="M409" t="str">
        <f>TEXT(Table1[[#This Row],[Admission_Date]], "mmm")</f>
        <v>Jun</v>
      </c>
      <c r="N409">
        <f>YEAR(Table1[[#This Row],[Admission_Date]])</f>
        <v>2025</v>
      </c>
      <c r="O409" t="str">
        <f>IF(Table1[[#This Row],[Age]]&lt;30, "Young Adult", IF(Table1[[#This Row],[Age]]&lt;60, "Adult", "Senior"))</f>
        <v>Senior</v>
      </c>
    </row>
    <row r="410" spans="1:15" x14ac:dyDescent="0.25">
      <c r="A410" t="s">
        <v>437</v>
      </c>
      <c r="B410">
        <v>22</v>
      </c>
      <c r="C410" t="s">
        <v>24</v>
      </c>
      <c r="D410" t="s">
        <v>32</v>
      </c>
      <c r="E410" s="4">
        <v>45969</v>
      </c>
      <c r="F410" s="4">
        <v>45980</v>
      </c>
      <c r="G410" s="8">
        <v>11</v>
      </c>
      <c r="H410" t="s">
        <v>20</v>
      </c>
      <c r="I410">
        <v>0</v>
      </c>
      <c r="J410" t="s">
        <v>21</v>
      </c>
      <c r="K410" t="s">
        <v>22</v>
      </c>
      <c r="L410" s="6">
        <v>11313.37</v>
      </c>
      <c r="M410" t="str">
        <f>TEXT(Table1[[#This Row],[Admission_Date]], "mmm")</f>
        <v>Nov</v>
      </c>
      <c r="N410">
        <f>YEAR(Table1[[#This Row],[Admission_Date]])</f>
        <v>2025</v>
      </c>
      <c r="O410" t="str">
        <f>IF(Table1[[#This Row],[Age]]&lt;30, "Young Adult", IF(Table1[[#This Row],[Age]]&lt;60, "Adult", "Senior"))</f>
        <v>Young Adult</v>
      </c>
    </row>
    <row r="411" spans="1:15" x14ac:dyDescent="0.25">
      <c r="A411" t="s">
        <v>438</v>
      </c>
      <c r="B411">
        <v>56</v>
      </c>
      <c r="C411" t="s">
        <v>24</v>
      </c>
      <c r="D411" t="s">
        <v>32</v>
      </c>
      <c r="E411" s="4">
        <v>45795</v>
      </c>
      <c r="F411" s="4">
        <v>45801</v>
      </c>
      <c r="G411" s="8">
        <v>6</v>
      </c>
      <c r="H411" t="s">
        <v>15</v>
      </c>
      <c r="I411">
        <v>27</v>
      </c>
      <c r="J411" t="s">
        <v>29</v>
      </c>
      <c r="K411" t="s">
        <v>17</v>
      </c>
      <c r="L411" s="6">
        <v>10430.35</v>
      </c>
      <c r="M411" t="str">
        <f>TEXT(Table1[[#This Row],[Admission_Date]], "mmm")</f>
        <v>May</v>
      </c>
      <c r="N411">
        <f>YEAR(Table1[[#This Row],[Admission_Date]])</f>
        <v>2025</v>
      </c>
      <c r="O411" t="str">
        <f>IF(Table1[[#This Row],[Age]]&lt;30, "Young Adult", IF(Table1[[#This Row],[Age]]&lt;60, "Adult", "Senior"))</f>
        <v>Adult</v>
      </c>
    </row>
    <row r="412" spans="1:15" x14ac:dyDescent="0.25">
      <c r="A412" t="s">
        <v>439</v>
      </c>
      <c r="B412">
        <v>74</v>
      </c>
      <c r="C412" t="s">
        <v>24</v>
      </c>
      <c r="D412" t="s">
        <v>32</v>
      </c>
      <c r="E412" s="4">
        <v>45774</v>
      </c>
      <c r="F412" s="4">
        <v>45777</v>
      </c>
      <c r="G412" s="8">
        <v>3</v>
      </c>
      <c r="H412" t="s">
        <v>20</v>
      </c>
      <c r="I412">
        <v>0</v>
      </c>
      <c r="J412" t="s">
        <v>29</v>
      </c>
      <c r="K412" t="s">
        <v>17</v>
      </c>
      <c r="L412" s="6">
        <v>9860.5400000000009</v>
      </c>
      <c r="M412" t="str">
        <f>TEXT(Table1[[#This Row],[Admission_Date]], "mmm")</f>
        <v>Apr</v>
      </c>
      <c r="N412">
        <f>YEAR(Table1[[#This Row],[Admission_Date]])</f>
        <v>2025</v>
      </c>
      <c r="O412" t="str">
        <f>IF(Table1[[#This Row],[Age]]&lt;30, "Young Adult", IF(Table1[[#This Row],[Age]]&lt;60, "Adult", "Senior"))</f>
        <v>Senior</v>
      </c>
    </row>
    <row r="413" spans="1:15" x14ac:dyDescent="0.25">
      <c r="A413" t="s">
        <v>440</v>
      </c>
      <c r="B413">
        <v>70</v>
      </c>
      <c r="C413" t="s">
        <v>24</v>
      </c>
      <c r="D413" t="s">
        <v>34</v>
      </c>
      <c r="E413" s="4">
        <v>45754</v>
      </c>
      <c r="F413" s="4">
        <v>45762</v>
      </c>
      <c r="G413" s="8">
        <v>8</v>
      </c>
      <c r="H413" t="s">
        <v>15</v>
      </c>
      <c r="I413">
        <v>28</v>
      </c>
      <c r="J413" t="s">
        <v>25</v>
      </c>
      <c r="K413" t="s">
        <v>22</v>
      </c>
      <c r="L413" s="6">
        <v>7971.41</v>
      </c>
      <c r="M413" t="str">
        <f>TEXT(Table1[[#This Row],[Admission_Date]], "mmm")</f>
        <v>Apr</v>
      </c>
      <c r="N413">
        <f>YEAR(Table1[[#This Row],[Admission_Date]])</f>
        <v>2025</v>
      </c>
      <c r="O413" t="str">
        <f>IF(Table1[[#This Row],[Age]]&lt;30, "Young Adult", IF(Table1[[#This Row],[Age]]&lt;60, "Adult", "Senior"))</f>
        <v>Senior</v>
      </c>
    </row>
    <row r="414" spans="1:15" x14ac:dyDescent="0.25">
      <c r="A414" t="s">
        <v>441</v>
      </c>
      <c r="B414">
        <v>82</v>
      </c>
      <c r="C414" t="s">
        <v>24</v>
      </c>
      <c r="D414" t="s">
        <v>14</v>
      </c>
      <c r="E414" s="4">
        <v>45739</v>
      </c>
      <c r="F414" s="4">
        <v>45741</v>
      </c>
      <c r="G414" s="8">
        <v>2</v>
      </c>
      <c r="H414" t="s">
        <v>20</v>
      </c>
      <c r="I414">
        <v>0</v>
      </c>
      <c r="J414" t="s">
        <v>16</v>
      </c>
      <c r="K414" t="s">
        <v>22</v>
      </c>
      <c r="L414" s="6">
        <v>3295.07</v>
      </c>
      <c r="M414" t="str">
        <f>TEXT(Table1[[#This Row],[Admission_Date]], "mmm")</f>
        <v>Mar</v>
      </c>
      <c r="N414">
        <f>YEAR(Table1[[#This Row],[Admission_Date]])</f>
        <v>2025</v>
      </c>
      <c r="O414" t="str">
        <f>IF(Table1[[#This Row],[Age]]&lt;30, "Young Adult", IF(Table1[[#This Row],[Age]]&lt;60, "Adult", "Senior"))</f>
        <v>Senior</v>
      </c>
    </row>
    <row r="415" spans="1:15" x14ac:dyDescent="0.25">
      <c r="A415" t="s">
        <v>442</v>
      </c>
      <c r="B415">
        <v>22</v>
      </c>
      <c r="C415" t="s">
        <v>24</v>
      </c>
      <c r="D415" t="s">
        <v>19</v>
      </c>
      <c r="E415" s="4">
        <v>45760</v>
      </c>
      <c r="F415" s="4">
        <v>45774</v>
      </c>
      <c r="G415" s="8">
        <v>14</v>
      </c>
      <c r="H415" t="s">
        <v>15</v>
      </c>
      <c r="I415">
        <v>30</v>
      </c>
      <c r="J415" t="s">
        <v>25</v>
      </c>
      <c r="K415" t="s">
        <v>17</v>
      </c>
      <c r="L415" s="6">
        <v>3387.09</v>
      </c>
      <c r="M415" t="str">
        <f>TEXT(Table1[[#This Row],[Admission_Date]], "mmm")</f>
        <v>Apr</v>
      </c>
      <c r="N415">
        <f>YEAR(Table1[[#This Row],[Admission_Date]])</f>
        <v>2025</v>
      </c>
      <c r="O415" t="str">
        <f>IF(Table1[[#This Row],[Age]]&lt;30, "Young Adult", IF(Table1[[#This Row],[Age]]&lt;60, "Adult", "Senior"))</f>
        <v>Young Adult</v>
      </c>
    </row>
    <row r="416" spans="1:15" x14ac:dyDescent="0.25">
      <c r="A416" t="s">
        <v>443</v>
      </c>
      <c r="B416">
        <v>68</v>
      </c>
      <c r="C416" t="s">
        <v>13</v>
      </c>
      <c r="D416" t="s">
        <v>28</v>
      </c>
      <c r="E416" s="4">
        <v>45846</v>
      </c>
      <c r="F416" s="4">
        <v>45860</v>
      </c>
      <c r="G416" s="8">
        <v>14</v>
      </c>
      <c r="H416" t="s">
        <v>20</v>
      </c>
      <c r="I416">
        <v>0</v>
      </c>
      <c r="J416" t="s">
        <v>16</v>
      </c>
      <c r="K416" t="s">
        <v>22</v>
      </c>
      <c r="L416" s="6">
        <v>5900.77</v>
      </c>
      <c r="M416" t="str">
        <f>TEXT(Table1[[#This Row],[Admission_Date]], "mmm")</f>
        <v>Jul</v>
      </c>
      <c r="N416">
        <f>YEAR(Table1[[#This Row],[Admission_Date]])</f>
        <v>2025</v>
      </c>
      <c r="O416" t="str">
        <f>IF(Table1[[#This Row],[Age]]&lt;30, "Young Adult", IF(Table1[[#This Row],[Age]]&lt;60, "Adult", "Senior"))</f>
        <v>Senior</v>
      </c>
    </row>
    <row r="417" spans="1:15" x14ac:dyDescent="0.25">
      <c r="A417" t="s">
        <v>444</v>
      </c>
      <c r="B417">
        <v>78</v>
      </c>
      <c r="C417" t="s">
        <v>24</v>
      </c>
      <c r="D417" t="s">
        <v>32</v>
      </c>
      <c r="E417" s="4">
        <v>45962</v>
      </c>
      <c r="F417" s="4">
        <v>45970</v>
      </c>
      <c r="G417" s="8">
        <v>8</v>
      </c>
      <c r="H417" t="s">
        <v>15</v>
      </c>
      <c r="I417">
        <v>6</v>
      </c>
      <c r="J417" t="s">
        <v>25</v>
      </c>
      <c r="K417" t="s">
        <v>17</v>
      </c>
      <c r="L417" s="6">
        <v>12547.62</v>
      </c>
      <c r="M417" t="str">
        <f>TEXT(Table1[[#This Row],[Admission_Date]], "mmm")</f>
        <v>Nov</v>
      </c>
      <c r="N417">
        <f>YEAR(Table1[[#This Row],[Admission_Date]])</f>
        <v>2025</v>
      </c>
      <c r="O417" t="str">
        <f>IF(Table1[[#This Row],[Age]]&lt;30, "Young Adult", IF(Table1[[#This Row],[Age]]&lt;60, "Adult", "Senior"))</f>
        <v>Senior</v>
      </c>
    </row>
    <row r="418" spans="1:15" x14ac:dyDescent="0.25">
      <c r="A418" t="s">
        <v>445</v>
      </c>
      <c r="B418">
        <v>24</v>
      </c>
      <c r="C418" t="s">
        <v>13</v>
      </c>
      <c r="D418" t="s">
        <v>34</v>
      </c>
      <c r="E418" s="4">
        <v>45704</v>
      </c>
      <c r="F418" s="4">
        <v>45709</v>
      </c>
      <c r="G418" s="8">
        <v>5</v>
      </c>
      <c r="H418" t="s">
        <v>15</v>
      </c>
      <c r="I418">
        <v>25</v>
      </c>
      <c r="J418" t="s">
        <v>21</v>
      </c>
      <c r="K418" t="s">
        <v>22</v>
      </c>
      <c r="L418" s="6">
        <v>9887.01</v>
      </c>
      <c r="M418" t="str">
        <f>TEXT(Table1[[#This Row],[Admission_Date]], "mmm")</f>
        <v>Feb</v>
      </c>
      <c r="N418">
        <f>YEAR(Table1[[#This Row],[Admission_Date]])</f>
        <v>2025</v>
      </c>
      <c r="O418" t="str">
        <f>IF(Table1[[#This Row],[Age]]&lt;30, "Young Adult", IF(Table1[[#This Row],[Age]]&lt;60, "Adult", "Senior"))</f>
        <v>Young Adult</v>
      </c>
    </row>
    <row r="419" spans="1:15" x14ac:dyDescent="0.25">
      <c r="A419" t="s">
        <v>446</v>
      </c>
      <c r="B419">
        <v>70</v>
      </c>
      <c r="C419" t="s">
        <v>13</v>
      </c>
      <c r="D419" t="s">
        <v>28</v>
      </c>
      <c r="E419" s="4">
        <v>46004</v>
      </c>
      <c r="F419" s="4">
        <v>46008</v>
      </c>
      <c r="G419" s="8">
        <v>4</v>
      </c>
      <c r="H419" t="s">
        <v>15</v>
      </c>
      <c r="I419">
        <v>1</v>
      </c>
      <c r="J419" t="s">
        <v>29</v>
      </c>
      <c r="K419" t="s">
        <v>22</v>
      </c>
      <c r="L419" s="6">
        <v>9886.89</v>
      </c>
      <c r="M419" t="str">
        <f>TEXT(Table1[[#This Row],[Admission_Date]], "mmm")</f>
        <v>Dec</v>
      </c>
      <c r="N419">
        <f>YEAR(Table1[[#This Row],[Admission_Date]])</f>
        <v>2025</v>
      </c>
      <c r="O419" t="str">
        <f>IF(Table1[[#This Row],[Age]]&lt;30, "Young Adult", IF(Table1[[#This Row],[Age]]&lt;60, "Adult", "Senior"))</f>
        <v>Senior</v>
      </c>
    </row>
    <row r="420" spans="1:15" x14ac:dyDescent="0.25">
      <c r="A420" t="s">
        <v>447</v>
      </c>
      <c r="B420">
        <v>50</v>
      </c>
      <c r="C420" t="s">
        <v>24</v>
      </c>
      <c r="D420" t="s">
        <v>28</v>
      </c>
      <c r="E420" s="4">
        <v>45965</v>
      </c>
      <c r="F420" s="4">
        <v>45978</v>
      </c>
      <c r="G420" s="8">
        <v>13</v>
      </c>
      <c r="H420" t="s">
        <v>15</v>
      </c>
      <c r="I420">
        <v>23</v>
      </c>
      <c r="J420" t="s">
        <v>25</v>
      </c>
      <c r="K420" t="s">
        <v>47</v>
      </c>
      <c r="L420" s="6">
        <v>13484.5</v>
      </c>
      <c r="M420" t="str">
        <f>TEXT(Table1[[#This Row],[Admission_Date]], "mmm")</f>
        <v>Nov</v>
      </c>
      <c r="N420">
        <f>YEAR(Table1[[#This Row],[Admission_Date]])</f>
        <v>2025</v>
      </c>
      <c r="O420" t="str">
        <f>IF(Table1[[#This Row],[Age]]&lt;30, "Young Adult", IF(Table1[[#This Row],[Age]]&lt;60, "Adult", "Senior"))</f>
        <v>Adult</v>
      </c>
    </row>
    <row r="421" spans="1:15" x14ac:dyDescent="0.25">
      <c r="A421" t="s">
        <v>448</v>
      </c>
      <c r="B421">
        <v>77</v>
      </c>
      <c r="C421" t="s">
        <v>24</v>
      </c>
      <c r="D421" t="s">
        <v>28</v>
      </c>
      <c r="E421" s="4">
        <v>45836</v>
      </c>
      <c r="F421" s="4">
        <v>45844</v>
      </c>
      <c r="G421" s="8">
        <v>8</v>
      </c>
      <c r="H421" t="s">
        <v>15</v>
      </c>
      <c r="I421">
        <v>17</v>
      </c>
      <c r="J421" t="s">
        <v>29</v>
      </c>
      <c r="K421" t="s">
        <v>17</v>
      </c>
      <c r="L421" s="6">
        <v>1983.53</v>
      </c>
      <c r="M421" t="str">
        <f>TEXT(Table1[[#This Row],[Admission_Date]], "mmm")</f>
        <v>Jun</v>
      </c>
      <c r="N421">
        <f>YEAR(Table1[[#This Row],[Admission_Date]])</f>
        <v>2025</v>
      </c>
      <c r="O421" t="str">
        <f>IF(Table1[[#This Row],[Age]]&lt;30, "Young Adult", IF(Table1[[#This Row],[Age]]&lt;60, "Adult", "Senior"))</f>
        <v>Senior</v>
      </c>
    </row>
    <row r="422" spans="1:15" x14ac:dyDescent="0.25">
      <c r="A422" t="s">
        <v>449</v>
      </c>
      <c r="B422">
        <v>65</v>
      </c>
      <c r="C422" t="s">
        <v>24</v>
      </c>
      <c r="D422" t="s">
        <v>32</v>
      </c>
      <c r="E422" s="4">
        <v>45919</v>
      </c>
      <c r="F422" s="4">
        <v>45930</v>
      </c>
      <c r="G422" s="8">
        <v>11</v>
      </c>
      <c r="H422" t="s">
        <v>20</v>
      </c>
      <c r="I422">
        <v>0</v>
      </c>
      <c r="J422" t="s">
        <v>16</v>
      </c>
      <c r="K422" t="s">
        <v>47</v>
      </c>
      <c r="L422" s="6">
        <v>1425.64</v>
      </c>
      <c r="M422" t="str">
        <f>TEXT(Table1[[#This Row],[Admission_Date]], "mmm")</f>
        <v>Sep</v>
      </c>
      <c r="N422">
        <f>YEAR(Table1[[#This Row],[Admission_Date]])</f>
        <v>2025</v>
      </c>
      <c r="O422" t="str">
        <f>IF(Table1[[#This Row],[Age]]&lt;30, "Young Adult", IF(Table1[[#This Row],[Age]]&lt;60, "Adult", "Senior"))</f>
        <v>Senior</v>
      </c>
    </row>
    <row r="423" spans="1:15" x14ac:dyDescent="0.25">
      <c r="A423" t="s">
        <v>450</v>
      </c>
      <c r="B423">
        <v>53</v>
      </c>
      <c r="C423" t="s">
        <v>24</v>
      </c>
      <c r="D423" t="s">
        <v>28</v>
      </c>
      <c r="E423" s="4">
        <v>45799</v>
      </c>
      <c r="F423" s="4">
        <v>45810</v>
      </c>
      <c r="G423" s="8">
        <v>11</v>
      </c>
      <c r="H423" t="s">
        <v>20</v>
      </c>
      <c r="I423">
        <v>0</v>
      </c>
      <c r="J423" t="s">
        <v>25</v>
      </c>
      <c r="K423" t="s">
        <v>22</v>
      </c>
      <c r="L423" s="6">
        <v>2673.97</v>
      </c>
      <c r="M423" t="str">
        <f>TEXT(Table1[[#This Row],[Admission_Date]], "mmm")</f>
        <v>May</v>
      </c>
      <c r="N423">
        <f>YEAR(Table1[[#This Row],[Admission_Date]])</f>
        <v>2025</v>
      </c>
      <c r="O423" t="str">
        <f>IF(Table1[[#This Row],[Age]]&lt;30, "Young Adult", IF(Table1[[#This Row],[Age]]&lt;60, "Adult", "Senior"))</f>
        <v>Adult</v>
      </c>
    </row>
    <row r="424" spans="1:15" x14ac:dyDescent="0.25">
      <c r="A424" t="s">
        <v>451</v>
      </c>
      <c r="B424">
        <v>69</v>
      </c>
      <c r="C424" t="s">
        <v>24</v>
      </c>
      <c r="D424" t="s">
        <v>28</v>
      </c>
      <c r="E424" s="4">
        <v>45781</v>
      </c>
      <c r="F424" s="4">
        <v>45782</v>
      </c>
      <c r="G424" s="8">
        <v>1</v>
      </c>
      <c r="H424" t="s">
        <v>20</v>
      </c>
      <c r="I424">
        <v>0</v>
      </c>
      <c r="J424" t="s">
        <v>21</v>
      </c>
      <c r="K424" t="s">
        <v>17</v>
      </c>
      <c r="L424" s="6">
        <v>869.1</v>
      </c>
      <c r="M424" t="str">
        <f>TEXT(Table1[[#This Row],[Admission_Date]], "mmm")</f>
        <v>May</v>
      </c>
      <c r="N424">
        <f>YEAR(Table1[[#This Row],[Admission_Date]])</f>
        <v>2025</v>
      </c>
      <c r="O424" t="str">
        <f>IF(Table1[[#This Row],[Age]]&lt;30, "Young Adult", IF(Table1[[#This Row],[Age]]&lt;60, "Adult", "Senior"))</f>
        <v>Senior</v>
      </c>
    </row>
    <row r="425" spans="1:15" x14ac:dyDescent="0.25">
      <c r="A425" t="s">
        <v>452</v>
      </c>
      <c r="B425">
        <v>71</v>
      </c>
      <c r="C425" t="s">
        <v>24</v>
      </c>
      <c r="D425" t="s">
        <v>40</v>
      </c>
      <c r="E425" s="4">
        <v>45912</v>
      </c>
      <c r="F425" s="4">
        <v>45917</v>
      </c>
      <c r="G425" s="8">
        <v>5</v>
      </c>
      <c r="H425" t="s">
        <v>15</v>
      </c>
      <c r="I425">
        <v>24</v>
      </c>
      <c r="J425" t="s">
        <v>16</v>
      </c>
      <c r="K425" t="s">
        <v>17</v>
      </c>
      <c r="L425" s="6">
        <v>10767</v>
      </c>
      <c r="M425" t="str">
        <f>TEXT(Table1[[#This Row],[Admission_Date]], "mmm")</f>
        <v>Sep</v>
      </c>
      <c r="N425">
        <f>YEAR(Table1[[#This Row],[Admission_Date]])</f>
        <v>2025</v>
      </c>
      <c r="O425" t="str">
        <f>IF(Table1[[#This Row],[Age]]&lt;30, "Young Adult", IF(Table1[[#This Row],[Age]]&lt;60, "Adult", "Senior"))</f>
        <v>Senior</v>
      </c>
    </row>
    <row r="426" spans="1:15" x14ac:dyDescent="0.25">
      <c r="A426" t="s">
        <v>453</v>
      </c>
      <c r="B426">
        <v>46</v>
      </c>
      <c r="C426" t="s">
        <v>24</v>
      </c>
      <c r="D426" t="s">
        <v>28</v>
      </c>
      <c r="E426" s="4">
        <v>45950</v>
      </c>
      <c r="F426" s="4">
        <v>45964</v>
      </c>
      <c r="G426" s="8">
        <v>14</v>
      </c>
      <c r="H426" t="s">
        <v>15</v>
      </c>
      <c r="I426">
        <v>12</v>
      </c>
      <c r="J426" t="s">
        <v>25</v>
      </c>
      <c r="K426" t="s">
        <v>22</v>
      </c>
      <c r="L426" s="6">
        <v>12689.26</v>
      </c>
      <c r="M426" t="str">
        <f>TEXT(Table1[[#This Row],[Admission_Date]], "mmm")</f>
        <v>Oct</v>
      </c>
      <c r="N426">
        <f>YEAR(Table1[[#This Row],[Admission_Date]])</f>
        <v>2025</v>
      </c>
      <c r="O426" t="str">
        <f>IF(Table1[[#This Row],[Age]]&lt;30, "Young Adult", IF(Table1[[#This Row],[Age]]&lt;60, "Adult", "Senior"))</f>
        <v>Adult</v>
      </c>
    </row>
    <row r="427" spans="1:15" x14ac:dyDescent="0.25">
      <c r="A427" t="s">
        <v>454</v>
      </c>
      <c r="B427">
        <v>78</v>
      </c>
      <c r="C427" t="s">
        <v>13</v>
      </c>
      <c r="D427" t="s">
        <v>28</v>
      </c>
      <c r="E427" s="4">
        <v>45943</v>
      </c>
      <c r="F427" s="4">
        <v>45946</v>
      </c>
      <c r="G427" s="8">
        <v>3</v>
      </c>
      <c r="H427" t="s">
        <v>15</v>
      </c>
      <c r="I427">
        <v>9</v>
      </c>
      <c r="J427" t="s">
        <v>21</v>
      </c>
      <c r="K427" t="s">
        <v>17</v>
      </c>
      <c r="L427" s="6">
        <v>13544.07</v>
      </c>
      <c r="M427" t="str">
        <f>TEXT(Table1[[#This Row],[Admission_Date]], "mmm")</f>
        <v>Oct</v>
      </c>
      <c r="N427">
        <f>YEAR(Table1[[#This Row],[Admission_Date]])</f>
        <v>2025</v>
      </c>
      <c r="O427" t="str">
        <f>IF(Table1[[#This Row],[Age]]&lt;30, "Young Adult", IF(Table1[[#This Row],[Age]]&lt;60, "Adult", "Senior"))</f>
        <v>Senior</v>
      </c>
    </row>
    <row r="428" spans="1:15" x14ac:dyDescent="0.25">
      <c r="A428" t="s">
        <v>455</v>
      </c>
      <c r="B428">
        <v>46</v>
      </c>
      <c r="C428" t="s">
        <v>24</v>
      </c>
      <c r="D428" t="s">
        <v>40</v>
      </c>
      <c r="E428" s="4">
        <v>45993</v>
      </c>
      <c r="F428" s="4">
        <v>45995</v>
      </c>
      <c r="G428" s="8">
        <v>2</v>
      </c>
      <c r="H428" t="s">
        <v>15</v>
      </c>
      <c r="I428">
        <v>26</v>
      </c>
      <c r="J428" t="s">
        <v>25</v>
      </c>
      <c r="K428" t="s">
        <v>47</v>
      </c>
      <c r="L428" s="6">
        <v>4278.1099999999997</v>
      </c>
      <c r="M428" t="str">
        <f>TEXT(Table1[[#This Row],[Admission_Date]], "mmm")</f>
        <v>Dec</v>
      </c>
      <c r="N428">
        <f>YEAR(Table1[[#This Row],[Admission_Date]])</f>
        <v>2025</v>
      </c>
      <c r="O428" t="str">
        <f>IF(Table1[[#This Row],[Age]]&lt;30, "Young Adult", IF(Table1[[#This Row],[Age]]&lt;60, "Adult", "Senior"))</f>
        <v>Adult</v>
      </c>
    </row>
    <row r="429" spans="1:15" x14ac:dyDescent="0.25">
      <c r="A429" t="s">
        <v>456</v>
      </c>
      <c r="B429">
        <v>78</v>
      </c>
      <c r="C429" t="s">
        <v>13</v>
      </c>
      <c r="D429" t="s">
        <v>28</v>
      </c>
      <c r="E429" s="4">
        <v>45808</v>
      </c>
      <c r="F429" s="4">
        <v>45816</v>
      </c>
      <c r="G429" s="8">
        <v>8</v>
      </c>
      <c r="H429" t="s">
        <v>20</v>
      </c>
      <c r="I429">
        <v>0</v>
      </c>
      <c r="J429" t="s">
        <v>16</v>
      </c>
      <c r="K429" t="s">
        <v>47</v>
      </c>
      <c r="L429" s="6">
        <v>13396.68</v>
      </c>
      <c r="M429" t="str">
        <f>TEXT(Table1[[#This Row],[Admission_Date]], "mmm")</f>
        <v>May</v>
      </c>
      <c r="N429">
        <f>YEAR(Table1[[#This Row],[Admission_Date]])</f>
        <v>2025</v>
      </c>
      <c r="O429" t="str">
        <f>IF(Table1[[#This Row],[Age]]&lt;30, "Young Adult", IF(Table1[[#This Row],[Age]]&lt;60, "Adult", "Senior"))</f>
        <v>Senior</v>
      </c>
    </row>
    <row r="430" spans="1:15" x14ac:dyDescent="0.25">
      <c r="A430" t="s">
        <v>457</v>
      </c>
      <c r="B430">
        <v>66</v>
      </c>
      <c r="C430" t="s">
        <v>24</v>
      </c>
      <c r="D430" t="s">
        <v>40</v>
      </c>
      <c r="E430" s="4">
        <v>45914</v>
      </c>
      <c r="F430" s="4">
        <v>45916</v>
      </c>
      <c r="G430" s="8">
        <v>2</v>
      </c>
      <c r="H430" t="s">
        <v>20</v>
      </c>
      <c r="I430">
        <v>0</v>
      </c>
      <c r="J430" t="s">
        <v>16</v>
      </c>
      <c r="K430" t="s">
        <v>22</v>
      </c>
      <c r="L430" s="6">
        <v>2491.8000000000002</v>
      </c>
      <c r="M430" t="str">
        <f>TEXT(Table1[[#This Row],[Admission_Date]], "mmm")</f>
        <v>Sep</v>
      </c>
      <c r="N430">
        <f>YEAR(Table1[[#This Row],[Admission_Date]])</f>
        <v>2025</v>
      </c>
      <c r="O430" t="str">
        <f>IF(Table1[[#This Row],[Age]]&lt;30, "Young Adult", IF(Table1[[#This Row],[Age]]&lt;60, "Adult", "Senior"))</f>
        <v>Senior</v>
      </c>
    </row>
    <row r="431" spans="1:15" x14ac:dyDescent="0.25">
      <c r="A431" t="s">
        <v>458</v>
      </c>
      <c r="B431">
        <v>90</v>
      </c>
      <c r="C431" t="s">
        <v>24</v>
      </c>
      <c r="D431" t="s">
        <v>14</v>
      </c>
      <c r="E431" s="4">
        <v>45760</v>
      </c>
      <c r="F431" s="4">
        <v>45766</v>
      </c>
      <c r="G431" s="8">
        <v>6</v>
      </c>
      <c r="H431" t="s">
        <v>20</v>
      </c>
      <c r="I431">
        <v>0</v>
      </c>
      <c r="J431" t="s">
        <v>25</v>
      </c>
      <c r="K431" t="s">
        <v>17</v>
      </c>
      <c r="L431" s="6">
        <v>3115.17</v>
      </c>
      <c r="M431" t="str">
        <f>TEXT(Table1[[#This Row],[Admission_Date]], "mmm")</f>
        <v>Apr</v>
      </c>
      <c r="N431">
        <f>YEAR(Table1[[#This Row],[Admission_Date]])</f>
        <v>2025</v>
      </c>
      <c r="O431" t="str">
        <f>IF(Table1[[#This Row],[Age]]&lt;30, "Young Adult", IF(Table1[[#This Row],[Age]]&lt;60, "Adult", "Senior"))</f>
        <v>Senior</v>
      </c>
    </row>
    <row r="432" spans="1:15" x14ac:dyDescent="0.25">
      <c r="A432" t="s">
        <v>459</v>
      </c>
      <c r="B432">
        <v>40</v>
      </c>
      <c r="C432" t="s">
        <v>24</v>
      </c>
      <c r="D432" t="s">
        <v>28</v>
      </c>
      <c r="E432" s="4">
        <v>45699</v>
      </c>
      <c r="F432" s="4">
        <v>45707</v>
      </c>
      <c r="G432" s="8">
        <v>8</v>
      </c>
      <c r="H432" t="s">
        <v>20</v>
      </c>
      <c r="I432">
        <v>0</v>
      </c>
      <c r="J432" t="s">
        <v>16</v>
      </c>
      <c r="K432" t="s">
        <v>22</v>
      </c>
      <c r="L432" s="6">
        <v>7054.77</v>
      </c>
      <c r="M432" t="str">
        <f>TEXT(Table1[[#This Row],[Admission_Date]], "mmm")</f>
        <v>Feb</v>
      </c>
      <c r="N432">
        <f>YEAR(Table1[[#This Row],[Admission_Date]])</f>
        <v>2025</v>
      </c>
      <c r="O432" t="str">
        <f>IF(Table1[[#This Row],[Age]]&lt;30, "Young Adult", IF(Table1[[#This Row],[Age]]&lt;60, "Adult", "Senior"))</f>
        <v>Adult</v>
      </c>
    </row>
    <row r="433" spans="1:15" x14ac:dyDescent="0.25">
      <c r="A433" t="s">
        <v>460</v>
      </c>
      <c r="B433">
        <v>38</v>
      </c>
      <c r="C433" t="s">
        <v>24</v>
      </c>
      <c r="D433" t="s">
        <v>19</v>
      </c>
      <c r="E433" s="4">
        <v>45765</v>
      </c>
      <c r="F433" s="4">
        <v>45778</v>
      </c>
      <c r="G433" s="8">
        <v>13</v>
      </c>
      <c r="H433" t="s">
        <v>20</v>
      </c>
      <c r="I433">
        <v>0</v>
      </c>
      <c r="J433" t="s">
        <v>21</v>
      </c>
      <c r="K433" t="s">
        <v>17</v>
      </c>
      <c r="L433" s="6">
        <v>6788.82</v>
      </c>
      <c r="M433" t="str">
        <f>TEXT(Table1[[#This Row],[Admission_Date]], "mmm")</f>
        <v>Apr</v>
      </c>
      <c r="N433">
        <f>YEAR(Table1[[#This Row],[Admission_Date]])</f>
        <v>2025</v>
      </c>
      <c r="O433" t="str">
        <f>IF(Table1[[#This Row],[Age]]&lt;30, "Young Adult", IF(Table1[[#This Row],[Age]]&lt;60, "Adult", "Senior"))</f>
        <v>Adult</v>
      </c>
    </row>
    <row r="434" spans="1:15" x14ac:dyDescent="0.25">
      <c r="A434" t="s">
        <v>461</v>
      </c>
      <c r="B434">
        <v>79</v>
      </c>
      <c r="C434" t="s">
        <v>24</v>
      </c>
      <c r="D434" t="s">
        <v>19</v>
      </c>
      <c r="E434" s="4">
        <v>45877</v>
      </c>
      <c r="F434" s="4">
        <v>45884</v>
      </c>
      <c r="G434" s="8">
        <v>7</v>
      </c>
      <c r="H434" t="s">
        <v>20</v>
      </c>
      <c r="I434">
        <v>0</v>
      </c>
      <c r="J434" t="s">
        <v>16</v>
      </c>
      <c r="K434" t="s">
        <v>17</v>
      </c>
      <c r="L434" s="6">
        <v>3391.51</v>
      </c>
      <c r="M434" t="str">
        <f>TEXT(Table1[[#This Row],[Admission_Date]], "mmm")</f>
        <v>Aug</v>
      </c>
      <c r="N434">
        <f>YEAR(Table1[[#This Row],[Admission_Date]])</f>
        <v>2025</v>
      </c>
      <c r="O434" t="str">
        <f>IF(Table1[[#This Row],[Age]]&lt;30, "Young Adult", IF(Table1[[#This Row],[Age]]&lt;60, "Adult", "Senior"))</f>
        <v>Senior</v>
      </c>
    </row>
    <row r="435" spans="1:15" x14ac:dyDescent="0.25">
      <c r="A435" t="s">
        <v>462</v>
      </c>
      <c r="B435">
        <v>85</v>
      </c>
      <c r="C435" t="s">
        <v>13</v>
      </c>
      <c r="D435" t="s">
        <v>19</v>
      </c>
      <c r="E435" s="4">
        <v>45849</v>
      </c>
      <c r="F435" s="4">
        <v>45850</v>
      </c>
      <c r="G435" s="8">
        <v>1</v>
      </c>
      <c r="H435" t="s">
        <v>20</v>
      </c>
      <c r="I435">
        <v>0</v>
      </c>
      <c r="J435" t="s">
        <v>16</v>
      </c>
      <c r="K435" t="s">
        <v>17</v>
      </c>
      <c r="L435" s="6">
        <v>11137.25</v>
      </c>
      <c r="M435" t="str">
        <f>TEXT(Table1[[#This Row],[Admission_Date]], "mmm")</f>
        <v>Jul</v>
      </c>
      <c r="N435">
        <f>YEAR(Table1[[#This Row],[Admission_Date]])</f>
        <v>2025</v>
      </c>
      <c r="O435" t="str">
        <f>IF(Table1[[#This Row],[Age]]&lt;30, "Young Adult", IF(Table1[[#This Row],[Age]]&lt;60, "Adult", "Senior"))</f>
        <v>Senior</v>
      </c>
    </row>
    <row r="436" spans="1:15" x14ac:dyDescent="0.25">
      <c r="A436" t="s">
        <v>463</v>
      </c>
      <c r="B436">
        <v>57</v>
      </c>
      <c r="C436" t="s">
        <v>13</v>
      </c>
      <c r="D436" t="s">
        <v>19</v>
      </c>
      <c r="E436" s="4">
        <v>45773</v>
      </c>
      <c r="F436" s="4">
        <v>45785</v>
      </c>
      <c r="G436" s="8">
        <v>12</v>
      </c>
      <c r="H436" t="s">
        <v>20</v>
      </c>
      <c r="I436">
        <v>0</v>
      </c>
      <c r="J436" t="s">
        <v>29</v>
      </c>
      <c r="K436" t="s">
        <v>17</v>
      </c>
      <c r="L436" s="6">
        <v>9035.7199999999993</v>
      </c>
      <c r="M436" t="str">
        <f>TEXT(Table1[[#This Row],[Admission_Date]], "mmm")</f>
        <v>Apr</v>
      </c>
      <c r="N436">
        <f>YEAR(Table1[[#This Row],[Admission_Date]])</f>
        <v>2025</v>
      </c>
      <c r="O436" t="str">
        <f>IF(Table1[[#This Row],[Age]]&lt;30, "Young Adult", IF(Table1[[#This Row],[Age]]&lt;60, "Adult", "Senior"))</f>
        <v>Adult</v>
      </c>
    </row>
    <row r="437" spans="1:15" x14ac:dyDescent="0.25">
      <c r="A437" t="s">
        <v>464</v>
      </c>
      <c r="B437">
        <v>56</v>
      </c>
      <c r="C437" t="s">
        <v>24</v>
      </c>
      <c r="D437" t="s">
        <v>40</v>
      </c>
      <c r="E437" s="4">
        <v>45743</v>
      </c>
      <c r="F437" s="4">
        <v>45745</v>
      </c>
      <c r="G437" s="8">
        <v>2</v>
      </c>
      <c r="H437" t="s">
        <v>20</v>
      </c>
      <c r="I437">
        <v>0</v>
      </c>
      <c r="J437" t="s">
        <v>25</v>
      </c>
      <c r="K437" t="s">
        <v>47</v>
      </c>
      <c r="L437" s="6">
        <v>13375.62</v>
      </c>
      <c r="M437" t="str">
        <f>TEXT(Table1[[#This Row],[Admission_Date]], "mmm")</f>
        <v>Mar</v>
      </c>
      <c r="N437">
        <f>YEAR(Table1[[#This Row],[Admission_Date]])</f>
        <v>2025</v>
      </c>
      <c r="O437" t="str">
        <f>IF(Table1[[#This Row],[Age]]&lt;30, "Young Adult", IF(Table1[[#This Row],[Age]]&lt;60, "Adult", "Senior"))</f>
        <v>Adult</v>
      </c>
    </row>
    <row r="438" spans="1:15" x14ac:dyDescent="0.25">
      <c r="A438" t="s">
        <v>465</v>
      </c>
      <c r="B438">
        <v>80</v>
      </c>
      <c r="C438" t="s">
        <v>24</v>
      </c>
      <c r="D438" t="s">
        <v>14</v>
      </c>
      <c r="E438" s="4">
        <v>45726</v>
      </c>
      <c r="F438" s="4">
        <v>45732</v>
      </c>
      <c r="G438" s="8">
        <v>6</v>
      </c>
      <c r="H438" t="s">
        <v>20</v>
      </c>
      <c r="I438">
        <v>0</v>
      </c>
      <c r="J438" t="s">
        <v>21</v>
      </c>
      <c r="K438" t="s">
        <v>47</v>
      </c>
      <c r="L438" s="6">
        <v>777.31</v>
      </c>
      <c r="M438" t="str">
        <f>TEXT(Table1[[#This Row],[Admission_Date]], "mmm")</f>
        <v>Mar</v>
      </c>
      <c r="N438">
        <f>YEAR(Table1[[#This Row],[Admission_Date]])</f>
        <v>2025</v>
      </c>
      <c r="O438" t="str">
        <f>IF(Table1[[#This Row],[Age]]&lt;30, "Young Adult", IF(Table1[[#This Row],[Age]]&lt;60, "Adult", "Senior"))</f>
        <v>Senior</v>
      </c>
    </row>
    <row r="439" spans="1:15" x14ac:dyDescent="0.25">
      <c r="A439" t="s">
        <v>466</v>
      </c>
      <c r="B439">
        <v>45</v>
      </c>
      <c r="C439" t="s">
        <v>13</v>
      </c>
      <c r="D439" t="s">
        <v>34</v>
      </c>
      <c r="E439" s="4">
        <v>45772</v>
      </c>
      <c r="F439" s="4">
        <v>45784</v>
      </c>
      <c r="G439" s="8">
        <v>12</v>
      </c>
      <c r="H439" t="s">
        <v>20</v>
      </c>
      <c r="I439">
        <v>0</v>
      </c>
      <c r="J439" t="s">
        <v>21</v>
      </c>
      <c r="K439" t="s">
        <v>22</v>
      </c>
      <c r="L439" s="6">
        <v>5815.58</v>
      </c>
      <c r="M439" t="str">
        <f>TEXT(Table1[[#This Row],[Admission_Date]], "mmm")</f>
        <v>Apr</v>
      </c>
      <c r="N439">
        <f>YEAR(Table1[[#This Row],[Admission_Date]])</f>
        <v>2025</v>
      </c>
      <c r="O439" t="str">
        <f>IF(Table1[[#This Row],[Age]]&lt;30, "Young Adult", IF(Table1[[#This Row],[Age]]&lt;60, "Adult", "Senior"))</f>
        <v>Adult</v>
      </c>
    </row>
    <row r="440" spans="1:15" x14ac:dyDescent="0.25">
      <c r="A440" t="s">
        <v>467</v>
      </c>
      <c r="B440">
        <v>50</v>
      </c>
      <c r="C440" t="s">
        <v>13</v>
      </c>
      <c r="D440" t="s">
        <v>34</v>
      </c>
      <c r="E440" s="4">
        <v>45991</v>
      </c>
      <c r="F440" s="4">
        <v>46004</v>
      </c>
      <c r="G440" s="8">
        <v>13</v>
      </c>
      <c r="H440" t="s">
        <v>15</v>
      </c>
      <c r="I440">
        <v>2</v>
      </c>
      <c r="J440" t="s">
        <v>16</v>
      </c>
      <c r="K440" t="s">
        <v>17</v>
      </c>
      <c r="L440" s="6">
        <v>12623.74</v>
      </c>
      <c r="M440" t="str">
        <f>TEXT(Table1[[#This Row],[Admission_Date]], "mmm")</f>
        <v>Nov</v>
      </c>
      <c r="N440">
        <f>YEAR(Table1[[#This Row],[Admission_Date]])</f>
        <v>2025</v>
      </c>
      <c r="O440" t="str">
        <f>IF(Table1[[#This Row],[Age]]&lt;30, "Young Adult", IF(Table1[[#This Row],[Age]]&lt;60, "Adult", "Senior"))</f>
        <v>Adult</v>
      </c>
    </row>
    <row r="441" spans="1:15" x14ac:dyDescent="0.25">
      <c r="A441" t="s">
        <v>468</v>
      </c>
      <c r="B441">
        <v>74</v>
      </c>
      <c r="C441" t="s">
        <v>24</v>
      </c>
      <c r="D441" t="s">
        <v>19</v>
      </c>
      <c r="E441" s="4">
        <v>45682</v>
      </c>
      <c r="F441" s="4">
        <v>45694</v>
      </c>
      <c r="G441" s="8">
        <v>12</v>
      </c>
      <c r="H441" t="s">
        <v>15</v>
      </c>
      <c r="I441">
        <v>18</v>
      </c>
      <c r="J441" t="s">
        <v>25</v>
      </c>
      <c r="K441" t="s">
        <v>47</v>
      </c>
      <c r="L441" s="6">
        <v>10677.09</v>
      </c>
      <c r="M441" t="str">
        <f>TEXT(Table1[[#This Row],[Admission_Date]], "mmm")</f>
        <v>Jan</v>
      </c>
      <c r="N441">
        <f>YEAR(Table1[[#This Row],[Admission_Date]])</f>
        <v>2025</v>
      </c>
      <c r="O441" t="str">
        <f>IF(Table1[[#This Row],[Age]]&lt;30, "Young Adult", IF(Table1[[#This Row],[Age]]&lt;60, "Adult", "Senior"))</f>
        <v>Senior</v>
      </c>
    </row>
    <row r="442" spans="1:15" x14ac:dyDescent="0.25">
      <c r="A442" t="s">
        <v>469</v>
      </c>
      <c r="B442">
        <v>19</v>
      </c>
      <c r="C442" t="s">
        <v>24</v>
      </c>
      <c r="D442" t="s">
        <v>40</v>
      </c>
      <c r="E442" s="4">
        <v>45763</v>
      </c>
      <c r="F442" s="4">
        <v>45775</v>
      </c>
      <c r="G442" s="8">
        <v>12</v>
      </c>
      <c r="H442" t="s">
        <v>20</v>
      </c>
      <c r="I442">
        <v>0</v>
      </c>
      <c r="J442" t="s">
        <v>16</v>
      </c>
      <c r="K442" t="s">
        <v>17</v>
      </c>
      <c r="L442" s="6">
        <v>8044.48</v>
      </c>
      <c r="M442" t="str">
        <f>TEXT(Table1[[#This Row],[Admission_Date]], "mmm")</f>
        <v>Apr</v>
      </c>
      <c r="N442">
        <f>YEAR(Table1[[#This Row],[Admission_Date]])</f>
        <v>2025</v>
      </c>
      <c r="O442" t="str">
        <f>IF(Table1[[#This Row],[Age]]&lt;30, "Young Adult", IF(Table1[[#This Row],[Age]]&lt;60, "Adult", "Senior"))</f>
        <v>Young Adult</v>
      </c>
    </row>
    <row r="443" spans="1:15" x14ac:dyDescent="0.25">
      <c r="A443" t="s">
        <v>470</v>
      </c>
      <c r="B443">
        <v>71</v>
      </c>
      <c r="C443" t="s">
        <v>13</v>
      </c>
      <c r="D443" t="s">
        <v>34</v>
      </c>
      <c r="E443" s="4">
        <v>45976</v>
      </c>
      <c r="F443" s="4">
        <v>45986</v>
      </c>
      <c r="G443" s="8">
        <v>10</v>
      </c>
      <c r="H443" t="s">
        <v>20</v>
      </c>
      <c r="I443">
        <v>0</v>
      </c>
      <c r="J443" t="s">
        <v>16</v>
      </c>
      <c r="K443" t="s">
        <v>47</v>
      </c>
      <c r="L443" s="6">
        <v>2153.1799999999998</v>
      </c>
      <c r="M443" t="str">
        <f>TEXT(Table1[[#This Row],[Admission_Date]], "mmm")</f>
        <v>Nov</v>
      </c>
      <c r="N443">
        <f>YEAR(Table1[[#This Row],[Admission_Date]])</f>
        <v>2025</v>
      </c>
      <c r="O443" t="str">
        <f>IF(Table1[[#This Row],[Age]]&lt;30, "Young Adult", IF(Table1[[#This Row],[Age]]&lt;60, "Adult", "Senior"))</f>
        <v>Senior</v>
      </c>
    </row>
    <row r="444" spans="1:15" x14ac:dyDescent="0.25">
      <c r="A444" t="s">
        <v>471</v>
      </c>
      <c r="B444">
        <v>43</v>
      </c>
      <c r="C444" t="s">
        <v>24</v>
      </c>
      <c r="D444" t="s">
        <v>34</v>
      </c>
      <c r="E444" s="4">
        <v>45712</v>
      </c>
      <c r="F444" s="4">
        <v>45720</v>
      </c>
      <c r="G444" s="8">
        <v>8</v>
      </c>
      <c r="H444" t="s">
        <v>15</v>
      </c>
      <c r="I444">
        <v>7</v>
      </c>
      <c r="J444" t="s">
        <v>25</v>
      </c>
      <c r="K444" t="s">
        <v>17</v>
      </c>
      <c r="L444" s="6">
        <v>6441.47</v>
      </c>
      <c r="M444" t="str">
        <f>TEXT(Table1[[#This Row],[Admission_Date]], "mmm")</f>
        <v>Feb</v>
      </c>
      <c r="N444">
        <f>YEAR(Table1[[#This Row],[Admission_Date]])</f>
        <v>2025</v>
      </c>
      <c r="O444" t="str">
        <f>IF(Table1[[#This Row],[Age]]&lt;30, "Young Adult", IF(Table1[[#This Row],[Age]]&lt;60, "Adult", "Senior"))</f>
        <v>Adult</v>
      </c>
    </row>
    <row r="445" spans="1:15" x14ac:dyDescent="0.25">
      <c r="A445" t="s">
        <v>472</v>
      </c>
      <c r="B445">
        <v>44</v>
      </c>
      <c r="C445" t="s">
        <v>24</v>
      </c>
      <c r="D445" t="s">
        <v>32</v>
      </c>
      <c r="E445" s="4">
        <v>45740</v>
      </c>
      <c r="F445" s="4">
        <v>45741</v>
      </c>
      <c r="G445" s="8">
        <v>1</v>
      </c>
      <c r="H445" t="s">
        <v>20</v>
      </c>
      <c r="I445">
        <v>0</v>
      </c>
      <c r="J445" t="s">
        <v>21</v>
      </c>
      <c r="K445" t="s">
        <v>22</v>
      </c>
      <c r="L445" s="6">
        <v>684.87</v>
      </c>
      <c r="M445" t="str">
        <f>TEXT(Table1[[#This Row],[Admission_Date]], "mmm")</f>
        <v>Mar</v>
      </c>
      <c r="N445">
        <f>YEAR(Table1[[#This Row],[Admission_Date]])</f>
        <v>2025</v>
      </c>
      <c r="O445" t="str">
        <f>IF(Table1[[#This Row],[Age]]&lt;30, "Young Adult", IF(Table1[[#This Row],[Age]]&lt;60, "Adult", "Senior"))</f>
        <v>Adult</v>
      </c>
    </row>
    <row r="446" spans="1:15" x14ac:dyDescent="0.25">
      <c r="A446" t="s">
        <v>473</v>
      </c>
      <c r="B446">
        <v>81</v>
      </c>
      <c r="C446" t="s">
        <v>13</v>
      </c>
      <c r="D446" t="s">
        <v>19</v>
      </c>
      <c r="E446" s="4">
        <v>45703</v>
      </c>
      <c r="F446" s="4">
        <v>45705</v>
      </c>
      <c r="G446" s="8">
        <v>2</v>
      </c>
      <c r="H446" t="s">
        <v>20</v>
      </c>
      <c r="I446">
        <v>0</v>
      </c>
      <c r="J446" t="s">
        <v>16</v>
      </c>
      <c r="K446" t="s">
        <v>17</v>
      </c>
      <c r="L446" s="6">
        <v>10991.86</v>
      </c>
      <c r="M446" t="str">
        <f>TEXT(Table1[[#This Row],[Admission_Date]], "mmm")</f>
        <v>Feb</v>
      </c>
      <c r="N446">
        <f>YEAR(Table1[[#This Row],[Admission_Date]])</f>
        <v>2025</v>
      </c>
      <c r="O446" t="str">
        <f>IF(Table1[[#This Row],[Age]]&lt;30, "Young Adult", IF(Table1[[#This Row],[Age]]&lt;60, "Adult", "Senior"))</f>
        <v>Senior</v>
      </c>
    </row>
    <row r="447" spans="1:15" x14ac:dyDescent="0.25">
      <c r="A447" t="s">
        <v>474</v>
      </c>
      <c r="B447">
        <v>55</v>
      </c>
      <c r="C447" t="s">
        <v>24</v>
      </c>
      <c r="D447" t="s">
        <v>40</v>
      </c>
      <c r="E447" s="4">
        <v>45789</v>
      </c>
      <c r="F447" s="4">
        <v>45800</v>
      </c>
      <c r="G447" s="8">
        <v>11</v>
      </c>
      <c r="H447" t="s">
        <v>15</v>
      </c>
      <c r="I447">
        <v>2</v>
      </c>
      <c r="J447" t="s">
        <v>16</v>
      </c>
      <c r="K447" t="s">
        <v>22</v>
      </c>
      <c r="L447" s="6">
        <v>13175.04</v>
      </c>
      <c r="M447" t="str">
        <f>TEXT(Table1[[#This Row],[Admission_Date]], "mmm")</f>
        <v>May</v>
      </c>
      <c r="N447">
        <f>YEAR(Table1[[#This Row],[Admission_Date]])</f>
        <v>2025</v>
      </c>
      <c r="O447" t="str">
        <f>IF(Table1[[#This Row],[Age]]&lt;30, "Young Adult", IF(Table1[[#This Row],[Age]]&lt;60, "Adult", "Senior"))</f>
        <v>Adult</v>
      </c>
    </row>
    <row r="448" spans="1:15" x14ac:dyDescent="0.25">
      <c r="A448" t="s">
        <v>475</v>
      </c>
      <c r="B448">
        <v>58</v>
      </c>
      <c r="C448" t="s">
        <v>24</v>
      </c>
      <c r="D448" t="s">
        <v>28</v>
      </c>
      <c r="E448" s="4">
        <v>45806</v>
      </c>
      <c r="F448" s="4">
        <v>45812</v>
      </c>
      <c r="G448" s="8">
        <v>6</v>
      </c>
      <c r="H448" t="s">
        <v>20</v>
      </c>
      <c r="I448">
        <v>0</v>
      </c>
      <c r="J448" t="s">
        <v>16</v>
      </c>
      <c r="K448" t="s">
        <v>22</v>
      </c>
      <c r="L448" s="6">
        <v>12843.07</v>
      </c>
      <c r="M448" t="str">
        <f>TEXT(Table1[[#This Row],[Admission_Date]], "mmm")</f>
        <v>May</v>
      </c>
      <c r="N448">
        <f>YEAR(Table1[[#This Row],[Admission_Date]])</f>
        <v>2025</v>
      </c>
      <c r="O448" t="str">
        <f>IF(Table1[[#This Row],[Age]]&lt;30, "Young Adult", IF(Table1[[#This Row],[Age]]&lt;60, "Adult", "Senior"))</f>
        <v>Adult</v>
      </c>
    </row>
    <row r="449" spans="1:15" x14ac:dyDescent="0.25">
      <c r="A449" t="s">
        <v>476</v>
      </c>
      <c r="B449">
        <v>39</v>
      </c>
      <c r="C449" t="s">
        <v>24</v>
      </c>
      <c r="D449" t="s">
        <v>32</v>
      </c>
      <c r="E449" s="4">
        <v>45681</v>
      </c>
      <c r="F449" s="4">
        <v>45682</v>
      </c>
      <c r="G449" s="8">
        <v>1</v>
      </c>
      <c r="H449" t="s">
        <v>20</v>
      </c>
      <c r="I449">
        <v>0</v>
      </c>
      <c r="J449" t="s">
        <v>29</v>
      </c>
      <c r="K449" t="s">
        <v>17</v>
      </c>
      <c r="L449" s="6">
        <v>4390.49</v>
      </c>
      <c r="M449" t="str">
        <f>TEXT(Table1[[#This Row],[Admission_Date]], "mmm")</f>
        <v>Jan</v>
      </c>
      <c r="N449">
        <f>YEAR(Table1[[#This Row],[Admission_Date]])</f>
        <v>2025</v>
      </c>
      <c r="O449" t="str">
        <f>IF(Table1[[#This Row],[Age]]&lt;30, "Young Adult", IF(Table1[[#This Row],[Age]]&lt;60, "Adult", "Senior"))</f>
        <v>Adult</v>
      </c>
    </row>
    <row r="450" spans="1:15" x14ac:dyDescent="0.25">
      <c r="A450" t="s">
        <v>477</v>
      </c>
      <c r="B450">
        <v>41</v>
      </c>
      <c r="C450" t="s">
        <v>13</v>
      </c>
      <c r="D450" t="s">
        <v>40</v>
      </c>
      <c r="E450" s="4">
        <v>45705</v>
      </c>
      <c r="F450" s="4">
        <v>45711</v>
      </c>
      <c r="G450" s="8">
        <v>6</v>
      </c>
      <c r="H450" t="s">
        <v>20</v>
      </c>
      <c r="I450">
        <v>0</v>
      </c>
      <c r="J450" t="s">
        <v>29</v>
      </c>
      <c r="K450" t="s">
        <v>47</v>
      </c>
      <c r="L450" s="6">
        <v>4441.58</v>
      </c>
      <c r="M450" t="str">
        <f>TEXT(Table1[[#This Row],[Admission_Date]], "mmm")</f>
        <v>Feb</v>
      </c>
      <c r="N450">
        <f>YEAR(Table1[[#This Row],[Admission_Date]])</f>
        <v>2025</v>
      </c>
      <c r="O450" t="str">
        <f>IF(Table1[[#This Row],[Age]]&lt;30, "Young Adult", IF(Table1[[#This Row],[Age]]&lt;60, "Adult", "Senior"))</f>
        <v>Adult</v>
      </c>
    </row>
    <row r="451" spans="1:15" x14ac:dyDescent="0.25">
      <c r="A451" t="s">
        <v>478</v>
      </c>
      <c r="B451">
        <v>71</v>
      </c>
      <c r="C451" t="s">
        <v>13</v>
      </c>
      <c r="D451" t="s">
        <v>19</v>
      </c>
      <c r="E451" s="4">
        <v>45855</v>
      </c>
      <c r="F451" s="4">
        <v>45867</v>
      </c>
      <c r="G451" s="8">
        <v>12</v>
      </c>
      <c r="H451" t="s">
        <v>20</v>
      </c>
      <c r="I451">
        <v>0</v>
      </c>
      <c r="J451" t="s">
        <v>21</v>
      </c>
      <c r="K451" t="s">
        <v>17</v>
      </c>
      <c r="L451" s="6">
        <v>11032.96</v>
      </c>
      <c r="M451" t="str">
        <f>TEXT(Table1[[#This Row],[Admission_Date]], "mmm")</f>
        <v>Jul</v>
      </c>
      <c r="N451">
        <f>YEAR(Table1[[#This Row],[Admission_Date]])</f>
        <v>2025</v>
      </c>
      <c r="O451" t="str">
        <f>IF(Table1[[#This Row],[Age]]&lt;30, "Young Adult", IF(Table1[[#This Row],[Age]]&lt;60, "Adult", "Senior"))</f>
        <v>Senior</v>
      </c>
    </row>
    <row r="452" spans="1:15" x14ac:dyDescent="0.25">
      <c r="A452" t="s">
        <v>479</v>
      </c>
      <c r="B452">
        <v>79</v>
      </c>
      <c r="C452" t="s">
        <v>24</v>
      </c>
      <c r="D452" t="s">
        <v>14</v>
      </c>
      <c r="E452" s="4">
        <v>45739</v>
      </c>
      <c r="F452" s="4">
        <v>45741</v>
      </c>
      <c r="G452" s="8">
        <v>2</v>
      </c>
      <c r="H452" t="s">
        <v>20</v>
      </c>
      <c r="I452">
        <v>0</v>
      </c>
      <c r="J452" t="s">
        <v>29</v>
      </c>
      <c r="K452" t="s">
        <v>47</v>
      </c>
      <c r="L452" s="6">
        <v>9364.7000000000007</v>
      </c>
      <c r="M452" t="str">
        <f>TEXT(Table1[[#This Row],[Admission_Date]], "mmm")</f>
        <v>Mar</v>
      </c>
      <c r="N452">
        <f>YEAR(Table1[[#This Row],[Admission_Date]])</f>
        <v>2025</v>
      </c>
      <c r="O452" t="str">
        <f>IF(Table1[[#This Row],[Age]]&lt;30, "Young Adult", IF(Table1[[#This Row],[Age]]&lt;60, "Adult", "Senior"))</f>
        <v>Senior</v>
      </c>
    </row>
    <row r="453" spans="1:15" x14ac:dyDescent="0.25">
      <c r="A453" t="s">
        <v>480</v>
      </c>
      <c r="B453">
        <v>34</v>
      </c>
      <c r="C453" t="s">
        <v>24</v>
      </c>
      <c r="D453" t="s">
        <v>40</v>
      </c>
      <c r="E453" s="4">
        <v>46008</v>
      </c>
      <c r="F453" s="4">
        <v>46022</v>
      </c>
      <c r="G453" s="8">
        <v>14</v>
      </c>
      <c r="H453" t="s">
        <v>20</v>
      </c>
      <c r="I453">
        <v>0</v>
      </c>
      <c r="J453" t="s">
        <v>16</v>
      </c>
      <c r="K453" t="s">
        <v>47</v>
      </c>
      <c r="L453" s="6">
        <v>6889.97</v>
      </c>
      <c r="M453" t="str">
        <f>TEXT(Table1[[#This Row],[Admission_Date]], "mmm")</f>
        <v>Dec</v>
      </c>
      <c r="N453">
        <f>YEAR(Table1[[#This Row],[Admission_Date]])</f>
        <v>2025</v>
      </c>
      <c r="O453" t="str">
        <f>IF(Table1[[#This Row],[Age]]&lt;30, "Young Adult", IF(Table1[[#This Row],[Age]]&lt;60, "Adult", "Senior"))</f>
        <v>Adult</v>
      </c>
    </row>
    <row r="454" spans="1:15" x14ac:dyDescent="0.25">
      <c r="A454" t="s">
        <v>481</v>
      </c>
      <c r="B454">
        <v>19</v>
      </c>
      <c r="C454" t="s">
        <v>13</v>
      </c>
      <c r="D454" t="s">
        <v>28</v>
      </c>
      <c r="E454" s="4">
        <v>45690</v>
      </c>
      <c r="F454" s="4">
        <v>45695</v>
      </c>
      <c r="G454" s="8">
        <v>5</v>
      </c>
      <c r="H454" t="s">
        <v>20</v>
      </c>
      <c r="I454">
        <v>0</v>
      </c>
      <c r="J454" t="s">
        <v>25</v>
      </c>
      <c r="K454" t="s">
        <v>17</v>
      </c>
      <c r="L454" s="6">
        <v>8085</v>
      </c>
      <c r="M454" t="str">
        <f>TEXT(Table1[[#This Row],[Admission_Date]], "mmm")</f>
        <v>Feb</v>
      </c>
      <c r="N454">
        <f>YEAR(Table1[[#This Row],[Admission_Date]])</f>
        <v>2025</v>
      </c>
      <c r="O454" t="str">
        <f>IF(Table1[[#This Row],[Age]]&lt;30, "Young Adult", IF(Table1[[#This Row],[Age]]&lt;60, "Adult", "Senior"))</f>
        <v>Young Adult</v>
      </c>
    </row>
    <row r="455" spans="1:15" x14ac:dyDescent="0.25">
      <c r="A455" t="s">
        <v>482</v>
      </c>
      <c r="B455">
        <v>49</v>
      </c>
      <c r="C455" t="s">
        <v>24</v>
      </c>
      <c r="D455" t="s">
        <v>32</v>
      </c>
      <c r="E455" s="4">
        <v>46016</v>
      </c>
      <c r="F455" s="4">
        <v>46026</v>
      </c>
      <c r="G455" s="8">
        <v>10</v>
      </c>
      <c r="H455" t="s">
        <v>15</v>
      </c>
      <c r="I455">
        <v>22</v>
      </c>
      <c r="J455" t="s">
        <v>29</v>
      </c>
      <c r="K455" t="s">
        <v>22</v>
      </c>
      <c r="L455" s="6">
        <v>12665.98</v>
      </c>
      <c r="M455" t="str">
        <f>TEXT(Table1[[#This Row],[Admission_Date]], "mmm")</f>
        <v>Dec</v>
      </c>
      <c r="N455">
        <f>YEAR(Table1[[#This Row],[Admission_Date]])</f>
        <v>2025</v>
      </c>
      <c r="O455" t="str">
        <f>IF(Table1[[#This Row],[Age]]&lt;30, "Young Adult", IF(Table1[[#This Row],[Age]]&lt;60, "Adult", "Senior"))</f>
        <v>Adult</v>
      </c>
    </row>
    <row r="456" spans="1:15" x14ac:dyDescent="0.25">
      <c r="A456" t="s">
        <v>483</v>
      </c>
      <c r="B456">
        <v>38</v>
      </c>
      <c r="C456" t="s">
        <v>24</v>
      </c>
      <c r="D456" t="s">
        <v>40</v>
      </c>
      <c r="E456" s="4">
        <v>45943</v>
      </c>
      <c r="F456" s="4">
        <v>45953</v>
      </c>
      <c r="G456" s="8">
        <v>10</v>
      </c>
      <c r="H456" t="s">
        <v>15</v>
      </c>
      <c r="I456">
        <v>28</v>
      </c>
      <c r="J456" t="s">
        <v>21</v>
      </c>
      <c r="K456" t="s">
        <v>22</v>
      </c>
      <c r="L456" s="6">
        <v>11395.74</v>
      </c>
      <c r="M456" t="str">
        <f>TEXT(Table1[[#This Row],[Admission_Date]], "mmm")</f>
        <v>Oct</v>
      </c>
      <c r="N456">
        <f>YEAR(Table1[[#This Row],[Admission_Date]])</f>
        <v>2025</v>
      </c>
      <c r="O456" t="str">
        <f>IF(Table1[[#This Row],[Age]]&lt;30, "Young Adult", IF(Table1[[#This Row],[Age]]&lt;60, "Adult", "Senior"))</f>
        <v>Adult</v>
      </c>
    </row>
    <row r="457" spans="1:15" x14ac:dyDescent="0.25">
      <c r="A457" t="s">
        <v>484</v>
      </c>
      <c r="B457">
        <v>53</v>
      </c>
      <c r="C457" t="s">
        <v>13</v>
      </c>
      <c r="D457" t="s">
        <v>34</v>
      </c>
      <c r="E457" s="4">
        <v>45822</v>
      </c>
      <c r="F457" s="4">
        <v>45826</v>
      </c>
      <c r="G457" s="8">
        <v>4</v>
      </c>
      <c r="H457" t="s">
        <v>20</v>
      </c>
      <c r="I457">
        <v>0</v>
      </c>
      <c r="J457" t="s">
        <v>21</v>
      </c>
      <c r="K457" t="s">
        <v>17</v>
      </c>
      <c r="L457" s="6">
        <v>9828.1</v>
      </c>
      <c r="M457" t="str">
        <f>TEXT(Table1[[#This Row],[Admission_Date]], "mmm")</f>
        <v>Jun</v>
      </c>
      <c r="N457">
        <f>YEAR(Table1[[#This Row],[Admission_Date]])</f>
        <v>2025</v>
      </c>
      <c r="O457" t="str">
        <f>IF(Table1[[#This Row],[Age]]&lt;30, "Young Adult", IF(Table1[[#This Row],[Age]]&lt;60, "Adult", "Senior"))</f>
        <v>Adult</v>
      </c>
    </row>
    <row r="458" spans="1:15" x14ac:dyDescent="0.25">
      <c r="A458" t="s">
        <v>485</v>
      </c>
      <c r="B458">
        <v>76</v>
      </c>
      <c r="C458" t="s">
        <v>24</v>
      </c>
      <c r="D458" t="s">
        <v>34</v>
      </c>
      <c r="E458" s="4">
        <v>45864</v>
      </c>
      <c r="F458" s="4">
        <v>45878</v>
      </c>
      <c r="G458" s="8">
        <v>14</v>
      </c>
      <c r="H458" t="s">
        <v>15</v>
      </c>
      <c r="I458">
        <v>15</v>
      </c>
      <c r="J458" t="s">
        <v>16</v>
      </c>
      <c r="K458" t="s">
        <v>47</v>
      </c>
      <c r="L458" s="6">
        <v>6982.49</v>
      </c>
      <c r="M458" t="str">
        <f>TEXT(Table1[[#This Row],[Admission_Date]], "mmm")</f>
        <v>Jul</v>
      </c>
      <c r="N458">
        <f>YEAR(Table1[[#This Row],[Admission_Date]])</f>
        <v>2025</v>
      </c>
      <c r="O458" t="str">
        <f>IF(Table1[[#This Row],[Age]]&lt;30, "Young Adult", IF(Table1[[#This Row],[Age]]&lt;60, "Adult", "Senior"))</f>
        <v>Senior</v>
      </c>
    </row>
    <row r="459" spans="1:15" x14ac:dyDescent="0.25">
      <c r="A459" t="s">
        <v>486</v>
      </c>
      <c r="B459">
        <v>20</v>
      </c>
      <c r="C459" t="s">
        <v>13</v>
      </c>
      <c r="D459" t="s">
        <v>40</v>
      </c>
      <c r="E459" s="4">
        <v>45718</v>
      </c>
      <c r="F459" s="4">
        <v>45726</v>
      </c>
      <c r="G459" s="8">
        <v>8</v>
      </c>
      <c r="H459" t="s">
        <v>20</v>
      </c>
      <c r="I459">
        <v>0</v>
      </c>
      <c r="J459" t="s">
        <v>29</v>
      </c>
      <c r="K459" t="s">
        <v>22</v>
      </c>
      <c r="L459" s="6">
        <v>8578.4</v>
      </c>
      <c r="M459" t="str">
        <f>TEXT(Table1[[#This Row],[Admission_Date]], "mmm")</f>
        <v>Mar</v>
      </c>
      <c r="N459">
        <f>YEAR(Table1[[#This Row],[Admission_Date]])</f>
        <v>2025</v>
      </c>
      <c r="O459" t="str">
        <f>IF(Table1[[#This Row],[Age]]&lt;30, "Young Adult", IF(Table1[[#This Row],[Age]]&lt;60, "Adult", "Senior"))</f>
        <v>Young Adult</v>
      </c>
    </row>
    <row r="460" spans="1:15" x14ac:dyDescent="0.25">
      <c r="A460" t="s">
        <v>487</v>
      </c>
      <c r="B460">
        <v>56</v>
      </c>
      <c r="C460" t="s">
        <v>13</v>
      </c>
      <c r="D460" t="s">
        <v>28</v>
      </c>
      <c r="E460" s="4">
        <v>45658</v>
      </c>
      <c r="F460" s="4">
        <v>45672</v>
      </c>
      <c r="G460" s="8">
        <v>14</v>
      </c>
      <c r="H460" t="s">
        <v>15</v>
      </c>
      <c r="I460">
        <v>22</v>
      </c>
      <c r="J460" t="s">
        <v>29</v>
      </c>
      <c r="K460" t="s">
        <v>47</v>
      </c>
      <c r="L460" s="6">
        <v>5768.47</v>
      </c>
      <c r="M460" t="str">
        <f>TEXT(Table1[[#This Row],[Admission_Date]], "mmm")</f>
        <v>Jan</v>
      </c>
      <c r="N460">
        <f>YEAR(Table1[[#This Row],[Admission_Date]])</f>
        <v>2025</v>
      </c>
      <c r="O460" t="str">
        <f>IF(Table1[[#This Row],[Age]]&lt;30, "Young Adult", IF(Table1[[#This Row],[Age]]&lt;60, "Adult", "Senior"))</f>
        <v>Adult</v>
      </c>
    </row>
    <row r="461" spans="1:15" x14ac:dyDescent="0.25">
      <c r="A461" t="s">
        <v>488</v>
      </c>
      <c r="B461">
        <v>76</v>
      </c>
      <c r="C461" t="s">
        <v>24</v>
      </c>
      <c r="D461" t="s">
        <v>34</v>
      </c>
      <c r="E461" s="4">
        <v>45685</v>
      </c>
      <c r="F461" s="4">
        <v>45699</v>
      </c>
      <c r="G461" s="8">
        <v>14</v>
      </c>
      <c r="H461" t="s">
        <v>15</v>
      </c>
      <c r="I461">
        <v>25</v>
      </c>
      <c r="J461" t="s">
        <v>29</v>
      </c>
      <c r="K461" t="s">
        <v>17</v>
      </c>
      <c r="L461" s="6">
        <v>10028.92</v>
      </c>
      <c r="M461" t="str">
        <f>TEXT(Table1[[#This Row],[Admission_Date]], "mmm")</f>
        <v>Jan</v>
      </c>
      <c r="N461">
        <f>YEAR(Table1[[#This Row],[Admission_Date]])</f>
        <v>2025</v>
      </c>
      <c r="O461" t="str">
        <f>IF(Table1[[#This Row],[Age]]&lt;30, "Young Adult", IF(Table1[[#This Row],[Age]]&lt;60, "Adult", "Senior"))</f>
        <v>Senior</v>
      </c>
    </row>
    <row r="462" spans="1:15" x14ac:dyDescent="0.25">
      <c r="A462" t="s">
        <v>489</v>
      </c>
      <c r="B462">
        <v>46</v>
      </c>
      <c r="C462" t="s">
        <v>13</v>
      </c>
      <c r="D462" t="s">
        <v>32</v>
      </c>
      <c r="E462" s="4">
        <v>45889</v>
      </c>
      <c r="F462" s="4">
        <v>45891</v>
      </c>
      <c r="G462" s="8">
        <v>2</v>
      </c>
      <c r="H462" t="s">
        <v>15</v>
      </c>
      <c r="I462">
        <v>12</v>
      </c>
      <c r="J462" t="s">
        <v>25</v>
      </c>
      <c r="K462" t="s">
        <v>17</v>
      </c>
      <c r="L462" s="6">
        <v>8068.78</v>
      </c>
      <c r="M462" t="str">
        <f>TEXT(Table1[[#This Row],[Admission_Date]], "mmm")</f>
        <v>Aug</v>
      </c>
      <c r="N462">
        <f>YEAR(Table1[[#This Row],[Admission_Date]])</f>
        <v>2025</v>
      </c>
      <c r="O462" t="str">
        <f>IF(Table1[[#This Row],[Age]]&lt;30, "Young Adult", IF(Table1[[#This Row],[Age]]&lt;60, "Adult", "Senior"))</f>
        <v>Adult</v>
      </c>
    </row>
    <row r="463" spans="1:15" x14ac:dyDescent="0.25">
      <c r="A463" t="s">
        <v>490</v>
      </c>
      <c r="B463">
        <v>39</v>
      </c>
      <c r="C463" t="s">
        <v>24</v>
      </c>
      <c r="D463" t="s">
        <v>14</v>
      </c>
      <c r="E463" s="4">
        <v>46017</v>
      </c>
      <c r="F463" s="4">
        <v>46019</v>
      </c>
      <c r="G463" s="8">
        <v>2</v>
      </c>
      <c r="H463" t="s">
        <v>15</v>
      </c>
      <c r="I463">
        <v>27</v>
      </c>
      <c r="J463" t="s">
        <v>29</v>
      </c>
      <c r="K463" t="s">
        <v>22</v>
      </c>
      <c r="L463" s="6">
        <v>4187.2</v>
      </c>
      <c r="M463" t="str">
        <f>TEXT(Table1[[#This Row],[Admission_Date]], "mmm")</f>
        <v>Dec</v>
      </c>
      <c r="N463">
        <f>YEAR(Table1[[#This Row],[Admission_Date]])</f>
        <v>2025</v>
      </c>
      <c r="O463" t="str">
        <f>IF(Table1[[#This Row],[Age]]&lt;30, "Young Adult", IF(Table1[[#This Row],[Age]]&lt;60, "Adult", "Senior"))</f>
        <v>Adult</v>
      </c>
    </row>
    <row r="464" spans="1:15" x14ac:dyDescent="0.25">
      <c r="A464" t="s">
        <v>491</v>
      </c>
      <c r="B464">
        <v>68</v>
      </c>
      <c r="C464" t="s">
        <v>13</v>
      </c>
      <c r="D464" t="s">
        <v>40</v>
      </c>
      <c r="E464" s="4">
        <v>45758</v>
      </c>
      <c r="F464" s="4">
        <v>45762</v>
      </c>
      <c r="G464" s="8">
        <v>4</v>
      </c>
      <c r="H464" t="s">
        <v>15</v>
      </c>
      <c r="I464">
        <v>27</v>
      </c>
      <c r="J464" t="s">
        <v>21</v>
      </c>
      <c r="K464" t="s">
        <v>17</v>
      </c>
      <c r="L464" s="6">
        <v>5400.04</v>
      </c>
      <c r="M464" t="str">
        <f>TEXT(Table1[[#This Row],[Admission_Date]], "mmm")</f>
        <v>Apr</v>
      </c>
      <c r="N464">
        <f>YEAR(Table1[[#This Row],[Admission_Date]])</f>
        <v>2025</v>
      </c>
      <c r="O464" t="str">
        <f>IF(Table1[[#This Row],[Age]]&lt;30, "Young Adult", IF(Table1[[#This Row],[Age]]&lt;60, "Adult", "Senior"))</f>
        <v>Senior</v>
      </c>
    </row>
    <row r="465" spans="1:15" x14ac:dyDescent="0.25">
      <c r="A465" t="s">
        <v>492</v>
      </c>
      <c r="B465">
        <v>33</v>
      </c>
      <c r="C465" t="s">
        <v>24</v>
      </c>
      <c r="D465" t="s">
        <v>40</v>
      </c>
      <c r="E465" s="4">
        <v>45870</v>
      </c>
      <c r="F465" s="4">
        <v>45871</v>
      </c>
      <c r="G465" s="8">
        <v>1</v>
      </c>
      <c r="H465" t="s">
        <v>20</v>
      </c>
      <c r="I465">
        <v>0</v>
      </c>
      <c r="J465" t="s">
        <v>21</v>
      </c>
      <c r="K465" t="s">
        <v>47</v>
      </c>
      <c r="L465" s="6">
        <v>562.9</v>
      </c>
      <c r="M465" t="str">
        <f>TEXT(Table1[[#This Row],[Admission_Date]], "mmm")</f>
        <v>Aug</v>
      </c>
      <c r="N465">
        <f>YEAR(Table1[[#This Row],[Admission_Date]])</f>
        <v>2025</v>
      </c>
      <c r="O465" t="str">
        <f>IF(Table1[[#This Row],[Age]]&lt;30, "Young Adult", IF(Table1[[#This Row],[Age]]&lt;60, "Adult", "Senior"))</f>
        <v>Adult</v>
      </c>
    </row>
    <row r="466" spans="1:15" x14ac:dyDescent="0.25">
      <c r="A466" t="s">
        <v>493</v>
      </c>
      <c r="B466">
        <v>79</v>
      </c>
      <c r="C466" t="s">
        <v>13</v>
      </c>
      <c r="D466" t="s">
        <v>28</v>
      </c>
      <c r="E466" s="4">
        <v>45682</v>
      </c>
      <c r="F466" s="4">
        <v>45691</v>
      </c>
      <c r="G466" s="8">
        <v>9</v>
      </c>
      <c r="H466" t="s">
        <v>20</v>
      </c>
      <c r="I466">
        <v>0</v>
      </c>
      <c r="J466" t="s">
        <v>21</v>
      </c>
      <c r="K466" t="s">
        <v>17</v>
      </c>
      <c r="L466" s="6">
        <v>12321.04</v>
      </c>
      <c r="M466" t="str">
        <f>TEXT(Table1[[#This Row],[Admission_Date]], "mmm")</f>
        <v>Jan</v>
      </c>
      <c r="N466">
        <f>YEAR(Table1[[#This Row],[Admission_Date]])</f>
        <v>2025</v>
      </c>
      <c r="O466" t="str">
        <f>IF(Table1[[#This Row],[Age]]&lt;30, "Young Adult", IF(Table1[[#This Row],[Age]]&lt;60, "Adult", "Senior"))</f>
        <v>Senior</v>
      </c>
    </row>
    <row r="467" spans="1:15" x14ac:dyDescent="0.25">
      <c r="A467" t="s">
        <v>494</v>
      </c>
      <c r="B467">
        <v>59</v>
      </c>
      <c r="C467" t="s">
        <v>24</v>
      </c>
      <c r="D467" t="s">
        <v>40</v>
      </c>
      <c r="E467" s="4">
        <v>45711</v>
      </c>
      <c r="F467" s="4">
        <v>45718</v>
      </c>
      <c r="G467" s="8">
        <v>7</v>
      </c>
      <c r="H467" t="s">
        <v>20</v>
      </c>
      <c r="I467">
        <v>0</v>
      </c>
      <c r="J467" t="s">
        <v>21</v>
      </c>
      <c r="K467" t="s">
        <v>47</v>
      </c>
      <c r="L467" s="6">
        <v>6269.11</v>
      </c>
      <c r="M467" t="str">
        <f>TEXT(Table1[[#This Row],[Admission_Date]], "mmm")</f>
        <v>Feb</v>
      </c>
      <c r="N467">
        <f>YEAR(Table1[[#This Row],[Admission_Date]])</f>
        <v>2025</v>
      </c>
      <c r="O467" t="str">
        <f>IF(Table1[[#This Row],[Age]]&lt;30, "Young Adult", IF(Table1[[#This Row],[Age]]&lt;60, "Adult", "Senior"))</f>
        <v>Adult</v>
      </c>
    </row>
    <row r="468" spans="1:15" x14ac:dyDescent="0.25">
      <c r="A468" t="s">
        <v>495</v>
      </c>
      <c r="B468">
        <v>35</v>
      </c>
      <c r="C468" t="s">
        <v>13</v>
      </c>
      <c r="D468" t="s">
        <v>40</v>
      </c>
      <c r="E468" s="4">
        <v>45833</v>
      </c>
      <c r="F468" s="4">
        <v>45838</v>
      </c>
      <c r="G468" s="8">
        <v>5</v>
      </c>
      <c r="H468" t="s">
        <v>20</v>
      </c>
      <c r="I468">
        <v>0</v>
      </c>
      <c r="J468" t="s">
        <v>25</v>
      </c>
      <c r="K468" t="s">
        <v>17</v>
      </c>
      <c r="L468" s="6">
        <v>8443.19</v>
      </c>
      <c r="M468" t="str">
        <f>TEXT(Table1[[#This Row],[Admission_Date]], "mmm")</f>
        <v>Jun</v>
      </c>
      <c r="N468">
        <f>YEAR(Table1[[#This Row],[Admission_Date]])</f>
        <v>2025</v>
      </c>
      <c r="O468" t="str">
        <f>IF(Table1[[#This Row],[Age]]&lt;30, "Young Adult", IF(Table1[[#This Row],[Age]]&lt;60, "Adult", "Senior"))</f>
        <v>Adult</v>
      </c>
    </row>
    <row r="469" spans="1:15" x14ac:dyDescent="0.25">
      <c r="A469" t="s">
        <v>496</v>
      </c>
      <c r="B469">
        <v>88</v>
      </c>
      <c r="C469" t="s">
        <v>13</v>
      </c>
      <c r="D469" t="s">
        <v>14</v>
      </c>
      <c r="E469" s="4">
        <v>45818</v>
      </c>
      <c r="F469" s="4">
        <v>45830</v>
      </c>
      <c r="G469" s="8">
        <v>12</v>
      </c>
      <c r="H469" t="s">
        <v>20</v>
      </c>
      <c r="I469">
        <v>0</v>
      </c>
      <c r="J469" t="s">
        <v>21</v>
      </c>
      <c r="K469" t="s">
        <v>17</v>
      </c>
      <c r="L469" s="6">
        <v>10858.58</v>
      </c>
      <c r="M469" t="str">
        <f>TEXT(Table1[[#This Row],[Admission_Date]], "mmm")</f>
        <v>Jun</v>
      </c>
      <c r="N469">
        <f>YEAR(Table1[[#This Row],[Admission_Date]])</f>
        <v>2025</v>
      </c>
      <c r="O469" t="str">
        <f>IF(Table1[[#This Row],[Age]]&lt;30, "Young Adult", IF(Table1[[#This Row],[Age]]&lt;60, "Adult", "Senior"))</f>
        <v>Senior</v>
      </c>
    </row>
    <row r="470" spans="1:15" x14ac:dyDescent="0.25">
      <c r="A470" t="s">
        <v>497</v>
      </c>
      <c r="B470">
        <v>34</v>
      </c>
      <c r="C470" t="s">
        <v>13</v>
      </c>
      <c r="D470" t="s">
        <v>34</v>
      </c>
      <c r="E470" s="4">
        <v>46009</v>
      </c>
      <c r="F470" s="4">
        <v>46015</v>
      </c>
      <c r="G470" s="8">
        <v>6</v>
      </c>
      <c r="H470" t="s">
        <v>20</v>
      </c>
      <c r="I470">
        <v>0</v>
      </c>
      <c r="J470" t="s">
        <v>25</v>
      </c>
      <c r="K470" t="s">
        <v>17</v>
      </c>
      <c r="L470" s="6">
        <v>2173.38</v>
      </c>
      <c r="M470" t="str">
        <f>TEXT(Table1[[#This Row],[Admission_Date]], "mmm")</f>
        <v>Dec</v>
      </c>
      <c r="N470">
        <f>YEAR(Table1[[#This Row],[Admission_Date]])</f>
        <v>2025</v>
      </c>
      <c r="O470" t="str">
        <f>IF(Table1[[#This Row],[Age]]&lt;30, "Young Adult", IF(Table1[[#This Row],[Age]]&lt;60, "Adult", "Senior"))</f>
        <v>Adult</v>
      </c>
    </row>
    <row r="471" spans="1:15" x14ac:dyDescent="0.25">
      <c r="A471" t="s">
        <v>498</v>
      </c>
      <c r="B471">
        <v>71</v>
      </c>
      <c r="C471" t="s">
        <v>24</v>
      </c>
      <c r="D471" t="s">
        <v>40</v>
      </c>
      <c r="E471" s="4">
        <v>45838</v>
      </c>
      <c r="F471" s="4">
        <v>45847</v>
      </c>
      <c r="G471" s="8">
        <v>9</v>
      </c>
      <c r="H471" t="s">
        <v>20</v>
      </c>
      <c r="I471">
        <v>0</v>
      </c>
      <c r="J471" t="s">
        <v>16</v>
      </c>
      <c r="K471" t="s">
        <v>17</v>
      </c>
      <c r="L471" s="6">
        <v>2043.82</v>
      </c>
      <c r="M471" t="str">
        <f>TEXT(Table1[[#This Row],[Admission_Date]], "mmm")</f>
        <v>Jun</v>
      </c>
      <c r="N471">
        <f>YEAR(Table1[[#This Row],[Admission_Date]])</f>
        <v>2025</v>
      </c>
      <c r="O471" t="str">
        <f>IF(Table1[[#This Row],[Age]]&lt;30, "Young Adult", IF(Table1[[#This Row],[Age]]&lt;60, "Adult", "Senior"))</f>
        <v>Senior</v>
      </c>
    </row>
    <row r="472" spans="1:15" x14ac:dyDescent="0.25">
      <c r="A472" t="s">
        <v>499</v>
      </c>
      <c r="B472">
        <v>25</v>
      </c>
      <c r="C472" t="s">
        <v>13</v>
      </c>
      <c r="D472" t="s">
        <v>32</v>
      </c>
      <c r="E472" s="4">
        <v>45853</v>
      </c>
      <c r="F472" s="4">
        <v>45856</v>
      </c>
      <c r="G472" s="8">
        <v>3</v>
      </c>
      <c r="H472" t="s">
        <v>15</v>
      </c>
      <c r="I472">
        <v>25</v>
      </c>
      <c r="J472" t="s">
        <v>21</v>
      </c>
      <c r="K472" t="s">
        <v>47</v>
      </c>
      <c r="L472" s="6">
        <v>10409.16</v>
      </c>
      <c r="M472" t="str">
        <f>TEXT(Table1[[#This Row],[Admission_Date]], "mmm")</f>
        <v>Jul</v>
      </c>
      <c r="N472">
        <f>YEAR(Table1[[#This Row],[Admission_Date]])</f>
        <v>2025</v>
      </c>
      <c r="O472" t="str">
        <f>IF(Table1[[#This Row],[Age]]&lt;30, "Young Adult", IF(Table1[[#This Row],[Age]]&lt;60, "Adult", "Senior"))</f>
        <v>Young Adult</v>
      </c>
    </row>
    <row r="473" spans="1:15" x14ac:dyDescent="0.25">
      <c r="A473" t="s">
        <v>500</v>
      </c>
      <c r="B473">
        <v>55</v>
      </c>
      <c r="C473" t="s">
        <v>13</v>
      </c>
      <c r="D473" t="s">
        <v>34</v>
      </c>
      <c r="E473" s="4">
        <v>45732</v>
      </c>
      <c r="F473" s="4">
        <v>45746</v>
      </c>
      <c r="G473" s="8">
        <v>14</v>
      </c>
      <c r="H473" t="s">
        <v>15</v>
      </c>
      <c r="I473">
        <v>2</v>
      </c>
      <c r="J473" t="s">
        <v>25</v>
      </c>
      <c r="K473" t="s">
        <v>47</v>
      </c>
      <c r="L473" s="6">
        <v>1985.96</v>
      </c>
      <c r="M473" t="str">
        <f>TEXT(Table1[[#This Row],[Admission_Date]], "mmm")</f>
        <v>Mar</v>
      </c>
      <c r="N473">
        <f>YEAR(Table1[[#This Row],[Admission_Date]])</f>
        <v>2025</v>
      </c>
      <c r="O473" t="str">
        <f>IF(Table1[[#This Row],[Age]]&lt;30, "Young Adult", IF(Table1[[#This Row],[Age]]&lt;60, "Adult", "Senior"))</f>
        <v>Adult</v>
      </c>
    </row>
    <row r="474" spans="1:15" x14ac:dyDescent="0.25">
      <c r="A474" t="s">
        <v>501</v>
      </c>
      <c r="B474">
        <v>46</v>
      </c>
      <c r="C474" t="s">
        <v>24</v>
      </c>
      <c r="D474" t="s">
        <v>14</v>
      </c>
      <c r="E474" s="4">
        <v>46003</v>
      </c>
      <c r="F474" s="4">
        <v>46015</v>
      </c>
      <c r="G474" s="8">
        <v>12</v>
      </c>
      <c r="H474" t="s">
        <v>20</v>
      </c>
      <c r="I474">
        <v>0</v>
      </c>
      <c r="J474" t="s">
        <v>25</v>
      </c>
      <c r="K474" t="s">
        <v>17</v>
      </c>
      <c r="L474" s="6">
        <v>10135.16</v>
      </c>
      <c r="M474" t="str">
        <f>TEXT(Table1[[#This Row],[Admission_Date]], "mmm")</f>
        <v>Dec</v>
      </c>
      <c r="N474">
        <f>YEAR(Table1[[#This Row],[Admission_Date]])</f>
        <v>2025</v>
      </c>
      <c r="O474" t="str">
        <f>IF(Table1[[#This Row],[Age]]&lt;30, "Young Adult", IF(Table1[[#This Row],[Age]]&lt;60, "Adult", "Senior"))</f>
        <v>Adult</v>
      </c>
    </row>
    <row r="475" spans="1:15" x14ac:dyDescent="0.25">
      <c r="A475" t="s">
        <v>502</v>
      </c>
      <c r="B475">
        <v>58</v>
      </c>
      <c r="C475" t="s">
        <v>13</v>
      </c>
      <c r="D475" t="s">
        <v>19</v>
      </c>
      <c r="E475" s="4">
        <v>45853</v>
      </c>
      <c r="F475" s="4">
        <v>45860</v>
      </c>
      <c r="G475" s="8">
        <v>7</v>
      </c>
      <c r="H475" t="s">
        <v>20</v>
      </c>
      <c r="I475">
        <v>0</v>
      </c>
      <c r="J475" t="s">
        <v>25</v>
      </c>
      <c r="K475" t="s">
        <v>22</v>
      </c>
      <c r="L475" s="6">
        <v>9498.14</v>
      </c>
      <c r="M475" t="str">
        <f>TEXT(Table1[[#This Row],[Admission_Date]], "mmm")</f>
        <v>Jul</v>
      </c>
      <c r="N475">
        <f>YEAR(Table1[[#This Row],[Admission_Date]])</f>
        <v>2025</v>
      </c>
      <c r="O475" t="str">
        <f>IF(Table1[[#This Row],[Age]]&lt;30, "Young Adult", IF(Table1[[#This Row],[Age]]&lt;60, "Adult", "Senior"))</f>
        <v>Adult</v>
      </c>
    </row>
    <row r="476" spans="1:15" x14ac:dyDescent="0.25">
      <c r="A476" t="s">
        <v>503</v>
      </c>
      <c r="B476">
        <v>65</v>
      </c>
      <c r="C476" t="s">
        <v>13</v>
      </c>
      <c r="D476" t="s">
        <v>28</v>
      </c>
      <c r="E476" s="4">
        <v>45884</v>
      </c>
      <c r="F476" s="4">
        <v>45898</v>
      </c>
      <c r="G476" s="8">
        <v>14</v>
      </c>
      <c r="H476" t="s">
        <v>15</v>
      </c>
      <c r="I476">
        <v>7</v>
      </c>
      <c r="J476" t="s">
        <v>25</v>
      </c>
      <c r="K476" t="s">
        <v>47</v>
      </c>
      <c r="L476" s="6">
        <v>3072.68</v>
      </c>
      <c r="M476" t="str">
        <f>TEXT(Table1[[#This Row],[Admission_Date]], "mmm")</f>
        <v>Aug</v>
      </c>
      <c r="N476">
        <f>YEAR(Table1[[#This Row],[Admission_Date]])</f>
        <v>2025</v>
      </c>
      <c r="O476" t="str">
        <f>IF(Table1[[#This Row],[Age]]&lt;30, "Young Adult", IF(Table1[[#This Row],[Age]]&lt;60, "Adult", "Senior"))</f>
        <v>Senior</v>
      </c>
    </row>
    <row r="477" spans="1:15" x14ac:dyDescent="0.25">
      <c r="A477" t="s">
        <v>504</v>
      </c>
      <c r="B477">
        <v>40</v>
      </c>
      <c r="C477" t="s">
        <v>13</v>
      </c>
      <c r="D477" t="s">
        <v>40</v>
      </c>
      <c r="E477" s="4">
        <v>46007</v>
      </c>
      <c r="F477" s="4">
        <v>46009</v>
      </c>
      <c r="G477" s="8">
        <v>2</v>
      </c>
      <c r="H477" t="s">
        <v>15</v>
      </c>
      <c r="I477">
        <v>2</v>
      </c>
      <c r="J477" t="s">
        <v>29</v>
      </c>
      <c r="K477" t="s">
        <v>47</v>
      </c>
      <c r="L477" s="6">
        <v>8570.68</v>
      </c>
      <c r="M477" t="str">
        <f>TEXT(Table1[[#This Row],[Admission_Date]], "mmm")</f>
        <v>Dec</v>
      </c>
      <c r="N477">
        <f>YEAR(Table1[[#This Row],[Admission_Date]])</f>
        <v>2025</v>
      </c>
      <c r="O477" t="str">
        <f>IF(Table1[[#This Row],[Age]]&lt;30, "Young Adult", IF(Table1[[#This Row],[Age]]&lt;60, "Adult", "Senior"))</f>
        <v>Adult</v>
      </c>
    </row>
    <row r="478" spans="1:15" x14ac:dyDescent="0.25">
      <c r="A478" t="s">
        <v>505</v>
      </c>
      <c r="B478">
        <v>50</v>
      </c>
      <c r="C478" t="s">
        <v>13</v>
      </c>
      <c r="D478" t="s">
        <v>32</v>
      </c>
      <c r="E478" s="4">
        <v>45724</v>
      </c>
      <c r="F478" s="4">
        <v>45727</v>
      </c>
      <c r="G478" s="8">
        <v>3</v>
      </c>
      <c r="H478" t="s">
        <v>20</v>
      </c>
      <c r="I478">
        <v>0</v>
      </c>
      <c r="J478" t="s">
        <v>29</v>
      </c>
      <c r="K478" t="s">
        <v>17</v>
      </c>
      <c r="L478" s="6">
        <v>14093.67</v>
      </c>
      <c r="M478" t="str">
        <f>TEXT(Table1[[#This Row],[Admission_Date]], "mmm")</f>
        <v>Mar</v>
      </c>
      <c r="N478">
        <f>YEAR(Table1[[#This Row],[Admission_Date]])</f>
        <v>2025</v>
      </c>
      <c r="O478" t="str">
        <f>IF(Table1[[#This Row],[Age]]&lt;30, "Young Adult", IF(Table1[[#This Row],[Age]]&lt;60, "Adult", "Senior"))</f>
        <v>Adult</v>
      </c>
    </row>
    <row r="479" spans="1:15" x14ac:dyDescent="0.25">
      <c r="A479" t="s">
        <v>506</v>
      </c>
      <c r="B479">
        <v>24</v>
      </c>
      <c r="C479" t="s">
        <v>24</v>
      </c>
      <c r="D479" t="s">
        <v>40</v>
      </c>
      <c r="E479" s="4">
        <v>45678</v>
      </c>
      <c r="F479" s="4">
        <v>45681</v>
      </c>
      <c r="G479" s="8">
        <v>3</v>
      </c>
      <c r="H479" t="s">
        <v>20</v>
      </c>
      <c r="I479">
        <v>0</v>
      </c>
      <c r="J479" t="s">
        <v>25</v>
      </c>
      <c r="K479" t="s">
        <v>22</v>
      </c>
      <c r="L479" s="6">
        <v>11868.46</v>
      </c>
      <c r="M479" t="str">
        <f>TEXT(Table1[[#This Row],[Admission_Date]], "mmm")</f>
        <v>Jan</v>
      </c>
      <c r="N479">
        <f>YEAR(Table1[[#This Row],[Admission_Date]])</f>
        <v>2025</v>
      </c>
      <c r="O479" t="str">
        <f>IF(Table1[[#This Row],[Age]]&lt;30, "Young Adult", IF(Table1[[#This Row],[Age]]&lt;60, "Adult", "Senior"))</f>
        <v>Young Adult</v>
      </c>
    </row>
    <row r="480" spans="1:15" x14ac:dyDescent="0.25">
      <c r="A480" t="s">
        <v>507</v>
      </c>
      <c r="B480">
        <v>41</v>
      </c>
      <c r="C480" t="s">
        <v>13</v>
      </c>
      <c r="D480" t="s">
        <v>34</v>
      </c>
      <c r="E480" s="4">
        <v>45820</v>
      </c>
      <c r="F480" s="4">
        <v>45829</v>
      </c>
      <c r="G480" s="8">
        <v>9</v>
      </c>
      <c r="H480" t="s">
        <v>15</v>
      </c>
      <c r="I480">
        <v>6</v>
      </c>
      <c r="J480" t="s">
        <v>29</v>
      </c>
      <c r="K480" t="s">
        <v>17</v>
      </c>
      <c r="L480" s="6">
        <v>8287.02</v>
      </c>
      <c r="M480" t="str">
        <f>TEXT(Table1[[#This Row],[Admission_Date]], "mmm")</f>
        <v>Jun</v>
      </c>
      <c r="N480">
        <f>YEAR(Table1[[#This Row],[Admission_Date]])</f>
        <v>2025</v>
      </c>
      <c r="O480" t="str">
        <f>IF(Table1[[#This Row],[Age]]&lt;30, "Young Adult", IF(Table1[[#This Row],[Age]]&lt;60, "Adult", "Senior"))</f>
        <v>Adult</v>
      </c>
    </row>
    <row r="481" spans="1:15" x14ac:dyDescent="0.25">
      <c r="A481" t="s">
        <v>508</v>
      </c>
      <c r="B481">
        <v>45</v>
      </c>
      <c r="C481" t="s">
        <v>24</v>
      </c>
      <c r="D481" t="s">
        <v>32</v>
      </c>
      <c r="E481" s="4">
        <v>45705</v>
      </c>
      <c r="F481" s="4">
        <v>45711</v>
      </c>
      <c r="G481" s="8">
        <v>6</v>
      </c>
      <c r="H481" t="s">
        <v>15</v>
      </c>
      <c r="I481">
        <v>12</v>
      </c>
      <c r="J481" t="s">
        <v>25</v>
      </c>
      <c r="K481" t="s">
        <v>22</v>
      </c>
      <c r="L481" s="6">
        <v>14279.47</v>
      </c>
      <c r="M481" t="str">
        <f>TEXT(Table1[[#This Row],[Admission_Date]], "mmm")</f>
        <v>Feb</v>
      </c>
      <c r="N481">
        <f>YEAR(Table1[[#This Row],[Admission_Date]])</f>
        <v>2025</v>
      </c>
      <c r="O481" t="str">
        <f>IF(Table1[[#This Row],[Age]]&lt;30, "Young Adult", IF(Table1[[#This Row],[Age]]&lt;60, "Adult", "Senior"))</f>
        <v>Adult</v>
      </c>
    </row>
    <row r="482" spans="1:15" x14ac:dyDescent="0.25">
      <c r="A482" t="s">
        <v>509</v>
      </c>
      <c r="B482">
        <v>89</v>
      </c>
      <c r="C482" t="s">
        <v>13</v>
      </c>
      <c r="D482" t="s">
        <v>19</v>
      </c>
      <c r="E482" s="4">
        <v>45974</v>
      </c>
      <c r="F482" s="4">
        <v>45983</v>
      </c>
      <c r="G482" s="8">
        <v>9</v>
      </c>
      <c r="H482" t="s">
        <v>20</v>
      </c>
      <c r="I482">
        <v>0</v>
      </c>
      <c r="J482" t="s">
        <v>25</v>
      </c>
      <c r="K482" t="s">
        <v>47</v>
      </c>
      <c r="L482" s="6">
        <v>3985.04</v>
      </c>
      <c r="M482" t="str">
        <f>TEXT(Table1[[#This Row],[Admission_Date]], "mmm")</f>
        <v>Nov</v>
      </c>
      <c r="N482">
        <f>YEAR(Table1[[#This Row],[Admission_Date]])</f>
        <v>2025</v>
      </c>
      <c r="O482" t="str">
        <f>IF(Table1[[#This Row],[Age]]&lt;30, "Young Adult", IF(Table1[[#This Row],[Age]]&lt;60, "Adult", "Senior"))</f>
        <v>Senior</v>
      </c>
    </row>
    <row r="483" spans="1:15" x14ac:dyDescent="0.25">
      <c r="A483" t="s">
        <v>510</v>
      </c>
      <c r="B483">
        <v>49</v>
      </c>
      <c r="C483" t="s">
        <v>13</v>
      </c>
      <c r="D483" t="s">
        <v>28</v>
      </c>
      <c r="E483" s="4">
        <v>45986</v>
      </c>
      <c r="F483" s="4">
        <v>45996</v>
      </c>
      <c r="G483" s="8">
        <v>10</v>
      </c>
      <c r="H483" t="s">
        <v>20</v>
      </c>
      <c r="I483">
        <v>0</v>
      </c>
      <c r="J483" t="s">
        <v>25</v>
      </c>
      <c r="K483" t="s">
        <v>47</v>
      </c>
      <c r="L483" s="6">
        <v>13781.02</v>
      </c>
      <c r="M483" t="str">
        <f>TEXT(Table1[[#This Row],[Admission_Date]], "mmm")</f>
        <v>Nov</v>
      </c>
      <c r="N483">
        <f>YEAR(Table1[[#This Row],[Admission_Date]])</f>
        <v>2025</v>
      </c>
      <c r="O483" t="str">
        <f>IF(Table1[[#This Row],[Age]]&lt;30, "Young Adult", IF(Table1[[#This Row],[Age]]&lt;60, "Adult", "Senior"))</f>
        <v>Adult</v>
      </c>
    </row>
    <row r="484" spans="1:15" x14ac:dyDescent="0.25">
      <c r="A484" t="s">
        <v>511</v>
      </c>
      <c r="B484">
        <v>54</v>
      </c>
      <c r="C484" t="s">
        <v>13</v>
      </c>
      <c r="D484" t="s">
        <v>34</v>
      </c>
      <c r="E484" s="4">
        <v>45716</v>
      </c>
      <c r="F484" s="4">
        <v>45723</v>
      </c>
      <c r="G484" s="8">
        <v>7</v>
      </c>
      <c r="H484" t="s">
        <v>15</v>
      </c>
      <c r="I484">
        <v>27</v>
      </c>
      <c r="J484" t="s">
        <v>25</v>
      </c>
      <c r="K484" t="s">
        <v>17</v>
      </c>
      <c r="L484" s="6">
        <v>12140.84</v>
      </c>
      <c r="M484" t="str">
        <f>TEXT(Table1[[#This Row],[Admission_Date]], "mmm")</f>
        <v>Feb</v>
      </c>
      <c r="N484">
        <f>YEAR(Table1[[#This Row],[Admission_Date]])</f>
        <v>2025</v>
      </c>
      <c r="O484" t="str">
        <f>IF(Table1[[#This Row],[Age]]&lt;30, "Young Adult", IF(Table1[[#This Row],[Age]]&lt;60, "Adult", "Senior"))</f>
        <v>Adult</v>
      </c>
    </row>
    <row r="485" spans="1:15" x14ac:dyDescent="0.25">
      <c r="A485" t="s">
        <v>512</v>
      </c>
      <c r="B485">
        <v>42</v>
      </c>
      <c r="C485" t="s">
        <v>24</v>
      </c>
      <c r="D485" t="s">
        <v>34</v>
      </c>
      <c r="E485" s="4">
        <v>45886</v>
      </c>
      <c r="F485" s="4">
        <v>45894</v>
      </c>
      <c r="G485" s="8">
        <v>8</v>
      </c>
      <c r="H485" t="s">
        <v>15</v>
      </c>
      <c r="I485">
        <v>3</v>
      </c>
      <c r="J485" t="s">
        <v>16</v>
      </c>
      <c r="K485" t="s">
        <v>22</v>
      </c>
      <c r="L485" s="6">
        <v>14588.62</v>
      </c>
      <c r="M485" t="str">
        <f>TEXT(Table1[[#This Row],[Admission_Date]], "mmm")</f>
        <v>Aug</v>
      </c>
      <c r="N485">
        <f>YEAR(Table1[[#This Row],[Admission_Date]])</f>
        <v>2025</v>
      </c>
      <c r="O485" t="str">
        <f>IF(Table1[[#This Row],[Age]]&lt;30, "Young Adult", IF(Table1[[#This Row],[Age]]&lt;60, "Adult", "Senior"))</f>
        <v>Adult</v>
      </c>
    </row>
    <row r="486" spans="1:15" x14ac:dyDescent="0.25">
      <c r="A486" t="s">
        <v>513</v>
      </c>
      <c r="B486">
        <v>26</v>
      </c>
      <c r="C486" t="s">
        <v>13</v>
      </c>
      <c r="D486" t="s">
        <v>28</v>
      </c>
      <c r="E486" s="4">
        <v>45933</v>
      </c>
      <c r="F486" s="4">
        <v>45942</v>
      </c>
      <c r="G486" s="8">
        <v>9</v>
      </c>
      <c r="H486" t="s">
        <v>15</v>
      </c>
      <c r="I486">
        <v>21</v>
      </c>
      <c r="J486" t="s">
        <v>21</v>
      </c>
      <c r="K486" t="s">
        <v>17</v>
      </c>
      <c r="L486" s="6">
        <v>6651.04</v>
      </c>
      <c r="M486" t="str">
        <f>TEXT(Table1[[#This Row],[Admission_Date]], "mmm")</f>
        <v>Oct</v>
      </c>
      <c r="N486">
        <f>YEAR(Table1[[#This Row],[Admission_Date]])</f>
        <v>2025</v>
      </c>
      <c r="O486" t="str">
        <f>IF(Table1[[#This Row],[Age]]&lt;30, "Young Adult", IF(Table1[[#This Row],[Age]]&lt;60, "Adult", "Senior"))</f>
        <v>Young Adult</v>
      </c>
    </row>
    <row r="487" spans="1:15" x14ac:dyDescent="0.25">
      <c r="A487" t="s">
        <v>514</v>
      </c>
      <c r="B487">
        <v>73</v>
      </c>
      <c r="C487" t="s">
        <v>13</v>
      </c>
      <c r="D487" t="s">
        <v>28</v>
      </c>
      <c r="E487" s="4">
        <v>45711</v>
      </c>
      <c r="F487" s="4">
        <v>45715</v>
      </c>
      <c r="G487" s="8">
        <v>4</v>
      </c>
      <c r="H487" t="s">
        <v>20</v>
      </c>
      <c r="I487">
        <v>0</v>
      </c>
      <c r="J487" t="s">
        <v>21</v>
      </c>
      <c r="K487" t="s">
        <v>22</v>
      </c>
      <c r="L487" s="6">
        <v>7158.77</v>
      </c>
      <c r="M487" t="str">
        <f>TEXT(Table1[[#This Row],[Admission_Date]], "mmm")</f>
        <v>Feb</v>
      </c>
      <c r="N487">
        <f>YEAR(Table1[[#This Row],[Admission_Date]])</f>
        <v>2025</v>
      </c>
      <c r="O487" t="str">
        <f>IF(Table1[[#This Row],[Age]]&lt;30, "Young Adult", IF(Table1[[#This Row],[Age]]&lt;60, "Adult", "Senior"))</f>
        <v>Senior</v>
      </c>
    </row>
    <row r="488" spans="1:15" x14ac:dyDescent="0.25">
      <c r="A488" t="s">
        <v>515</v>
      </c>
      <c r="B488">
        <v>24</v>
      </c>
      <c r="C488" t="s">
        <v>13</v>
      </c>
      <c r="D488" t="s">
        <v>32</v>
      </c>
      <c r="E488" s="4">
        <v>45827</v>
      </c>
      <c r="F488" s="4">
        <v>45828</v>
      </c>
      <c r="G488" s="8">
        <v>1</v>
      </c>
      <c r="H488" t="s">
        <v>15</v>
      </c>
      <c r="I488">
        <v>18</v>
      </c>
      <c r="J488" t="s">
        <v>16</v>
      </c>
      <c r="K488" t="s">
        <v>17</v>
      </c>
      <c r="L488" s="6">
        <v>12413.48</v>
      </c>
      <c r="M488" t="str">
        <f>TEXT(Table1[[#This Row],[Admission_Date]], "mmm")</f>
        <v>Jun</v>
      </c>
      <c r="N488">
        <f>YEAR(Table1[[#This Row],[Admission_Date]])</f>
        <v>2025</v>
      </c>
      <c r="O488" t="str">
        <f>IF(Table1[[#This Row],[Age]]&lt;30, "Young Adult", IF(Table1[[#This Row],[Age]]&lt;60, "Adult", "Senior"))</f>
        <v>Young Adult</v>
      </c>
    </row>
    <row r="489" spans="1:15" x14ac:dyDescent="0.25">
      <c r="A489" t="s">
        <v>516</v>
      </c>
      <c r="B489">
        <v>69</v>
      </c>
      <c r="C489" t="s">
        <v>24</v>
      </c>
      <c r="D489" t="s">
        <v>32</v>
      </c>
      <c r="E489" s="4">
        <v>45790</v>
      </c>
      <c r="F489" s="4">
        <v>45797</v>
      </c>
      <c r="G489" s="8">
        <v>7</v>
      </c>
      <c r="H489" t="s">
        <v>20</v>
      </c>
      <c r="I489">
        <v>0</v>
      </c>
      <c r="J489" t="s">
        <v>16</v>
      </c>
      <c r="K489" t="s">
        <v>47</v>
      </c>
      <c r="L489" s="6">
        <v>10262.83</v>
      </c>
      <c r="M489" t="str">
        <f>TEXT(Table1[[#This Row],[Admission_Date]], "mmm")</f>
        <v>May</v>
      </c>
      <c r="N489">
        <f>YEAR(Table1[[#This Row],[Admission_Date]])</f>
        <v>2025</v>
      </c>
      <c r="O489" t="str">
        <f>IF(Table1[[#This Row],[Age]]&lt;30, "Young Adult", IF(Table1[[#This Row],[Age]]&lt;60, "Adult", "Senior"))</f>
        <v>Senior</v>
      </c>
    </row>
    <row r="490" spans="1:15" x14ac:dyDescent="0.25">
      <c r="A490" t="s">
        <v>517</v>
      </c>
      <c r="B490">
        <v>26</v>
      </c>
      <c r="C490" t="s">
        <v>13</v>
      </c>
      <c r="D490" t="s">
        <v>28</v>
      </c>
      <c r="E490" s="4">
        <v>45931</v>
      </c>
      <c r="F490" s="4">
        <v>45932</v>
      </c>
      <c r="G490" s="8">
        <v>1</v>
      </c>
      <c r="H490" t="s">
        <v>20</v>
      </c>
      <c r="I490">
        <v>0</v>
      </c>
      <c r="J490" t="s">
        <v>16</v>
      </c>
      <c r="K490" t="s">
        <v>47</v>
      </c>
      <c r="L490" s="6">
        <v>13956.69</v>
      </c>
      <c r="M490" t="str">
        <f>TEXT(Table1[[#This Row],[Admission_Date]], "mmm")</f>
        <v>Oct</v>
      </c>
      <c r="N490">
        <f>YEAR(Table1[[#This Row],[Admission_Date]])</f>
        <v>2025</v>
      </c>
      <c r="O490" t="str">
        <f>IF(Table1[[#This Row],[Age]]&lt;30, "Young Adult", IF(Table1[[#This Row],[Age]]&lt;60, "Adult", "Senior"))</f>
        <v>Young Adult</v>
      </c>
    </row>
    <row r="491" spans="1:15" x14ac:dyDescent="0.25">
      <c r="A491" t="s">
        <v>518</v>
      </c>
      <c r="B491">
        <v>56</v>
      </c>
      <c r="C491" t="s">
        <v>13</v>
      </c>
      <c r="D491" t="s">
        <v>32</v>
      </c>
      <c r="E491" s="4">
        <v>45712</v>
      </c>
      <c r="F491" s="4">
        <v>45717</v>
      </c>
      <c r="G491" s="8">
        <v>5</v>
      </c>
      <c r="H491" t="s">
        <v>20</v>
      </c>
      <c r="I491">
        <v>0</v>
      </c>
      <c r="J491" t="s">
        <v>29</v>
      </c>
      <c r="K491" t="s">
        <v>47</v>
      </c>
      <c r="L491" s="6">
        <v>6229.14</v>
      </c>
      <c r="M491" t="str">
        <f>TEXT(Table1[[#This Row],[Admission_Date]], "mmm")</f>
        <v>Feb</v>
      </c>
      <c r="N491">
        <f>YEAR(Table1[[#This Row],[Admission_Date]])</f>
        <v>2025</v>
      </c>
      <c r="O491" t="str">
        <f>IF(Table1[[#This Row],[Age]]&lt;30, "Young Adult", IF(Table1[[#This Row],[Age]]&lt;60, "Adult", "Senior"))</f>
        <v>Adult</v>
      </c>
    </row>
    <row r="492" spans="1:15" x14ac:dyDescent="0.25">
      <c r="A492" t="s">
        <v>519</v>
      </c>
      <c r="B492">
        <v>86</v>
      </c>
      <c r="C492" t="s">
        <v>13</v>
      </c>
      <c r="D492" t="s">
        <v>14</v>
      </c>
      <c r="E492" s="4">
        <v>45996</v>
      </c>
      <c r="F492" s="4">
        <v>45997</v>
      </c>
      <c r="G492" s="8">
        <v>1</v>
      </c>
      <c r="H492" t="s">
        <v>20</v>
      </c>
      <c r="I492">
        <v>0</v>
      </c>
      <c r="J492" t="s">
        <v>29</v>
      </c>
      <c r="K492" t="s">
        <v>17</v>
      </c>
      <c r="L492" s="6">
        <v>4777.1899999999996</v>
      </c>
      <c r="M492" t="str">
        <f>TEXT(Table1[[#This Row],[Admission_Date]], "mmm")</f>
        <v>Dec</v>
      </c>
      <c r="N492">
        <f>YEAR(Table1[[#This Row],[Admission_Date]])</f>
        <v>2025</v>
      </c>
      <c r="O492" t="str">
        <f>IF(Table1[[#This Row],[Age]]&lt;30, "Young Adult", IF(Table1[[#This Row],[Age]]&lt;60, "Adult", "Senior"))</f>
        <v>Senior</v>
      </c>
    </row>
    <row r="493" spans="1:15" x14ac:dyDescent="0.25">
      <c r="A493" t="s">
        <v>520</v>
      </c>
      <c r="B493">
        <v>65</v>
      </c>
      <c r="C493" t="s">
        <v>13</v>
      </c>
      <c r="D493" t="s">
        <v>34</v>
      </c>
      <c r="E493" s="4">
        <v>45982</v>
      </c>
      <c r="F493" s="4">
        <v>45985</v>
      </c>
      <c r="G493" s="8">
        <v>3</v>
      </c>
      <c r="H493" t="s">
        <v>15</v>
      </c>
      <c r="I493">
        <v>28</v>
      </c>
      <c r="J493" t="s">
        <v>21</v>
      </c>
      <c r="K493" t="s">
        <v>22</v>
      </c>
      <c r="L493" s="6">
        <v>1105.71</v>
      </c>
      <c r="M493" t="str">
        <f>TEXT(Table1[[#This Row],[Admission_Date]], "mmm")</f>
        <v>Nov</v>
      </c>
      <c r="N493">
        <f>YEAR(Table1[[#This Row],[Admission_Date]])</f>
        <v>2025</v>
      </c>
      <c r="O493" t="str">
        <f>IF(Table1[[#This Row],[Age]]&lt;30, "Young Adult", IF(Table1[[#This Row],[Age]]&lt;60, "Adult", "Senior"))</f>
        <v>Senior</v>
      </c>
    </row>
    <row r="494" spans="1:15" x14ac:dyDescent="0.25">
      <c r="A494" t="s">
        <v>521</v>
      </c>
      <c r="B494">
        <v>88</v>
      </c>
      <c r="C494" t="s">
        <v>13</v>
      </c>
      <c r="D494" t="s">
        <v>32</v>
      </c>
      <c r="E494" s="4">
        <v>45951</v>
      </c>
      <c r="F494" s="4">
        <v>45961</v>
      </c>
      <c r="G494" s="8">
        <v>10</v>
      </c>
      <c r="H494" t="s">
        <v>20</v>
      </c>
      <c r="I494">
        <v>0</v>
      </c>
      <c r="J494" t="s">
        <v>21</v>
      </c>
      <c r="K494" t="s">
        <v>17</v>
      </c>
      <c r="L494" s="6">
        <v>11250.74</v>
      </c>
      <c r="M494" t="str">
        <f>TEXT(Table1[[#This Row],[Admission_Date]], "mmm")</f>
        <v>Oct</v>
      </c>
      <c r="N494">
        <f>YEAR(Table1[[#This Row],[Admission_Date]])</f>
        <v>2025</v>
      </c>
      <c r="O494" t="str">
        <f>IF(Table1[[#This Row],[Age]]&lt;30, "Young Adult", IF(Table1[[#This Row],[Age]]&lt;60, "Adult", "Senior"))</f>
        <v>Senior</v>
      </c>
    </row>
    <row r="495" spans="1:15" x14ac:dyDescent="0.25">
      <c r="A495" t="s">
        <v>522</v>
      </c>
      <c r="B495">
        <v>83</v>
      </c>
      <c r="C495" t="s">
        <v>13</v>
      </c>
      <c r="D495" t="s">
        <v>14</v>
      </c>
      <c r="E495" s="4">
        <v>45834</v>
      </c>
      <c r="F495" s="4">
        <v>45838</v>
      </c>
      <c r="G495" s="8">
        <v>4</v>
      </c>
      <c r="H495" t="s">
        <v>20</v>
      </c>
      <c r="I495">
        <v>0</v>
      </c>
      <c r="J495" t="s">
        <v>21</v>
      </c>
      <c r="K495" t="s">
        <v>22</v>
      </c>
      <c r="L495" s="6">
        <v>9444.83</v>
      </c>
      <c r="M495" t="str">
        <f>TEXT(Table1[[#This Row],[Admission_Date]], "mmm")</f>
        <v>Jun</v>
      </c>
      <c r="N495">
        <f>YEAR(Table1[[#This Row],[Admission_Date]])</f>
        <v>2025</v>
      </c>
      <c r="O495" t="str">
        <f>IF(Table1[[#This Row],[Age]]&lt;30, "Young Adult", IF(Table1[[#This Row],[Age]]&lt;60, "Adult", "Senior"))</f>
        <v>Senior</v>
      </c>
    </row>
    <row r="496" spans="1:15" x14ac:dyDescent="0.25">
      <c r="A496" t="s">
        <v>523</v>
      </c>
      <c r="B496">
        <v>90</v>
      </c>
      <c r="C496" t="s">
        <v>13</v>
      </c>
      <c r="D496" t="s">
        <v>34</v>
      </c>
      <c r="E496" s="4">
        <v>45787</v>
      </c>
      <c r="F496" s="4">
        <v>45791</v>
      </c>
      <c r="G496" s="8">
        <v>4</v>
      </c>
      <c r="H496" t="s">
        <v>15</v>
      </c>
      <c r="I496">
        <v>15</v>
      </c>
      <c r="J496" t="s">
        <v>16</v>
      </c>
      <c r="K496" t="s">
        <v>47</v>
      </c>
      <c r="L496" s="6">
        <v>10239.44</v>
      </c>
      <c r="M496" t="str">
        <f>TEXT(Table1[[#This Row],[Admission_Date]], "mmm")</f>
        <v>May</v>
      </c>
      <c r="N496">
        <f>YEAR(Table1[[#This Row],[Admission_Date]])</f>
        <v>2025</v>
      </c>
      <c r="O496" t="str">
        <f>IF(Table1[[#This Row],[Age]]&lt;30, "Young Adult", IF(Table1[[#This Row],[Age]]&lt;60, "Adult", "Senior"))</f>
        <v>Senior</v>
      </c>
    </row>
    <row r="497" spans="1:15" x14ac:dyDescent="0.25">
      <c r="A497" t="s">
        <v>524</v>
      </c>
      <c r="B497">
        <v>80</v>
      </c>
      <c r="C497" t="s">
        <v>24</v>
      </c>
      <c r="D497" t="s">
        <v>32</v>
      </c>
      <c r="E497" s="4">
        <v>45786</v>
      </c>
      <c r="F497" s="4">
        <v>45788</v>
      </c>
      <c r="G497" s="8">
        <v>2</v>
      </c>
      <c r="H497" t="s">
        <v>15</v>
      </c>
      <c r="I497">
        <v>5</v>
      </c>
      <c r="J497" t="s">
        <v>21</v>
      </c>
      <c r="K497" t="s">
        <v>22</v>
      </c>
      <c r="L497" s="6">
        <v>4634.49</v>
      </c>
      <c r="M497" t="str">
        <f>TEXT(Table1[[#This Row],[Admission_Date]], "mmm")</f>
        <v>May</v>
      </c>
      <c r="N497">
        <f>YEAR(Table1[[#This Row],[Admission_Date]])</f>
        <v>2025</v>
      </c>
      <c r="O497" t="str">
        <f>IF(Table1[[#This Row],[Age]]&lt;30, "Young Adult", IF(Table1[[#This Row],[Age]]&lt;60, "Adult", "Senior"))</f>
        <v>Senior</v>
      </c>
    </row>
    <row r="498" spans="1:15" x14ac:dyDescent="0.25">
      <c r="A498" t="s">
        <v>525</v>
      </c>
      <c r="B498">
        <v>75</v>
      </c>
      <c r="C498" t="s">
        <v>24</v>
      </c>
      <c r="D498" t="s">
        <v>34</v>
      </c>
      <c r="E498" s="4">
        <v>45693</v>
      </c>
      <c r="F498" s="4">
        <v>45697</v>
      </c>
      <c r="G498" s="8">
        <v>4</v>
      </c>
      <c r="H498" t="s">
        <v>20</v>
      </c>
      <c r="I498">
        <v>0</v>
      </c>
      <c r="J498" t="s">
        <v>25</v>
      </c>
      <c r="K498" t="s">
        <v>17</v>
      </c>
      <c r="L498" s="6">
        <v>8970.4599999999991</v>
      </c>
      <c r="M498" t="str">
        <f>TEXT(Table1[[#This Row],[Admission_Date]], "mmm")</f>
        <v>Feb</v>
      </c>
      <c r="N498">
        <f>YEAR(Table1[[#This Row],[Admission_Date]])</f>
        <v>2025</v>
      </c>
      <c r="O498" t="str">
        <f>IF(Table1[[#This Row],[Age]]&lt;30, "Young Adult", IF(Table1[[#This Row],[Age]]&lt;60, "Adult", "Senior"))</f>
        <v>Senior</v>
      </c>
    </row>
    <row r="499" spans="1:15" x14ac:dyDescent="0.25">
      <c r="A499" t="s">
        <v>526</v>
      </c>
      <c r="B499">
        <v>58</v>
      </c>
      <c r="C499" t="s">
        <v>24</v>
      </c>
      <c r="D499" t="s">
        <v>14</v>
      </c>
      <c r="E499" s="4">
        <v>45947</v>
      </c>
      <c r="F499" s="4">
        <v>45957</v>
      </c>
      <c r="G499" s="8">
        <v>10</v>
      </c>
      <c r="H499" t="s">
        <v>20</v>
      </c>
      <c r="I499">
        <v>0</v>
      </c>
      <c r="J499" t="s">
        <v>16</v>
      </c>
      <c r="K499" t="s">
        <v>47</v>
      </c>
      <c r="L499" s="6">
        <v>4069.54</v>
      </c>
      <c r="M499" t="str">
        <f>TEXT(Table1[[#This Row],[Admission_Date]], "mmm")</f>
        <v>Oct</v>
      </c>
      <c r="N499">
        <f>YEAR(Table1[[#This Row],[Admission_Date]])</f>
        <v>2025</v>
      </c>
      <c r="O499" t="str">
        <f>IF(Table1[[#This Row],[Age]]&lt;30, "Young Adult", IF(Table1[[#This Row],[Age]]&lt;60, "Adult", "Senior"))</f>
        <v>Adult</v>
      </c>
    </row>
    <row r="500" spans="1:15" x14ac:dyDescent="0.25">
      <c r="A500" t="s">
        <v>527</v>
      </c>
      <c r="B500">
        <v>73</v>
      </c>
      <c r="C500" t="s">
        <v>24</v>
      </c>
      <c r="D500" t="s">
        <v>32</v>
      </c>
      <c r="E500" s="4">
        <v>45771</v>
      </c>
      <c r="F500" s="4">
        <v>45783</v>
      </c>
      <c r="G500" s="8">
        <v>12</v>
      </c>
      <c r="H500" t="s">
        <v>20</v>
      </c>
      <c r="I500">
        <v>0</v>
      </c>
      <c r="J500" t="s">
        <v>21</v>
      </c>
      <c r="K500" t="s">
        <v>17</v>
      </c>
      <c r="L500" s="6">
        <v>11128.11</v>
      </c>
      <c r="M500" t="str">
        <f>TEXT(Table1[[#This Row],[Admission_Date]], "mmm")</f>
        <v>Apr</v>
      </c>
      <c r="N500">
        <f>YEAR(Table1[[#This Row],[Admission_Date]])</f>
        <v>2025</v>
      </c>
      <c r="O500" t="str">
        <f>IF(Table1[[#This Row],[Age]]&lt;30, "Young Adult", IF(Table1[[#This Row],[Age]]&lt;60, "Adult", "Senior"))</f>
        <v>Senior</v>
      </c>
    </row>
    <row r="501" spans="1:15" x14ac:dyDescent="0.25">
      <c r="A501" t="s">
        <v>528</v>
      </c>
      <c r="B501">
        <v>57</v>
      </c>
      <c r="C501" t="s">
        <v>24</v>
      </c>
      <c r="D501" t="s">
        <v>34</v>
      </c>
      <c r="E501" s="4">
        <v>45903</v>
      </c>
      <c r="F501" s="4">
        <v>45911</v>
      </c>
      <c r="G501" s="8">
        <v>8</v>
      </c>
      <c r="H501" t="s">
        <v>20</v>
      </c>
      <c r="I501">
        <v>0</v>
      </c>
      <c r="J501" t="s">
        <v>16</v>
      </c>
      <c r="K501" t="s">
        <v>22</v>
      </c>
      <c r="L501" s="6">
        <v>9860.5</v>
      </c>
      <c r="M501" t="str">
        <f>TEXT(Table1[[#This Row],[Admission_Date]], "mmm")</f>
        <v>Sep</v>
      </c>
      <c r="N501">
        <f>YEAR(Table1[[#This Row],[Admission_Date]])</f>
        <v>2025</v>
      </c>
      <c r="O501" t="str">
        <f>IF(Table1[[#This Row],[Age]]&lt;30, "Young Adult", IF(Table1[[#This Row],[Age]]&lt;60, "Adult", "Senior"))</f>
        <v>Adult</v>
      </c>
    </row>
    <row r="502" spans="1:15" x14ac:dyDescent="0.25">
      <c r="A502" t="s">
        <v>529</v>
      </c>
      <c r="B502">
        <v>35</v>
      </c>
      <c r="C502" t="s">
        <v>13</v>
      </c>
      <c r="D502" t="s">
        <v>32</v>
      </c>
      <c r="E502" s="4">
        <v>45699</v>
      </c>
      <c r="F502" s="4">
        <v>45713</v>
      </c>
      <c r="G502" s="8">
        <v>14</v>
      </c>
      <c r="H502" t="s">
        <v>15</v>
      </c>
      <c r="I502">
        <v>24</v>
      </c>
      <c r="J502" t="s">
        <v>16</v>
      </c>
      <c r="K502" t="s">
        <v>17</v>
      </c>
      <c r="L502" s="6">
        <v>1593.3</v>
      </c>
      <c r="M502" t="str">
        <f>TEXT(Table1[[#This Row],[Admission_Date]], "mmm")</f>
        <v>Feb</v>
      </c>
      <c r="N502">
        <f>YEAR(Table1[[#This Row],[Admission_Date]])</f>
        <v>2025</v>
      </c>
      <c r="O502" t="str">
        <f>IF(Table1[[#This Row],[Age]]&lt;30, "Young Adult", IF(Table1[[#This Row],[Age]]&lt;60, "Adult", "Senior"))</f>
        <v>Adult</v>
      </c>
    </row>
    <row r="503" spans="1:15" x14ac:dyDescent="0.25">
      <c r="A503" t="s">
        <v>530</v>
      </c>
      <c r="B503">
        <v>21</v>
      </c>
      <c r="C503" t="s">
        <v>24</v>
      </c>
      <c r="D503" t="s">
        <v>34</v>
      </c>
      <c r="E503" s="4">
        <v>45667</v>
      </c>
      <c r="F503" s="4">
        <v>45681</v>
      </c>
      <c r="G503" s="8">
        <v>14</v>
      </c>
      <c r="H503" t="s">
        <v>20</v>
      </c>
      <c r="I503">
        <v>0</v>
      </c>
      <c r="J503" t="s">
        <v>21</v>
      </c>
      <c r="K503" t="s">
        <v>22</v>
      </c>
      <c r="L503" s="6">
        <v>8498.11</v>
      </c>
      <c r="M503" t="str">
        <f>TEXT(Table1[[#This Row],[Admission_Date]], "mmm")</f>
        <v>Jan</v>
      </c>
      <c r="N503">
        <f>YEAR(Table1[[#This Row],[Admission_Date]])</f>
        <v>2025</v>
      </c>
      <c r="O503" t="str">
        <f>IF(Table1[[#This Row],[Age]]&lt;30, "Young Adult", IF(Table1[[#This Row],[Age]]&lt;60, "Adult", "Senior"))</f>
        <v>Young Adult</v>
      </c>
    </row>
    <row r="504" spans="1:15" x14ac:dyDescent="0.25">
      <c r="A504" t="s">
        <v>531</v>
      </c>
      <c r="B504">
        <v>37</v>
      </c>
      <c r="C504" t="s">
        <v>24</v>
      </c>
      <c r="D504" t="s">
        <v>40</v>
      </c>
      <c r="E504" s="4">
        <v>45936</v>
      </c>
      <c r="F504" s="4">
        <v>45945</v>
      </c>
      <c r="G504" s="8">
        <v>9</v>
      </c>
      <c r="H504" t="s">
        <v>20</v>
      </c>
      <c r="I504">
        <v>0</v>
      </c>
      <c r="J504" t="s">
        <v>21</v>
      </c>
      <c r="K504" t="s">
        <v>17</v>
      </c>
      <c r="L504" s="6">
        <v>11131.79</v>
      </c>
      <c r="M504" t="str">
        <f>TEXT(Table1[[#This Row],[Admission_Date]], "mmm")</f>
        <v>Oct</v>
      </c>
      <c r="N504">
        <f>YEAR(Table1[[#This Row],[Admission_Date]])</f>
        <v>2025</v>
      </c>
      <c r="O504" t="str">
        <f>IF(Table1[[#This Row],[Age]]&lt;30, "Young Adult", IF(Table1[[#This Row],[Age]]&lt;60, "Adult", "Senior"))</f>
        <v>Adult</v>
      </c>
    </row>
    <row r="505" spans="1:15" x14ac:dyDescent="0.25">
      <c r="A505" t="s">
        <v>532</v>
      </c>
      <c r="B505">
        <v>83</v>
      </c>
      <c r="C505" t="s">
        <v>13</v>
      </c>
      <c r="D505" t="s">
        <v>40</v>
      </c>
      <c r="E505" s="4">
        <v>45806</v>
      </c>
      <c r="F505" s="4">
        <v>45809</v>
      </c>
      <c r="G505" s="8">
        <v>3</v>
      </c>
      <c r="H505" t="s">
        <v>20</v>
      </c>
      <c r="I505">
        <v>0</v>
      </c>
      <c r="J505" t="s">
        <v>25</v>
      </c>
      <c r="K505" t="s">
        <v>17</v>
      </c>
      <c r="L505" s="6">
        <v>653.58000000000004</v>
      </c>
      <c r="M505" t="str">
        <f>TEXT(Table1[[#This Row],[Admission_Date]], "mmm")</f>
        <v>May</v>
      </c>
      <c r="N505">
        <f>YEAR(Table1[[#This Row],[Admission_Date]])</f>
        <v>2025</v>
      </c>
      <c r="O505" t="str">
        <f>IF(Table1[[#This Row],[Age]]&lt;30, "Young Adult", IF(Table1[[#This Row],[Age]]&lt;60, "Adult", "Senior"))</f>
        <v>Senior</v>
      </c>
    </row>
    <row r="506" spans="1:15" x14ac:dyDescent="0.25">
      <c r="A506" t="s">
        <v>533</v>
      </c>
      <c r="B506">
        <v>39</v>
      </c>
      <c r="C506" t="s">
        <v>13</v>
      </c>
      <c r="D506" t="s">
        <v>40</v>
      </c>
      <c r="E506" s="4">
        <v>45780</v>
      </c>
      <c r="F506" s="4">
        <v>45794</v>
      </c>
      <c r="G506" s="8">
        <v>14</v>
      </c>
      <c r="H506" t="s">
        <v>20</v>
      </c>
      <c r="I506">
        <v>0</v>
      </c>
      <c r="J506" t="s">
        <v>21</v>
      </c>
      <c r="K506" t="s">
        <v>22</v>
      </c>
      <c r="L506" s="6">
        <v>8712.18</v>
      </c>
      <c r="M506" t="str">
        <f>TEXT(Table1[[#This Row],[Admission_Date]], "mmm")</f>
        <v>May</v>
      </c>
      <c r="N506">
        <f>YEAR(Table1[[#This Row],[Admission_Date]])</f>
        <v>2025</v>
      </c>
      <c r="O506" t="str">
        <f>IF(Table1[[#This Row],[Age]]&lt;30, "Young Adult", IF(Table1[[#This Row],[Age]]&lt;60, "Adult", "Senior"))</f>
        <v>Adult</v>
      </c>
    </row>
    <row r="507" spans="1:15" x14ac:dyDescent="0.25">
      <c r="A507" t="s">
        <v>534</v>
      </c>
      <c r="B507">
        <v>36</v>
      </c>
      <c r="C507" t="s">
        <v>24</v>
      </c>
      <c r="D507" t="s">
        <v>32</v>
      </c>
      <c r="E507" s="4">
        <v>45947</v>
      </c>
      <c r="F507" s="4">
        <v>45958</v>
      </c>
      <c r="G507" s="8">
        <v>11</v>
      </c>
      <c r="H507" t="s">
        <v>20</v>
      </c>
      <c r="I507">
        <v>0</v>
      </c>
      <c r="J507" t="s">
        <v>16</v>
      </c>
      <c r="K507" t="s">
        <v>22</v>
      </c>
      <c r="L507" s="6">
        <v>11541.35</v>
      </c>
      <c r="M507" t="str">
        <f>TEXT(Table1[[#This Row],[Admission_Date]], "mmm")</f>
        <v>Oct</v>
      </c>
      <c r="N507">
        <f>YEAR(Table1[[#This Row],[Admission_Date]])</f>
        <v>2025</v>
      </c>
      <c r="O507" t="str">
        <f>IF(Table1[[#This Row],[Age]]&lt;30, "Young Adult", IF(Table1[[#This Row],[Age]]&lt;60, "Adult", "Senior"))</f>
        <v>Adult</v>
      </c>
    </row>
    <row r="508" spans="1:15" x14ac:dyDescent="0.25">
      <c r="A508" t="s">
        <v>535</v>
      </c>
      <c r="B508">
        <v>47</v>
      </c>
      <c r="C508" t="s">
        <v>13</v>
      </c>
      <c r="D508" t="s">
        <v>28</v>
      </c>
      <c r="E508" s="4">
        <v>45776</v>
      </c>
      <c r="F508" s="4">
        <v>45778</v>
      </c>
      <c r="G508" s="8">
        <v>2</v>
      </c>
      <c r="H508" t="s">
        <v>15</v>
      </c>
      <c r="I508">
        <v>7</v>
      </c>
      <c r="J508" t="s">
        <v>25</v>
      </c>
      <c r="K508" t="s">
        <v>47</v>
      </c>
      <c r="L508" s="6">
        <v>7310.28</v>
      </c>
      <c r="M508" t="str">
        <f>TEXT(Table1[[#This Row],[Admission_Date]], "mmm")</f>
        <v>Apr</v>
      </c>
      <c r="N508">
        <f>YEAR(Table1[[#This Row],[Admission_Date]])</f>
        <v>2025</v>
      </c>
      <c r="O508" t="str">
        <f>IF(Table1[[#This Row],[Age]]&lt;30, "Young Adult", IF(Table1[[#This Row],[Age]]&lt;60, "Adult", "Senior"))</f>
        <v>Adult</v>
      </c>
    </row>
    <row r="509" spans="1:15" x14ac:dyDescent="0.25">
      <c r="A509" t="s">
        <v>536</v>
      </c>
      <c r="B509">
        <v>59</v>
      </c>
      <c r="C509" t="s">
        <v>13</v>
      </c>
      <c r="D509" t="s">
        <v>28</v>
      </c>
      <c r="E509" s="4">
        <v>45890</v>
      </c>
      <c r="F509" s="4">
        <v>45891</v>
      </c>
      <c r="G509" s="8">
        <v>1</v>
      </c>
      <c r="H509" t="s">
        <v>15</v>
      </c>
      <c r="I509">
        <v>17</v>
      </c>
      <c r="J509" t="s">
        <v>25</v>
      </c>
      <c r="K509" t="s">
        <v>17</v>
      </c>
      <c r="L509" s="6">
        <v>4318.08</v>
      </c>
      <c r="M509" t="str">
        <f>TEXT(Table1[[#This Row],[Admission_Date]], "mmm")</f>
        <v>Aug</v>
      </c>
      <c r="N509">
        <f>YEAR(Table1[[#This Row],[Admission_Date]])</f>
        <v>2025</v>
      </c>
      <c r="O509" t="str">
        <f>IF(Table1[[#This Row],[Age]]&lt;30, "Young Adult", IF(Table1[[#This Row],[Age]]&lt;60, "Adult", "Senior"))</f>
        <v>Adult</v>
      </c>
    </row>
    <row r="510" spans="1:15" x14ac:dyDescent="0.25">
      <c r="A510" t="s">
        <v>537</v>
      </c>
      <c r="B510">
        <v>66</v>
      </c>
      <c r="C510" t="s">
        <v>24</v>
      </c>
      <c r="D510" t="s">
        <v>34</v>
      </c>
      <c r="E510" s="4">
        <v>45936</v>
      </c>
      <c r="F510" s="4">
        <v>45946</v>
      </c>
      <c r="G510" s="8">
        <v>10</v>
      </c>
      <c r="H510" t="s">
        <v>15</v>
      </c>
      <c r="I510">
        <v>21</v>
      </c>
      <c r="J510" t="s">
        <v>16</v>
      </c>
      <c r="K510" t="s">
        <v>17</v>
      </c>
      <c r="L510" s="6">
        <v>4148</v>
      </c>
      <c r="M510" t="str">
        <f>TEXT(Table1[[#This Row],[Admission_Date]], "mmm")</f>
        <v>Oct</v>
      </c>
      <c r="N510">
        <f>YEAR(Table1[[#This Row],[Admission_Date]])</f>
        <v>2025</v>
      </c>
      <c r="O510" t="str">
        <f>IF(Table1[[#This Row],[Age]]&lt;30, "Young Adult", IF(Table1[[#This Row],[Age]]&lt;60, "Adult", "Senior"))</f>
        <v>Senior</v>
      </c>
    </row>
    <row r="511" spans="1:15" x14ac:dyDescent="0.25">
      <c r="A511" t="s">
        <v>538</v>
      </c>
      <c r="B511">
        <v>62</v>
      </c>
      <c r="C511" t="s">
        <v>24</v>
      </c>
      <c r="D511" t="s">
        <v>40</v>
      </c>
      <c r="E511" s="4">
        <v>45772</v>
      </c>
      <c r="F511" s="4">
        <v>45781</v>
      </c>
      <c r="G511" s="8">
        <v>9</v>
      </c>
      <c r="H511" t="s">
        <v>20</v>
      </c>
      <c r="I511">
        <v>0</v>
      </c>
      <c r="J511" t="s">
        <v>16</v>
      </c>
      <c r="K511" t="s">
        <v>17</v>
      </c>
      <c r="L511" s="6">
        <v>13289.5</v>
      </c>
      <c r="M511" t="str">
        <f>TEXT(Table1[[#This Row],[Admission_Date]], "mmm")</f>
        <v>Apr</v>
      </c>
      <c r="N511">
        <f>YEAR(Table1[[#This Row],[Admission_Date]])</f>
        <v>2025</v>
      </c>
      <c r="O511" t="str">
        <f>IF(Table1[[#This Row],[Age]]&lt;30, "Young Adult", IF(Table1[[#This Row],[Age]]&lt;60, "Adult", "Senior"))</f>
        <v>Senior</v>
      </c>
    </row>
    <row r="512" spans="1:15" x14ac:dyDescent="0.25">
      <c r="A512" t="s">
        <v>539</v>
      </c>
      <c r="B512">
        <v>83</v>
      </c>
      <c r="C512" t="s">
        <v>24</v>
      </c>
      <c r="D512" t="s">
        <v>14</v>
      </c>
      <c r="E512" s="4">
        <v>45883</v>
      </c>
      <c r="F512" s="4">
        <v>45886</v>
      </c>
      <c r="G512" s="8">
        <v>3</v>
      </c>
      <c r="H512" t="s">
        <v>15</v>
      </c>
      <c r="I512">
        <v>5</v>
      </c>
      <c r="J512" t="s">
        <v>21</v>
      </c>
      <c r="K512" t="s">
        <v>22</v>
      </c>
      <c r="L512" s="6">
        <v>5752.23</v>
      </c>
      <c r="M512" t="str">
        <f>TEXT(Table1[[#This Row],[Admission_Date]], "mmm")</f>
        <v>Aug</v>
      </c>
      <c r="N512">
        <f>YEAR(Table1[[#This Row],[Admission_Date]])</f>
        <v>2025</v>
      </c>
      <c r="O512" t="str">
        <f>IF(Table1[[#This Row],[Age]]&lt;30, "Young Adult", IF(Table1[[#This Row],[Age]]&lt;60, "Adult", "Senior"))</f>
        <v>Senior</v>
      </c>
    </row>
    <row r="513" spans="1:15" x14ac:dyDescent="0.25">
      <c r="A513" t="s">
        <v>540</v>
      </c>
      <c r="B513">
        <v>60</v>
      </c>
      <c r="C513" t="s">
        <v>13</v>
      </c>
      <c r="D513" t="s">
        <v>40</v>
      </c>
      <c r="E513" s="4">
        <v>45718</v>
      </c>
      <c r="F513" s="4">
        <v>45729</v>
      </c>
      <c r="G513" s="8">
        <v>11</v>
      </c>
      <c r="H513" t="s">
        <v>15</v>
      </c>
      <c r="I513">
        <v>22</v>
      </c>
      <c r="J513" t="s">
        <v>29</v>
      </c>
      <c r="K513" t="s">
        <v>47</v>
      </c>
      <c r="L513" s="6">
        <v>3555.21</v>
      </c>
      <c r="M513" t="str">
        <f>TEXT(Table1[[#This Row],[Admission_Date]], "mmm")</f>
        <v>Mar</v>
      </c>
      <c r="N513">
        <f>YEAR(Table1[[#This Row],[Admission_Date]])</f>
        <v>2025</v>
      </c>
      <c r="O513" t="str">
        <f>IF(Table1[[#This Row],[Age]]&lt;30, "Young Adult", IF(Table1[[#This Row],[Age]]&lt;60, "Adult", "Senior"))</f>
        <v>Senior</v>
      </c>
    </row>
    <row r="514" spans="1:15" x14ac:dyDescent="0.25">
      <c r="A514" t="s">
        <v>541</v>
      </c>
      <c r="B514">
        <v>20</v>
      </c>
      <c r="C514" t="s">
        <v>13</v>
      </c>
      <c r="D514" t="s">
        <v>19</v>
      </c>
      <c r="E514" s="4">
        <v>45740</v>
      </c>
      <c r="F514" s="4">
        <v>45751</v>
      </c>
      <c r="G514" s="8">
        <v>11</v>
      </c>
      <c r="H514" t="s">
        <v>20</v>
      </c>
      <c r="I514">
        <v>0</v>
      </c>
      <c r="J514" t="s">
        <v>21</v>
      </c>
      <c r="K514" t="s">
        <v>17</v>
      </c>
      <c r="L514" s="6">
        <v>9089.0400000000009</v>
      </c>
      <c r="M514" t="str">
        <f>TEXT(Table1[[#This Row],[Admission_Date]], "mmm")</f>
        <v>Mar</v>
      </c>
      <c r="N514">
        <f>YEAR(Table1[[#This Row],[Admission_Date]])</f>
        <v>2025</v>
      </c>
      <c r="O514" t="str">
        <f>IF(Table1[[#This Row],[Age]]&lt;30, "Young Adult", IF(Table1[[#This Row],[Age]]&lt;60, "Adult", "Senior"))</f>
        <v>Young Adult</v>
      </c>
    </row>
    <row r="515" spans="1:15" x14ac:dyDescent="0.25">
      <c r="A515" t="s">
        <v>542</v>
      </c>
      <c r="B515">
        <v>36</v>
      </c>
      <c r="C515" t="s">
        <v>13</v>
      </c>
      <c r="D515" t="s">
        <v>14</v>
      </c>
      <c r="E515" s="4">
        <v>45726</v>
      </c>
      <c r="F515" s="4">
        <v>45737</v>
      </c>
      <c r="G515" s="8">
        <v>11</v>
      </c>
      <c r="H515" t="s">
        <v>20</v>
      </c>
      <c r="I515">
        <v>0</v>
      </c>
      <c r="J515" t="s">
        <v>25</v>
      </c>
      <c r="K515" t="s">
        <v>22</v>
      </c>
      <c r="L515" s="6">
        <v>7991.29</v>
      </c>
      <c r="M515" t="str">
        <f>TEXT(Table1[[#This Row],[Admission_Date]], "mmm")</f>
        <v>Mar</v>
      </c>
      <c r="N515">
        <f>YEAR(Table1[[#This Row],[Admission_Date]])</f>
        <v>2025</v>
      </c>
      <c r="O515" t="str">
        <f>IF(Table1[[#This Row],[Age]]&lt;30, "Young Adult", IF(Table1[[#This Row],[Age]]&lt;60, "Adult", "Senior"))</f>
        <v>Adult</v>
      </c>
    </row>
    <row r="516" spans="1:15" x14ac:dyDescent="0.25">
      <c r="A516" t="s">
        <v>543</v>
      </c>
      <c r="B516">
        <v>20</v>
      </c>
      <c r="C516" t="s">
        <v>24</v>
      </c>
      <c r="D516" t="s">
        <v>19</v>
      </c>
      <c r="E516" s="4">
        <v>45865</v>
      </c>
      <c r="F516" s="4">
        <v>45875</v>
      </c>
      <c r="G516" s="8">
        <v>10</v>
      </c>
      <c r="H516" t="s">
        <v>20</v>
      </c>
      <c r="I516">
        <v>0</v>
      </c>
      <c r="J516" t="s">
        <v>21</v>
      </c>
      <c r="K516" t="s">
        <v>47</v>
      </c>
      <c r="L516" s="6">
        <v>9294.6299999999992</v>
      </c>
      <c r="M516" t="str">
        <f>TEXT(Table1[[#This Row],[Admission_Date]], "mmm")</f>
        <v>Jul</v>
      </c>
      <c r="N516">
        <f>YEAR(Table1[[#This Row],[Admission_Date]])</f>
        <v>2025</v>
      </c>
      <c r="O516" t="str">
        <f>IF(Table1[[#This Row],[Age]]&lt;30, "Young Adult", IF(Table1[[#This Row],[Age]]&lt;60, "Adult", "Senior"))</f>
        <v>Young Adult</v>
      </c>
    </row>
    <row r="517" spans="1:15" x14ac:dyDescent="0.25">
      <c r="A517" t="s">
        <v>544</v>
      </c>
      <c r="B517">
        <v>46</v>
      </c>
      <c r="C517" t="s">
        <v>24</v>
      </c>
      <c r="D517" t="s">
        <v>34</v>
      </c>
      <c r="E517" s="4">
        <v>45899</v>
      </c>
      <c r="F517" s="4">
        <v>45913</v>
      </c>
      <c r="G517" s="8">
        <v>14</v>
      </c>
      <c r="H517" t="s">
        <v>20</v>
      </c>
      <c r="I517">
        <v>0</v>
      </c>
      <c r="J517" t="s">
        <v>21</v>
      </c>
      <c r="K517" t="s">
        <v>17</v>
      </c>
      <c r="L517" s="6">
        <v>12396.57</v>
      </c>
      <c r="M517" t="str">
        <f>TEXT(Table1[[#This Row],[Admission_Date]], "mmm")</f>
        <v>Aug</v>
      </c>
      <c r="N517">
        <f>YEAR(Table1[[#This Row],[Admission_Date]])</f>
        <v>2025</v>
      </c>
      <c r="O517" t="str">
        <f>IF(Table1[[#This Row],[Age]]&lt;30, "Young Adult", IF(Table1[[#This Row],[Age]]&lt;60, "Adult", "Senior"))</f>
        <v>Adult</v>
      </c>
    </row>
    <row r="518" spans="1:15" x14ac:dyDescent="0.25">
      <c r="A518" t="s">
        <v>545</v>
      </c>
      <c r="B518">
        <v>51</v>
      </c>
      <c r="C518" t="s">
        <v>13</v>
      </c>
      <c r="D518" t="s">
        <v>28</v>
      </c>
      <c r="E518" s="4">
        <v>45751</v>
      </c>
      <c r="F518" s="4">
        <v>45761</v>
      </c>
      <c r="G518" s="8">
        <v>10</v>
      </c>
      <c r="H518" t="s">
        <v>20</v>
      </c>
      <c r="I518">
        <v>0</v>
      </c>
      <c r="J518" t="s">
        <v>25</v>
      </c>
      <c r="K518" t="s">
        <v>47</v>
      </c>
      <c r="L518" s="6">
        <v>9149.73</v>
      </c>
      <c r="M518" t="str">
        <f>TEXT(Table1[[#This Row],[Admission_Date]], "mmm")</f>
        <v>Apr</v>
      </c>
      <c r="N518">
        <f>YEAR(Table1[[#This Row],[Admission_Date]])</f>
        <v>2025</v>
      </c>
      <c r="O518" t="str">
        <f>IF(Table1[[#This Row],[Age]]&lt;30, "Young Adult", IF(Table1[[#This Row],[Age]]&lt;60, "Adult", "Senior"))</f>
        <v>Adult</v>
      </c>
    </row>
    <row r="519" spans="1:15" x14ac:dyDescent="0.25">
      <c r="A519" t="s">
        <v>546</v>
      </c>
      <c r="B519">
        <v>34</v>
      </c>
      <c r="C519" t="s">
        <v>13</v>
      </c>
      <c r="D519" t="s">
        <v>19</v>
      </c>
      <c r="E519" s="4">
        <v>45693</v>
      </c>
      <c r="F519" s="4">
        <v>45697</v>
      </c>
      <c r="G519" s="8">
        <v>4</v>
      </c>
      <c r="H519" t="s">
        <v>20</v>
      </c>
      <c r="I519">
        <v>0</v>
      </c>
      <c r="J519" t="s">
        <v>21</v>
      </c>
      <c r="K519" t="s">
        <v>17</v>
      </c>
      <c r="L519" s="6">
        <v>12964.08</v>
      </c>
      <c r="M519" t="str">
        <f>TEXT(Table1[[#This Row],[Admission_Date]], "mmm")</f>
        <v>Feb</v>
      </c>
      <c r="N519">
        <f>YEAR(Table1[[#This Row],[Admission_Date]])</f>
        <v>2025</v>
      </c>
      <c r="O519" t="str">
        <f>IF(Table1[[#This Row],[Age]]&lt;30, "Young Adult", IF(Table1[[#This Row],[Age]]&lt;60, "Adult", "Senior"))</f>
        <v>Adult</v>
      </c>
    </row>
    <row r="520" spans="1:15" x14ac:dyDescent="0.25">
      <c r="A520" t="s">
        <v>547</v>
      </c>
      <c r="B520">
        <v>37</v>
      </c>
      <c r="C520" t="s">
        <v>13</v>
      </c>
      <c r="D520" t="s">
        <v>14</v>
      </c>
      <c r="E520" s="4">
        <v>45916</v>
      </c>
      <c r="F520" s="4">
        <v>45927</v>
      </c>
      <c r="G520" s="8">
        <v>11</v>
      </c>
      <c r="H520" t="s">
        <v>20</v>
      </c>
      <c r="I520">
        <v>0</v>
      </c>
      <c r="J520" t="s">
        <v>29</v>
      </c>
      <c r="K520" t="s">
        <v>17</v>
      </c>
      <c r="L520" s="6">
        <v>9197.2999999999993</v>
      </c>
      <c r="M520" t="str">
        <f>TEXT(Table1[[#This Row],[Admission_Date]], "mmm")</f>
        <v>Sep</v>
      </c>
      <c r="N520">
        <f>YEAR(Table1[[#This Row],[Admission_Date]])</f>
        <v>2025</v>
      </c>
      <c r="O520" t="str">
        <f>IF(Table1[[#This Row],[Age]]&lt;30, "Young Adult", IF(Table1[[#This Row],[Age]]&lt;60, "Adult", "Senior"))</f>
        <v>Adult</v>
      </c>
    </row>
    <row r="521" spans="1:15" x14ac:dyDescent="0.25">
      <c r="A521" t="s">
        <v>548</v>
      </c>
      <c r="B521">
        <v>29</v>
      </c>
      <c r="C521" t="s">
        <v>24</v>
      </c>
      <c r="D521" t="s">
        <v>28</v>
      </c>
      <c r="E521" s="4">
        <v>45930</v>
      </c>
      <c r="F521" s="4">
        <v>45939</v>
      </c>
      <c r="G521" s="8">
        <v>9</v>
      </c>
      <c r="H521" t="s">
        <v>20</v>
      </c>
      <c r="I521">
        <v>0</v>
      </c>
      <c r="J521" t="s">
        <v>21</v>
      </c>
      <c r="K521" t="s">
        <v>17</v>
      </c>
      <c r="L521" s="6">
        <v>8319.65</v>
      </c>
      <c r="M521" t="str">
        <f>TEXT(Table1[[#This Row],[Admission_Date]], "mmm")</f>
        <v>Sep</v>
      </c>
      <c r="N521">
        <f>YEAR(Table1[[#This Row],[Admission_Date]])</f>
        <v>2025</v>
      </c>
      <c r="O521" t="str">
        <f>IF(Table1[[#This Row],[Age]]&lt;30, "Young Adult", IF(Table1[[#This Row],[Age]]&lt;60, "Adult", "Senior"))</f>
        <v>Young Adult</v>
      </c>
    </row>
    <row r="522" spans="1:15" x14ac:dyDescent="0.25">
      <c r="A522" t="s">
        <v>549</v>
      </c>
      <c r="B522">
        <v>73</v>
      </c>
      <c r="C522" t="s">
        <v>24</v>
      </c>
      <c r="D522" t="s">
        <v>32</v>
      </c>
      <c r="E522" s="4">
        <v>45658</v>
      </c>
      <c r="F522" s="4">
        <v>45671</v>
      </c>
      <c r="G522" s="8">
        <v>13</v>
      </c>
      <c r="H522" t="s">
        <v>20</v>
      </c>
      <c r="I522">
        <v>0</v>
      </c>
      <c r="J522" t="s">
        <v>16</v>
      </c>
      <c r="K522" t="s">
        <v>17</v>
      </c>
      <c r="L522" s="6">
        <v>8182.34</v>
      </c>
      <c r="M522" t="str">
        <f>TEXT(Table1[[#This Row],[Admission_Date]], "mmm")</f>
        <v>Jan</v>
      </c>
      <c r="N522">
        <f>YEAR(Table1[[#This Row],[Admission_Date]])</f>
        <v>2025</v>
      </c>
      <c r="O522" t="str">
        <f>IF(Table1[[#This Row],[Age]]&lt;30, "Young Adult", IF(Table1[[#This Row],[Age]]&lt;60, "Adult", "Senior"))</f>
        <v>Senior</v>
      </c>
    </row>
    <row r="523" spans="1:15" x14ac:dyDescent="0.25">
      <c r="A523" t="s">
        <v>550</v>
      </c>
      <c r="B523">
        <v>66</v>
      </c>
      <c r="C523" t="s">
        <v>24</v>
      </c>
      <c r="D523" t="s">
        <v>34</v>
      </c>
      <c r="E523" s="4">
        <v>45775</v>
      </c>
      <c r="F523" s="4">
        <v>45788</v>
      </c>
      <c r="G523" s="8">
        <v>13</v>
      </c>
      <c r="H523" t="s">
        <v>20</v>
      </c>
      <c r="I523">
        <v>0</v>
      </c>
      <c r="J523" t="s">
        <v>16</v>
      </c>
      <c r="K523" t="s">
        <v>47</v>
      </c>
      <c r="L523" s="6">
        <v>2441.31</v>
      </c>
      <c r="M523" t="str">
        <f>TEXT(Table1[[#This Row],[Admission_Date]], "mmm")</f>
        <v>Apr</v>
      </c>
      <c r="N523">
        <f>YEAR(Table1[[#This Row],[Admission_Date]])</f>
        <v>2025</v>
      </c>
      <c r="O523" t="str">
        <f>IF(Table1[[#This Row],[Age]]&lt;30, "Young Adult", IF(Table1[[#This Row],[Age]]&lt;60, "Adult", "Senior"))</f>
        <v>Senior</v>
      </c>
    </row>
    <row r="524" spans="1:15" x14ac:dyDescent="0.25">
      <c r="A524" t="s">
        <v>551</v>
      </c>
      <c r="B524">
        <v>28</v>
      </c>
      <c r="C524" t="s">
        <v>24</v>
      </c>
      <c r="D524" t="s">
        <v>34</v>
      </c>
      <c r="E524" s="4">
        <v>45902</v>
      </c>
      <c r="F524" s="4">
        <v>45915</v>
      </c>
      <c r="G524" s="8">
        <v>13</v>
      </c>
      <c r="H524" t="s">
        <v>15</v>
      </c>
      <c r="I524">
        <v>29</v>
      </c>
      <c r="J524" t="s">
        <v>29</v>
      </c>
      <c r="K524" t="s">
        <v>47</v>
      </c>
      <c r="L524" s="6">
        <v>3240.8</v>
      </c>
      <c r="M524" t="str">
        <f>TEXT(Table1[[#This Row],[Admission_Date]], "mmm")</f>
        <v>Sep</v>
      </c>
      <c r="N524">
        <f>YEAR(Table1[[#This Row],[Admission_Date]])</f>
        <v>2025</v>
      </c>
      <c r="O524" t="str">
        <f>IF(Table1[[#This Row],[Age]]&lt;30, "Young Adult", IF(Table1[[#This Row],[Age]]&lt;60, "Adult", "Senior"))</f>
        <v>Young Adult</v>
      </c>
    </row>
    <row r="525" spans="1:15" x14ac:dyDescent="0.25">
      <c r="A525" t="s">
        <v>552</v>
      </c>
      <c r="B525">
        <v>84</v>
      </c>
      <c r="C525" t="s">
        <v>13</v>
      </c>
      <c r="D525" t="s">
        <v>34</v>
      </c>
      <c r="E525" s="4">
        <v>46021</v>
      </c>
      <c r="F525" s="4">
        <v>46033</v>
      </c>
      <c r="G525" s="8">
        <v>12</v>
      </c>
      <c r="H525" t="s">
        <v>20</v>
      </c>
      <c r="I525">
        <v>0</v>
      </c>
      <c r="J525" t="s">
        <v>16</v>
      </c>
      <c r="K525" t="s">
        <v>47</v>
      </c>
      <c r="L525" s="6">
        <v>9990.92</v>
      </c>
      <c r="M525" t="str">
        <f>TEXT(Table1[[#This Row],[Admission_Date]], "mmm")</f>
        <v>Dec</v>
      </c>
      <c r="N525">
        <f>YEAR(Table1[[#This Row],[Admission_Date]])</f>
        <v>2025</v>
      </c>
      <c r="O525" t="str">
        <f>IF(Table1[[#This Row],[Age]]&lt;30, "Young Adult", IF(Table1[[#This Row],[Age]]&lt;60, "Adult", "Senior"))</f>
        <v>Senior</v>
      </c>
    </row>
    <row r="526" spans="1:15" x14ac:dyDescent="0.25">
      <c r="A526" t="s">
        <v>553</v>
      </c>
      <c r="B526">
        <v>64</v>
      </c>
      <c r="C526" t="s">
        <v>13</v>
      </c>
      <c r="D526" t="s">
        <v>14</v>
      </c>
      <c r="E526" s="4">
        <v>46010</v>
      </c>
      <c r="F526" s="4">
        <v>46023</v>
      </c>
      <c r="G526" s="8">
        <v>13</v>
      </c>
      <c r="H526" t="s">
        <v>20</v>
      </c>
      <c r="I526">
        <v>0</v>
      </c>
      <c r="J526" t="s">
        <v>29</v>
      </c>
      <c r="K526" t="s">
        <v>17</v>
      </c>
      <c r="L526" s="6">
        <v>8987.8700000000008</v>
      </c>
      <c r="M526" t="str">
        <f>TEXT(Table1[[#This Row],[Admission_Date]], "mmm")</f>
        <v>Dec</v>
      </c>
      <c r="N526">
        <f>YEAR(Table1[[#This Row],[Admission_Date]])</f>
        <v>2025</v>
      </c>
      <c r="O526" t="str">
        <f>IF(Table1[[#This Row],[Age]]&lt;30, "Young Adult", IF(Table1[[#This Row],[Age]]&lt;60, "Adult", "Senior"))</f>
        <v>Senior</v>
      </c>
    </row>
    <row r="527" spans="1:15" x14ac:dyDescent="0.25">
      <c r="A527" t="s">
        <v>554</v>
      </c>
      <c r="B527">
        <v>90</v>
      </c>
      <c r="C527" t="s">
        <v>24</v>
      </c>
      <c r="D527" t="s">
        <v>34</v>
      </c>
      <c r="E527" s="4">
        <v>45791</v>
      </c>
      <c r="F527" s="4">
        <v>45805</v>
      </c>
      <c r="G527" s="8">
        <v>14</v>
      </c>
      <c r="H527" t="s">
        <v>20</v>
      </c>
      <c r="I527">
        <v>0</v>
      </c>
      <c r="J527" t="s">
        <v>25</v>
      </c>
      <c r="K527" t="s">
        <v>17</v>
      </c>
      <c r="L527" s="6">
        <v>6263.09</v>
      </c>
      <c r="M527" t="str">
        <f>TEXT(Table1[[#This Row],[Admission_Date]], "mmm")</f>
        <v>May</v>
      </c>
      <c r="N527">
        <f>YEAR(Table1[[#This Row],[Admission_Date]])</f>
        <v>2025</v>
      </c>
      <c r="O527" t="str">
        <f>IF(Table1[[#This Row],[Age]]&lt;30, "Young Adult", IF(Table1[[#This Row],[Age]]&lt;60, "Adult", "Senior"))</f>
        <v>Senior</v>
      </c>
    </row>
    <row r="528" spans="1:15" x14ac:dyDescent="0.25">
      <c r="A528" t="s">
        <v>555</v>
      </c>
      <c r="B528">
        <v>89</v>
      </c>
      <c r="C528" t="s">
        <v>24</v>
      </c>
      <c r="D528" t="s">
        <v>14</v>
      </c>
      <c r="E528" s="4">
        <v>45762</v>
      </c>
      <c r="F528" s="4">
        <v>45769</v>
      </c>
      <c r="G528" s="8">
        <v>7</v>
      </c>
      <c r="H528" t="s">
        <v>20</v>
      </c>
      <c r="I528">
        <v>0</v>
      </c>
      <c r="J528" t="s">
        <v>25</v>
      </c>
      <c r="K528" t="s">
        <v>17</v>
      </c>
      <c r="L528" s="6">
        <v>8546.2099999999991</v>
      </c>
      <c r="M528" t="str">
        <f>TEXT(Table1[[#This Row],[Admission_Date]], "mmm")</f>
        <v>Apr</v>
      </c>
      <c r="N528">
        <f>YEAR(Table1[[#This Row],[Admission_Date]])</f>
        <v>2025</v>
      </c>
      <c r="O528" t="str">
        <f>IF(Table1[[#This Row],[Age]]&lt;30, "Young Adult", IF(Table1[[#This Row],[Age]]&lt;60, "Adult", "Senior"))</f>
        <v>Senior</v>
      </c>
    </row>
    <row r="529" spans="1:15" x14ac:dyDescent="0.25">
      <c r="A529" t="s">
        <v>556</v>
      </c>
      <c r="B529">
        <v>68</v>
      </c>
      <c r="C529" t="s">
        <v>13</v>
      </c>
      <c r="D529" t="s">
        <v>28</v>
      </c>
      <c r="E529" s="4">
        <v>45787</v>
      </c>
      <c r="F529" s="4">
        <v>45792</v>
      </c>
      <c r="G529" s="8">
        <v>5</v>
      </c>
      <c r="H529" t="s">
        <v>20</v>
      </c>
      <c r="I529">
        <v>0</v>
      </c>
      <c r="J529" t="s">
        <v>16</v>
      </c>
      <c r="K529" t="s">
        <v>17</v>
      </c>
      <c r="L529" s="6">
        <v>3831.68</v>
      </c>
      <c r="M529" t="str">
        <f>TEXT(Table1[[#This Row],[Admission_Date]], "mmm")</f>
        <v>May</v>
      </c>
      <c r="N529">
        <f>YEAR(Table1[[#This Row],[Admission_Date]])</f>
        <v>2025</v>
      </c>
      <c r="O529" t="str">
        <f>IF(Table1[[#This Row],[Age]]&lt;30, "Young Adult", IF(Table1[[#This Row],[Age]]&lt;60, "Adult", "Senior"))</f>
        <v>Senior</v>
      </c>
    </row>
    <row r="530" spans="1:15" x14ac:dyDescent="0.25">
      <c r="A530" t="s">
        <v>557</v>
      </c>
      <c r="B530">
        <v>83</v>
      </c>
      <c r="C530" t="s">
        <v>24</v>
      </c>
      <c r="D530" t="s">
        <v>32</v>
      </c>
      <c r="E530" s="4">
        <v>46016</v>
      </c>
      <c r="F530" s="4">
        <v>46019</v>
      </c>
      <c r="G530" s="8">
        <v>3</v>
      </c>
      <c r="H530" t="s">
        <v>15</v>
      </c>
      <c r="I530">
        <v>26</v>
      </c>
      <c r="J530" t="s">
        <v>16</v>
      </c>
      <c r="K530" t="s">
        <v>22</v>
      </c>
      <c r="L530" s="6">
        <v>6142</v>
      </c>
      <c r="M530" t="str">
        <f>TEXT(Table1[[#This Row],[Admission_Date]], "mmm")</f>
        <v>Dec</v>
      </c>
      <c r="N530">
        <f>YEAR(Table1[[#This Row],[Admission_Date]])</f>
        <v>2025</v>
      </c>
      <c r="O530" t="str">
        <f>IF(Table1[[#This Row],[Age]]&lt;30, "Young Adult", IF(Table1[[#This Row],[Age]]&lt;60, "Adult", "Senior"))</f>
        <v>Senior</v>
      </c>
    </row>
    <row r="531" spans="1:15" x14ac:dyDescent="0.25">
      <c r="A531" t="s">
        <v>558</v>
      </c>
      <c r="B531">
        <v>36</v>
      </c>
      <c r="C531" t="s">
        <v>24</v>
      </c>
      <c r="D531" t="s">
        <v>34</v>
      </c>
      <c r="E531" s="4">
        <v>45983</v>
      </c>
      <c r="F531" s="4">
        <v>45984</v>
      </c>
      <c r="G531" s="8">
        <v>1</v>
      </c>
      <c r="H531" t="s">
        <v>20</v>
      </c>
      <c r="I531">
        <v>0</v>
      </c>
      <c r="J531" t="s">
        <v>29</v>
      </c>
      <c r="K531" t="s">
        <v>22</v>
      </c>
      <c r="L531" s="6">
        <v>1429.17</v>
      </c>
      <c r="M531" t="str">
        <f>TEXT(Table1[[#This Row],[Admission_Date]], "mmm")</f>
        <v>Nov</v>
      </c>
      <c r="N531">
        <f>YEAR(Table1[[#This Row],[Admission_Date]])</f>
        <v>2025</v>
      </c>
      <c r="O531" t="str">
        <f>IF(Table1[[#This Row],[Age]]&lt;30, "Young Adult", IF(Table1[[#This Row],[Age]]&lt;60, "Adult", "Senior"))</f>
        <v>Adult</v>
      </c>
    </row>
    <row r="532" spans="1:15" x14ac:dyDescent="0.25">
      <c r="A532" t="s">
        <v>559</v>
      </c>
      <c r="B532">
        <v>22</v>
      </c>
      <c r="C532" t="s">
        <v>24</v>
      </c>
      <c r="D532" t="s">
        <v>40</v>
      </c>
      <c r="E532" s="4">
        <v>45771</v>
      </c>
      <c r="F532" s="4">
        <v>45777</v>
      </c>
      <c r="G532" s="8">
        <v>6</v>
      </c>
      <c r="H532" t="s">
        <v>15</v>
      </c>
      <c r="I532">
        <v>20</v>
      </c>
      <c r="J532" t="s">
        <v>25</v>
      </c>
      <c r="K532" t="s">
        <v>17</v>
      </c>
      <c r="L532" s="6">
        <v>14471.18</v>
      </c>
      <c r="M532" t="str">
        <f>TEXT(Table1[[#This Row],[Admission_Date]], "mmm")</f>
        <v>Apr</v>
      </c>
      <c r="N532">
        <f>YEAR(Table1[[#This Row],[Admission_Date]])</f>
        <v>2025</v>
      </c>
      <c r="O532" t="str">
        <f>IF(Table1[[#This Row],[Age]]&lt;30, "Young Adult", IF(Table1[[#This Row],[Age]]&lt;60, "Adult", "Senior"))</f>
        <v>Young Adult</v>
      </c>
    </row>
    <row r="533" spans="1:15" x14ac:dyDescent="0.25">
      <c r="A533" t="s">
        <v>560</v>
      </c>
      <c r="B533">
        <v>81</v>
      </c>
      <c r="C533" t="s">
        <v>24</v>
      </c>
      <c r="D533" t="s">
        <v>19</v>
      </c>
      <c r="E533" s="4">
        <v>45687</v>
      </c>
      <c r="F533" s="4">
        <v>45700</v>
      </c>
      <c r="G533" s="8">
        <v>13</v>
      </c>
      <c r="H533" t="s">
        <v>20</v>
      </c>
      <c r="I533">
        <v>0</v>
      </c>
      <c r="J533" t="s">
        <v>21</v>
      </c>
      <c r="K533" t="s">
        <v>17</v>
      </c>
      <c r="L533" s="6">
        <v>13996</v>
      </c>
      <c r="M533" t="str">
        <f>TEXT(Table1[[#This Row],[Admission_Date]], "mmm")</f>
        <v>Jan</v>
      </c>
      <c r="N533">
        <f>YEAR(Table1[[#This Row],[Admission_Date]])</f>
        <v>2025</v>
      </c>
      <c r="O533" t="str">
        <f>IF(Table1[[#This Row],[Age]]&lt;30, "Young Adult", IF(Table1[[#This Row],[Age]]&lt;60, "Adult", "Senior"))</f>
        <v>Senior</v>
      </c>
    </row>
    <row r="534" spans="1:15" x14ac:dyDescent="0.25">
      <c r="A534" t="s">
        <v>561</v>
      </c>
      <c r="B534">
        <v>83</v>
      </c>
      <c r="C534" t="s">
        <v>13</v>
      </c>
      <c r="D534" t="s">
        <v>34</v>
      </c>
      <c r="E534" s="4">
        <v>45923</v>
      </c>
      <c r="F534" s="4">
        <v>45928</v>
      </c>
      <c r="G534" s="8">
        <v>5</v>
      </c>
      <c r="H534" t="s">
        <v>15</v>
      </c>
      <c r="I534">
        <v>6</v>
      </c>
      <c r="J534" t="s">
        <v>16</v>
      </c>
      <c r="K534" t="s">
        <v>47</v>
      </c>
      <c r="L534" s="6">
        <v>3969.22</v>
      </c>
      <c r="M534" t="str">
        <f>TEXT(Table1[[#This Row],[Admission_Date]], "mmm")</f>
        <v>Sep</v>
      </c>
      <c r="N534">
        <f>YEAR(Table1[[#This Row],[Admission_Date]])</f>
        <v>2025</v>
      </c>
      <c r="O534" t="str">
        <f>IF(Table1[[#This Row],[Age]]&lt;30, "Young Adult", IF(Table1[[#This Row],[Age]]&lt;60, "Adult", "Senior"))</f>
        <v>Senior</v>
      </c>
    </row>
    <row r="535" spans="1:15" x14ac:dyDescent="0.25">
      <c r="A535" t="s">
        <v>562</v>
      </c>
      <c r="B535">
        <v>53</v>
      </c>
      <c r="C535" t="s">
        <v>24</v>
      </c>
      <c r="D535" t="s">
        <v>32</v>
      </c>
      <c r="E535" s="4">
        <v>45658</v>
      </c>
      <c r="F535" s="4">
        <v>45661</v>
      </c>
      <c r="G535" s="8">
        <v>3</v>
      </c>
      <c r="H535" t="s">
        <v>15</v>
      </c>
      <c r="I535">
        <v>22</v>
      </c>
      <c r="J535" t="s">
        <v>29</v>
      </c>
      <c r="K535" t="s">
        <v>47</v>
      </c>
      <c r="L535" s="6">
        <v>8998.16</v>
      </c>
      <c r="M535" t="str">
        <f>TEXT(Table1[[#This Row],[Admission_Date]], "mmm")</f>
        <v>Jan</v>
      </c>
      <c r="N535">
        <f>YEAR(Table1[[#This Row],[Admission_Date]])</f>
        <v>2025</v>
      </c>
      <c r="O535" t="str">
        <f>IF(Table1[[#This Row],[Age]]&lt;30, "Young Adult", IF(Table1[[#This Row],[Age]]&lt;60, "Adult", "Senior"))</f>
        <v>Adult</v>
      </c>
    </row>
    <row r="536" spans="1:15" x14ac:dyDescent="0.25">
      <c r="A536" t="s">
        <v>563</v>
      </c>
      <c r="B536">
        <v>26</v>
      </c>
      <c r="C536" t="s">
        <v>13</v>
      </c>
      <c r="D536" t="s">
        <v>34</v>
      </c>
      <c r="E536" s="4">
        <v>45923</v>
      </c>
      <c r="F536" s="4">
        <v>45924</v>
      </c>
      <c r="G536" s="8">
        <v>1</v>
      </c>
      <c r="H536" t="s">
        <v>20</v>
      </c>
      <c r="I536">
        <v>0</v>
      </c>
      <c r="J536" t="s">
        <v>25</v>
      </c>
      <c r="K536" t="s">
        <v>17</v>
      </c>
      <c r="L536" s="6">
        <v>12531.59</v>
      </c>
      <c r="M536" t="str">
        <f>TEXT(Table1[[#This Row],[Admission_Date]], "mmm")</f>
        <v>Sep</v>
      </c>
      <c r="N536">
        <f>YEAR(Table1[[#This Row],[Admission_Date]])</f>
        <v>2025</v>
      </c>
      <c r="O536" t="str">
        <f>IF(Table1[[#This Row],[Age]]&lt;30, "Young Adult", IF(Table1[[#This Row],[Age]]&lt;60, "Adult", "Senior"))</f>
        <v>Young Adult</v>
      </c>
    </row>
    <row r="537" spans="1:15" x14ac:dyDescent="0.25">
      <c r="A537" t="s">
        <v>564</v>
      </c>
      <c r="B537">
        <v>53</v>
      </c>
      <c r="C537" t="s">
        <v>13</v>
      </c>
      <c r="D537" t="s">
        <v>34</v>
      </c>
      <c r="E537" s="4">
        <v>45956</v>
      </c>
      <c r="F537" s="4">
        <v>45962</v>
      </c>
      <c r="G537" s="8">
        <v>6</v>
      </c>
      <c r="H537" t="s">
        <v>20</v>
      </c>
      <c r="I537">
        <v>0</v>
      </c>
      <c r="J537" t="s">
        <v>21</v>
      </c>
      <c r="K537" t="s">
        <v>47</v>
      </c>
      <c r="L537" s="6">
        <v>13980.85</v>
      </c>
      <c r="M537" t="str">
        <f>TEXT(Table1[[#This Row],[Admission_Date]], "mmm")</f>
        <v>Oct</v>
      </c>
      <c r="N537">
        <f>YEAR(Table1[[#This Row],[Admission_Date]])</f>
        <v>2025</v>
      </c>
      <c r="O537" t="str">
        <f>IF(Table1[[#This Row],[Age]]&lt;30, "Young Adult", IF(Table1[[#This Row],[Age]]&lt;60, "Adult", "Senior"))</f>
        <v>Adult</v>
      </c>
    </row>
    <row r="538" spans="1:15" x14ac:dyDescent="0.25">
      <c r="A538" t="s">
        <v>565</v>
      </c>
      <c r="B538">
        <v>70</v>
      </c>
      <c r="C538" t="s">
        <v>13</v>
      </c>
      <c r="D538" t="s">
        <v>34</v>
      </c>
      <c r="E538" s="4">
        <v>45952</v>
      </c>
      <c r="F538" s="4">
        <v>45953</v>
      </c>
      <c r="G538" s="8">
        <v>1</v>
      </c>
      <c r="H538" t="s">
        <v>15</v>
      </c>
      <c r="I538">
        <v>3</v>
      </c>
      <c r="J538" t="s">
        <v>25</v>
      </c>
      <c r="K538" t="s">
        <v>47</v>
      </c>
      <c r="L538" s="6">
        <v>14231.72</v>
      </c>
      <c r="M538" t="str">
        <f>TEXT(Table1[[#This Row],[Admission_Date]], "mmm")</f>
        <v>Oct</v>
      </c>
      <c r="N538">
        <f>YEAR(Table1[[#This Row],[Admission_Date]])</f>
        <v>2025</v>
      </c>
      <c r="O538" t="str">
        <f>IF(Table1[[#This Row],[Age]]&lt;30, "Young Adult", IF(Table1[[#This Row],[Age]]&lt;60, "Adult", "Senior"))</f>
        <v>Senior</v>
      </c>
    </row>
    <row r="539" spans="1:15" x14ac:dyDescent="0.25">
      <c r="A539" t="s">
        <v>566</v>
      </c>
      <c r="B539">
        <v>50</v>
      </c>
      <c r="C539" t="s">
        <v>24</v>
      </c>
      <c r="D539" t="s">
        <v>40</v>
      </c>
      <c r="E539" s="4">
        <v>45920</v>
      </c>
      <c r="F539" s="4">
        <v>45925</v>
      </c>
      <c r="G539" s="8">
        <v>5</v>
      </c>
      <c r="H539" t="s">
        <v>20</v>
      </c>
      <c r="I539">
        <v>0</v>
      </c>
      <c r="J539" t="s">
        <v>29</v>
      </c>
      <c r="K539" t="s">
        <v>22</v>
      </c>
      <c r="L539" s="6">
        <v>11483.36</v>
      </c>
      <c r="M539" t="str">
        <f>TEXT(Table1[[#This Row],[Admission_Date]], "mmm")</f>
        <v>Sep</v>
      </c>
      <c r="N539">
        <f>YEAR(Table1[[#This Row],[Admission_Date]])</f>
        <v>2025</v>
      </c>
      <c r="O539" t="str">
        <f>IF(Table1[[#This Row],[Age]]&lt;30, "Young Adult", IF(Table1[[#This Row],[Age]]&lt;60, "Adult", "Senior"))</f>
        <v>Adult</v>
      </c>
    </row>
    <row r="540" spans="1:15" x14ac:dyDescent="0.25">
      <c r="A540" t="s">
        <v>567</v>
      </c>
      <c r="B540">
        <v>21</v>
      </c>
      <c r="C540" t="s">
        <v>24</v>
      </c>
      <c r="D540" t="s">
        <v>19</v>
      </c>
      <c r="E540" s="4">
        <v>45892</v>
      </c>
      <c r="F540" s="4">
        <v>45903</v>
      </c>
      <c r="G540" s="8">
        <v>11</v>
      </c>
      <c r="H540" t="s">
        <v>20</v>
      </c>
      <c r="I540">
        <v>0</v>
      </c>
      <c r="J540" t="s">
        <v>25</v>
      </c>
      <c r="K540" t="s">
        <v>22</v>
      </c>
      <c r="L540" s="6">
        <v>6048.76</v>
      </c>
      <c r="M540" t="str">
        <f>TEXT(Table1[[#This Row],[Admission_Date]], "mmm")</f>
        <v>Aug</v>
      </c>
      <c r="N540">
        <f>YEAR(Table1[[#This Row],[Admission_Date]])</f>
        <v>2025</v>
      </c>
      <c r="O540" t="str">
        <f>IF(Table1[[#This Row],[Age]]&lt;30, "Young Adult", IF(Table1[[#This Row],[Age]]&lt;60, "Adult", "Senior"))</f>
        <v>Young Adult</v>
      </c>
    </row>
    <row r="541" spans="1:15" x14ac:dyDescent="0.25">
      <c r="A541" t="s">
        <v>568</v>
      </c>
      <c r="B541">
        <v>58</v>
      </c>
      <c r="C541" t="s">
        <v>24</v>
      </c>
      <c r="D541" t="s">
        <v>32</v>
      </c>
      <c r="E541" s="4">
        <v>45770</v>
      </c>
      <c r="F541" s="4">
        <v>45781</v>
      </c>
      <c r="G541" s="8">
        <v>11</v>
      </c>
      <c r="H541" t="s">
        <v>20</v>
      </c>
      <c r="I541">
        <v>0</v>
      </c>
      <c r="J541" t="s">
        <v>16</v>
      </c>
      <c r="K541" t="s">
        <v>17</v>
      </c>
      <c r="L541" s="6">
        <v>12566.57</v>
      </c>
      <c r="M541" t="str">
        <f>TEXT(Table1[[#This Row],[Admission_Date]], "mmm")</f>
        <v>Apr</v>
      </c>
      <c r="N541">
        <f>YEAR(Table1[[#This Row],[Admission_Date]])</f>
        <v>2025</v>
      </c>
      <c r="O541" t="str">
        <f>IF(Table1[[#This Row],[Age]]&lt;30, "Young Adult", IF(Table1[[#This Row],[Age]]&lt;60, "Adult", "Senior"))</f>
        <v>Adult</v>
      </c>
    </row>
    <row r="542" spans="1:15" x14ac:dyDescent="0.25">
      <c r="A542" t="s">
        <v>569</v>
      </c>
      <c r="B542">
        <v>61</v>
      </c>
      <c r="C542" t="s">
        <v>13</v>
      </c>
      <c r="D542" t="s">
        <v>34</v>
      </c>
      <c r="E542" s="4">
        <v>45785</v>
      </c>
      <c r="F542" s="4">
        <v>45790</v>
      </c>
      <c r="G542" s="8">
        <v>5</v>
      </c>
      <c r="H542" t="s">
        <v>15</v>
      </c>
      <c r="I542">
        <v>30</v>
      </c>
      <c r="J542" t="s">
        <v>21</v>
      </c>
      <c r="K542" t="s">
        <v>47</v>
      </c>
      <c r="L542" s="6">
        <v>5051.16</v>
      </c>
      <c r="M542" t="str">
        <f>TEXT(Table1[[#This Row],[Admission_Date]], "mmm")</f>
        <v>May</v>
      </c>
      <c r="N542">
        <f>YEAR(Table1[[#This Row],[Admission_Date]])</f>
        <v>2025</v>
      </c>
      <c r="O542" t="str">
        <f>IF(Table1[[#This Row],[Age]]&lt;30, "Young Adult", IF(Table1[[#This Row],[Age]]&lt;60, "Adult", "Senior"))</f>
        <v>Senior</v>
      </c>
    </row>
    <row r="543" spans="1:15" x14ac:dyDescent="0.25">
      <c r="A543" t="s">
        <v>570</v>
      </c>
      <c r="B543">
        <v>42</v>
      </c>
      <c r="C543" t="s">
        <v>24</v>
      </c>
      <c r="D543" t="s">
        <v>28</v>
      </c>
      <c r="E543" s="4">
        <v>45769</v>
      </c>
      <c r="F543" s="4">
        <v>45779</v>
      </c>
      <c r="G543" s="8">
        <v>10</v>
      </c>
      <c r="H543" t="s">
        <v>15</v>
      </c>
      <c r="I543">
        <v>7</v>
      </c>
      <c r="J543" t="s">
        <v>21</v>
      </c>
      <c r="K543" t="s">
        <v>17</v>
      </c>
      <c r="L543" s="6">
        <v>4009.82</v>
      </c>
      <c r="M543" t="str">
        <f>TEXT(Table1[[#This Row],[Admission_Date]], "mmm")</f>
        <v>Apr</v>
      </c>
      <c r="N543">
        <f>YEAR(Table1[[#This Row],[Admission_Date]])</f>
        <v>2025</v>
      </c>
      <c r="O543" t="str">
        <f>IF(Table1[[#This Row],[Age]]&lt;30, "Young Adult", IF(Table1[[#This Row],[Age]]&lt;60, "Adult", "Senior"))</f>
        <v>Adult</v>
      </c>
    </row>
    <row r="544" spans="1:15" x14ac:dyDescent="0.25">
      <c r="A544" t="s">
        <v>571</v>
      </c>
      <c r="B544">
        <v>49</v>
      </c>
      <c r="C544" t="s">
        <v>24</v>
      </c>
      <c r="D544" t="s">
        <v>14</v>
      </c>
      <c r="E544" s="4">
        <v>45793</v>
      </c>
      <c r="F544" s="4">
        <v>45797</v>
      </c>
      <c r="G544" s="8">
        <v>4</v>
      </c>
      <c r="H544" t="s">
        <v>15</v>
      </c>
      <c r="I544">
        <v>25</v>
      </c>
      <c r="J544" t="s">
        <v>16</v>
      </c>
      <c r="K544" t="s">
        <v>22</v>
      </c>
      <c r="L544" s="6">
        <v>13842.73</v>
      </c>
      <c r="M544" t="str">
        <f>TEXT(Table1[[#This Row],[Admission_Date]], "mmm")</f>
        <v>May</v>
      </c>
      <c r="N544">
        <f>YEAR(Table1[[#This Row],[Admission_Date]])</f>
        <v>2025</v>
      </c>
      <c r="O544" t="str">
        <f>IF(Table1[[#This Row],[Age]]&lt;30, "Young Adult", IF(Table1[[#This Row],[Age]]&lt;60, "Adult", "Senior"))</f>
        <v>Adult</v>
      </c>
    </row>
    <row r="545" spans="1:15" x14ac:dyDescent="0.25">
      <c r="A545" t="s">
        <v>572</v>
      </c>
      <c r="B545">
        <v>18</v>
      </c>
      <c r="C545" t="s">
        <v>13</v>
      </c>
      <c r="D545" t="s">
        <v>40</v>
      </c>
      <c r="E545" s="4">
        <v>46004</v>
      </c>
      <c r="F545" s="4">
        <v>46015</v>
      </c>
      <c r="G545" s="8">
        <v>11</v>
      </c>
      <c r="H545" t="s">
        <v>20</v>
      </c>
      <c r="I545">
        <v>0</v>
      </c>
      <c r="J545" t="s">
        <v>25</v>
      </c>
      <c r="K545" t="s">
        <v>17</v>
      </c>
      <c r="L545" s="6">
        <v>5073.55</v>
      </c>
      <c r="M545" t="str">
        <f>TEXT(Table1[[#This Row],[Admission_Date]], "mmm")</f>
        <v>Dec</v>
      </c>
      <c r="N545">
        <f>YEAR(Table1[[#This Row],[Admission_Date]])</f>
        <v>2025</v>
      </c>
      <c r="O545" t="str">
        <f>IF(Table1[[#This Row],[Age]]&lt;30, "Young Adult", IF(Table1[[#This Row],[Age]]&lt;60, "Adult", "Senior"))</f>
        <v>Young Adult</v>
      </c>
    </row>
    <row r="546" spans="1:15" x14ac:dyDescent="0.25">
      <c r="A546" t="s">
        <v>573</v>
      </c>
      <c r="B546">
        <v>41</v>
      </c>
      <c r="C546" t="s">
        <v>24</v>
      </c>
      <c r="D546" t="s">
        <v>40</v>
      </c>
      <c r="E546" s="4">
        <v>45952</v>
      </c>
      <c r="F546" s="4">
        <v>45966</v>
      </c>
      <c r="G546" s="8">
        <v>14</v>
      </c>
      <c r="H546" t="s">
        <v>15</v>
      </c>
      <c r="I546">
        <v>8</v>
      </c>
      <c r="J546" t="s">
        <v>21</v>
      </c>
      <c r="K546" t="s">
        <v>22</v>
      </c>
      <c r="L546" s="6">
        <v>8123.16</v>
      </c>
      <c r="M546" t="str">
        <f>TEXT(Table1[[#This Row],[Admission_Date]], "mmm")</f>
        <v>Oct</v>
      </c>
      <c r="N546">
        <f>YEAR(Table1[[#This Row],[Admission_Date]])</f>
        <v>2025</v>
      </c>
      <c r="O546" t="str">
        <f>IF(Table1[[#This Row],[Age]]&lt;30, "Young Adult", IF(Table1[[#This Row],[Age]]&lt;60, "Adult", "Senior"))</f>
        <v>Adult</v>
      </c>
    </row>
    <row r="547" spans="1:15" x14ac:dyDescent="0.25">
      <c r="A547" t="s">
        <v>574</v>
      </c>
      <c r="B547">
        <v>22</v>
      </c>
      <c r="C547" t="s">
        <v>24</v>
      </c>
      <c r="D547" t="s">
        <v>40</v>
      </c>
      <c r="E547" s="4">
        <v>45874</v>
      </c>
      <c r="F547" s="4">
        <v>45882</v>
      </c>
      <c r="G547" s="8">
        <v>8</v>
      </c>
      <c r="H547" t="s">
        <v>20</v>
      </c>
      <c r="I547">
        <v>0</v>
      </c>
      <c r="J547" t="s">
        <v>21</v>
      </c>
      <c r="K547" t="s">
        <v>47</v>
      </c>
      <c r="L547" s="6">
        <v>14659.35</v>
      </c>
      <c r="M547" t="str">
        <f>TEXT(Table1[[#This Row],[Admission_Date]], "mmm")</f>
        <v>Aug</v>
      </c>
      <c r="N547">
        <f>YEAR(Table1[[#This Row],[Admission_Date]])</f>
        <v>2025</v>
      </c>
      <c r="O547" t="str">
        <f>IF(Table1[[#This Row],[Age]]&lt;30, "Young Adult", IF(Table1[[#This Row],[Age]]&lt;60, "Adult", "Senior"))</f>
        <v>Young Adult</v>
      </c>
    </row>
    <row r="548" spans="1:15" x14ac:dyDescent="0.25">
      <c r="A548" t="s">
        <v>575</v>
      </c>
      <c r="B548">
        <v>19</v>
      </c>
      <c r="C548" t="s">
        <v>13</v>
      </c>
      <c r="D548" t="s">
        <v>28</v>
      </c>
      <c r="E548" s="4">
        <v>46015</v>
      </c>
      <c r="F548" s="4">
        <v>46024</v>
      </c>
      <c r="G548" s="8">
        <v>9</v>
      </c>
      <c r="H548" t="s">
        <v>20</v>
      </c>
      <c r="I548">
        <v>0</v>
      </c>
      <c r="J548" t="s">
        <v>21</v>
      </c>
      <c r="K548" t="s">
        <v>47</v>
      </c>
      <c r="L548" s="6">
        <v>8924.6200000000008</v>
      </c>
      <c r="M548" t="str">
        <f>TEXT(Table1[[#This Row],[Admission_Date]], "mmm")</f>
        <v>Dec</v>
      </c>
      <c r="N548">
        <f>YEAR(Table1[[#This Row],[Admission_Date]])</f>
        <v>2025</v>
      </c>
      <c r="O548" t="str">
        <f>IF(Table1[[#This Row],[Age]]&lt;30, "Young Adult", IF(Table1[[#This Row],[Age]]&lt;60, "Adult", "Senior"))</f>
        <v>Young Adult</v>
      </c>
    </row>
    <row r="549" spans="1:15" x14ac:dyDescent="0.25">
      <c r="A549" t="s">
        <v>576</v>
      </c>
      <c r="B549">
        <v>51</v>
      </c>
      <c r="C549" t="s">
        <v>13</v>
      </c>
      <c r="D549" t="s">
        <v>34</v>
      </c>
      <c r="E549" s="4">
        <v>45824</v>
      </c>
      <c r="F549" s="4">
        <v>45830</v>
      </c>
      <c r="G549" s="8">
        <v>6</v>
      </c>
      <c r="H549" t="s">
        <v>20</v>
      </c>
      <c r="I549">
        <v>0</v>
      </c>
      <c r="J549" t="s">
        <v>25</v>
      </c>
      <c r="K549" t="s">
        <v>22</v>
      </c>
      <c r="L549" s="6">
        <v>4406.42</v>
      </c>
      <c r="M549" t="str">
        <f>TEXT(Table1[[#This Row],[Admission_Date]], "mmm")</f>
        <v>Jun</v>
      </c>
      <c r="N549">
        <f>YEAR(Table1[[#This Row],[Admission_Date]])</f>
        <v>2025</v>
      </c>
      <c r="O549" t="str">
        <f>IF(Table1[[#This Row],[Age]]&lt;30, "Young Adult", IF(Table1[[#This Row],[Age]]&lt;60, "Adult", "Senior"))</f>
        <v>Adult</v>
      </c>
    </row>
    <row r="550" spans="1:15" x14ac:dyDescent="0.25">
      <c r="A550" t="s">
        <v>577</v>
      </c>
      <c r="B550">
        <v>81</v>
      </c>
      <c r="C550" t="s">
        <v>24</v>
      </c>
      <c r="D550" t="s">
        <v>14</v>
      </c>
      <c r="E550" s="4">
        <v>45971</v>
      </c>
      <c r="F550" s="4">
        <v>45977</v>
      </c>
      <c r="G550" s="8">
        <v>6</v>
      </c>
      <c r="H550" t="s">
        <v>20</v>
      </c>
      <c r="I550">
        <v>0</v>
      </c>
      <c r="J550" t="s">
        <v>29</v>
      </c>
      <c r="K550" t="s">
        <v>17</v>
      </c>
      <c r="L550" s="6">
        <v>11406.84</v>
      </c>
      <c r="M550" t="str">
        <f>TEXT(Table1[[#This Row],[Admission_Date]], "mmm")</f>
        <v>Nov</v>
      </c>
      <c r="N550">
        <f>YEAR(Table1[[#This Row],[Admission_Date]])</f>
        <v>2025</v>
      </c>
      <c r="O550" t="str">
        <f>IF(Table1[[#This Row],[Age]]&lt;30, "Young Adult", IF(Table1[[#This Row],[Age]]&lt;60, "Adult", "Senior"))</f>
        <v>Senior</v>
      </c>
    </row>
    <row r="551" spans="1:15" x14ac:dyDescent="0.25">
      <c r="A551" t="s">
        <v>578</v>
      </c>
      <c r="B551">
        <v>75</v>
      </c>
      <c r="C551" t="s">
        <v>13</v>
      </c>
      <c r="D551" t="s">
        <v>34</v>
      </c>
      <c r="E551" s="4">
        <v>45844</v>
      </c>
      <c r="F551" s="4">
        <v>45858</v>
      </c>
      <c r="G551" s="8">
        <v>14</v>
      </c>
      <c r="H551" t="s">
        <v>20</v>
      </c>
      <c r="I551">
        <v>0</v>
      </c>
      <c r="J551" t="s">
        <v>21</v>
      </c>
      <c r="K551" t="s">
        <v>17</v>
      </c>
      <c r="L551" s="6">
        <v>10447.17</v>
      </c>
      <c r="M551" t="str">
        <f>TEXT(Table1[[#This Row],[Admission_Date]], "mmm")</f>
        <v>Jul</v>
      </c>
      <c r="N551">
        <f>YEAR(Table1[[#This Row],[Admission_Date]])</f>
        <v>2025</v>
      </c>
      <c r="O551" t="str">
        <f>IF(Table1[[#This Row],[Age]]&lt;30, "Young Adult", IF(Table1[[#This Row],[Age]]&lt;60, "Adult", "Senior"))</f>
        <v>Senior</v>
      </c>
    </row>
    <row r="552" spans="1:15" x14ac:dyDescent="0.25">
      <c r="A552" t="s">
        <v>579</v>
      </c>
      <c r="B552">
        <v>48</v>
      </c>
      <c r="C552" t="s">
        <v>24</v>
      </c>
      <c r="D552" t="s">
        <v>40</v>
      </c>
      <c r="E552" s="4">
        <v>45709</v>
      </c>
      <c r="F552" s="4">
        <v>45721</v>
      </c>
      <c r="G552" s="8">
        <v>12</v>
      </c>
      <c r="H552" t="s">
        <v>15</v>
      </c>
      <c r="I552">
        <v>7</v>
      </c>
      <c r="J552" t="s">
        <v>21</v>
      </c>
      <c r="K552" t="s">
        <v>17</v>
      </c>
      <c r="L552" s="6">
        <v>2668.45</v>
      </c>
      <c r="M552" t="str">
        <f>TEXT(Table1[[#This Row],[Admission_Date]], "mmm")</f>
        <v>Feb</v>
      </c>
      <c r="N552">
        <f>YEAR(Table1[[#This Row],[Admission_Date]])</f>
        <v>2025</v>
      </c>
      <c r="O552" t="str">
        <f>IF(Table1[[#This Row],[Age]]&lt;30, "Young Adult", IF(Table1[[#This Row],[Age]]&lt;60, "Adult", "Senior"))</f>
        <v>Adult</v>
      </c>
    </row>
    <row r="553" spans="1:15" x14ac:dyDescent="0.25">
      <c r="A553" t="s">
        <v>580</v>
      </c>
      <c r="B553">
        <v>35</v>
      </c>
      <c r="C553" t="s">
        <v>24</v>
      </c>
      <c r="D553" t="s">
        <v>40</v>
      </c>
      <c r="E553" s="4">
        <v>45662</v>
      </c>
      <c r="F553" s="4">
        <v>45665</v>
      </c>
      <c r="G553" s="8">
        <v>3</v>
      </c>
      <c r="H553" t="s">
        <v>20</v>
      </c>
      <c r="I553">
        <v>0</v>
      </c>
      <c r="J553" t="s">
        <v>25</v>
      </c>
      <c r="K553" t="s">
        <v>47</v>
      </c>
      <c r="L553" s="6">
        <v>8651.01</v>
      </c>
      <c r="M553" t="str">
        <f>TEXT(Table1[[#This Row],[Admission_Date]], "mmm")</f>
        <v>Jan</v>
      </c>
      <c r="N553">
        <f>YEAR(Table1[[#This Row],[Admission_Date]])</f>
        <v>2025</v>
      </c>
      <c r="O553" t="str">
        <f>IF(Table1[[#This Row],[Age]]&lt;30, "Young Adult", IF(Table1[[#This Row],[Age]]&lt;60, "Adult", "Senior"))</f>
        <v>Adult</v>
      </c>
    </row>
    <row r="554" spans="1:15" x14ac:dyDescent="0.25">
      <c r="A554" t="s">
        <v>581</v>
      </c>
      <c r="B554">
        <v>38</v>
      </c>
      <c r="C554" t="s">
        <v>13</v>
      </c>
      <c r="D554" t="s">
        <v>14</v>
      </c>
      <c r="E554" s="4">
        <v>45948</v>
      </c>
      <c r="F554" s="4">
        <v>45949</v>
      </c>
      <c r="G554" s="8">
        <v>1</v>
      </c>
      <c r="H554" t="s">
        <v>20</v>
      </c>
      <c r="I554">
        <v>0</v>
      </c>
      <c r="J554" t="s">
        <v>25</v>
      </c>
      <c r="K554" t="s">
        <v>47</v>
      </c>
      <c r="L554" s="6">
        <v>12665.09</v>
      </c>
      <c r="M554" t="str">
        <f>TEXT(Table1[[#This Row],[Admission_Date]], "mmm")</f>
        <v>Oct</v>
      </c>
      <c r="N554">
        <f>YEAR(Table1[[#This Row],[Admission_Date]])</f>
        <v>2025</v>
      </c>
      <c r="O554" t="str">
        <f>IF(Table1[[#This Row],[Age]]&lt;30, "Young Adult", IF(Table1[[#This Row],[Age]]&lt;60, "Adult", "Senior"))</f>
        <v>Adult</v>
      </c>
    </row>
    <row r="555" spans="1:15" x14ac:dyDescent="0.25">
      <c r="A555" t="s">
        <v>582</v>
      </c>
      <c r="B555">
        <v>51</v>
      </c>
      <c r="C555" t="s">
        <v>24</v>
      </c>
      <c r="D555" t="s">
        <v>32</v>
      </c>
      <c r="E555" s="4">
        <v>45707</v>
      </c>
      <c r="F555" s="4">
        <v>45715</v>
      </c>
      <c r="G555" s="8">
        <v>8</v>
      </c>
      <c r="H555" t="s">
        <v>20</v>
      </c>
      <c r="I555">
        <v>0</v>
      </c>
      <c r="J555" t="s">
        <v>25</v>
      </c>
      <c r="K555" t="s">
        <v>47</v>
      </c>
      <c r="L555" s="6">
        <v>787.61</v>
      </c>
      <c r="M555" t="str">
        <f>TEXT(Table1[[#This Row],[Admission_Date]], "mmm")</f>
        <v>Feb</v>
      </c>
      <c r="N555">
        <f>YEAR(Table1[[#This Row],[Admission_Date]])</f>
        <v>2025</v>
      </c>
      <c r="O555" t="str">
        <f>IF(Table1[[#This Row],[Age]]&lt;30, "Young Adult", IF(Table1[[#This Row],[Age]]&lt;60, "Adult", "Senior"))</f>
        <v>Adult</v>
      </c>
    </row>
    <row r="556" spans="1:15" x14ac:dyDescent="0.25">
      <c r="A556" t="s">
        <v>583</v>
      </c>
      <c r="B556">
        <v>43</v>
      </c>
      <c r="C556" t="s">
        <v>13</v>
      </c>
      <c r="D556" t="s">
        <v>32</v>
      </c>
      <c r="E556" s="4">
        <v>45720</v>
      </c>
      <c r="F556" s="4">
        <v>45726</v>
      </c>
      <c r="G556" s="8">
        <v>6</v>
      </c>
      <c r="H556" t="s">
        <v>20</v>
      </c>
      <c r="I556">
        <v>0</v>
      </c>
      <c r="J556" t="s">
        <v>25</v>
      </c>
      <c r="K556" t="s">
        <v>47</v>
      </c>
      <c r="L556" s="6">
        <v>10261.299999999999</v>
      </c>
      <c r="M556" t="str">
        <f>TEXT(Table1[[#This Row],[Admission_Date]], "mmm")</f>
        <v>Mar</v>
      </c>
      <c r="N556">
        <f>YEAR(Table1[[#This Row],[Admission_Date]])</f>
        <v>2025</v>
      </c>
      <c r="O556" t="str">
        <f>IF(Table1[[#This Row],[Age]]&lt;30, "Young Adult", IF(Table1[[#This Row],[Age]]&lt;60, "Adult", "Senior"))</f>
        <v>Adult</v>
      </c>
    </row>
    <row r="557" spans="1:15" x14ac:dyDescent="0.25">
      <c r="A557" t="s">
        <v>584</v>
      </c>
      <c r="B557">
        <v>28</v>
      </c>
      <c r="C557" t="s">
        <v>24</v>
      </c>
      <c r="D557" t="s">
        <v>34</v>
      </c>
      <c r="E557" s="4">
        <v>45907</v>
      </c>
      <c r="F557" s="4">
        <v>45920</v>
      </c>
      <c r="G557" s="8">
        <v>13</v>
      </c>
      <c r="H557" t="s">
        <v>20</v>
      </c>
      <c r="I557">
        <v>0</v>
      </c>
      <c r="J557" t="s">
        <v>25</v>
      </c>
      <c r="K557" t="s">
        <v>47</v>
      </c>
      <c r="L557" s="6">
        <v>9659.83</v>
      </c>
      <c r="M557" t="str">
        <f>TEXT(Table1[[#This Row],[Admission_Date]], "mmm")</f>
        <v>Sep</v>
      </c>
      <c r="N557">
        <f>YEAR(Table1[[#This Row],[Admission_Date]])</f>
        <v>2025</v>
      </c>
      <c r="O557" t="str">
        <f>IF(Table1[[#This Row],[Age]]&lt;30, "Young Adult", IF(Table1[[#This Row],[Age]]&lt;60, "Adult", "Senior"))</f>
        <v>Young Adult</v>
      </c>
    </row>
    <row r="558" spans="1:15" x14ac:dyDescent="0.25">
      <c r="A558" t="s">
        <v>585</v>
      </c>
      <c r="B558">
        <v>61</v>
      </c>
      <c r="C558" t="s">
        <v>24</v>
      </c>
      <c r="D558" t="s">
        <v>28</v>
      </c>
      <c r="E558" s="4">
        <v>45732</v>
      </c>
      <c r="F558" s="4">
        <v>45746</v>
      </c>
      <c r="G558" s="8">
        <v>14</v>
      </c>
      <c r="H558" t="s">
        <v>15</v>
      </c>
      <c r="I558">
        <v>20</v>
      </c>
      <c r="J558" t="s">
        <v>29</v>
      </c>
      <c r="K558" t="s">
        <v>22</v>
      </c>
      <c r="L558" s="6">
        <v>1647.12</v>
      </c>
      <c r="M558" t="str">
        <f>TEXT(Table1[[#This Row],[Admission_Date]], "mmm")</f>
        <v>Mar</v>
      </c>
      <c r="N558">
        <f>YEAR(Table1[[#This Row],[Admission_Date]])</f>
        <v>2025</v>
      </c>
      <c r="O558" t="str">
        <f>IF(Table1[[#This Row],[Age]]&lt;30, "Young Adult", IF(Table1[[#This Row],[Age]]&lt;60, "Adult", "Senior"))</f>
        <v>Senior</v>
      </c>
    </row>
    <row r="559" spans="1:15" x14ac:dyDescent="0.25">
      <c r="A559" t="s">
        <v>586</v>
      </c>
      <c r="B559">
        <v>55</v>
      </c>
      <c r="C559" t="s">
        <v>24</v>
      </c>
      <c r="D559" t="s">
        <v>34</v>
      </c>
      <c r="E559" s="4">
        <v>45833</v>
      </c>
      <c r="F559" s="4">
        <v>45837</v>
      </c>
      <c r="G559" s="8">
        <v>4</v>
      </c>
      <c r="H559" t="s">
        <v>20</v>
      </c>
      <c r="I559">
        <v>0</v>
      </c>
      <c r="J559" t="s">
        <v>29</v>
      </c>
      <c r="K559" t="s">
        <v>47</v>
      </c>
      <c r="L559" s="6">
        <v>13371.53</v>
      </c>
      <c r="M559" t="str">
        <f>TEXT(Table1[[#This Row],[Admission_Date]], "mmm")</f>
        <v>Jun</v>
      </c>
      <c r="N559">
        <f>YEAR(Table1[[#This Row],[Admission_Date]])</f>
        <v>2025</v>
      </c>
      <c r="O559" t="str">
        <f>IF(Table1[[#This Row],[Age]]&lt;30, "Young Adult", IF(Table1[[#This Row],[Age]]&lt;60, "Adult", "Senior"))</f>
        <v>Adult</v>
      </c>
    </row>
    <row r="560" spans="1:15" x14ac:dyDescent="0.25">
      <c r="A560" t="s">
        <v>587</v>
      </c>
      <c r="B560">
        <v>75</v>
      </c>
      <c r="C560" t="s">
        <v>24</v>
      </c>
      <c r="D560" t="s">
        <v>14</v>
      </c>
      <c r="E560" s="4">
        <v>45843</v>
      </c>
      <c r="F560" s="4">
        <v>45855</v>
      </c>
      <c r="G560" s="8">
        <v>12</v>
      </c>
      <c r="H560" t="s">
        <v>20</v>
      </c>
      <c r="I560">
        <v>0</v>
      </c>
      <c r="J560" t="s">
        <v>21</v>
      </c>
      <c r="K560" t="s">
        <v>22</v>
      </c>
      <c r="L560" s="6">
        <v>2313.08</v>
      </c>
      <c r="M560" t="str">
        <f>TEXT(Table1[[#This Row],[Admission_Date]], "mmm")</f>
        <v>Jul</v>
      </c>
      <c r="N560">
        <f>YEAR(Table1[[#This Row],[Admission_Date]])</f>
        <v>2025</v>
      </c>
      <c r="O560" t="str">
        <f>IF(Table1[[#This Row],[Age]]&lt;30, "Young Adult", IF(Table1[[#This Row],[Age]]&lt;60, "Adult", "Senior"))</f>
        <v>Senior</v>
      </c>
    </row>
    <row r="561" spans="1:15" x14ac:dyDescent="0.25">
      <c r="A561" t="s">
        <v>588</v>
      </c>
      <c r="B561">
        <v>28</v>
      </c>
      <c r="C561" t="s">
        <v>13</v>
      </c>
      <c r="D561" t="s">
        <v>14</v>
      </c>
      <c r="E561" s="4">
        <v>45778</v>
      </c>
      <c r="F561" s="4">
        <v>45789</v>
      </c>
      <c r="G561" s="8">
        <v>11</v>
      </c>
      <c r="H561" t="s">
        <v>15</v>
      </c>
      <c r="I561">
        <v>13</v>
      </c>
      <c r="J561" t="s">
        <v>16</v>
      </c>
      <c r="K561" t="s">
        <v>22</v>
      </c>
      <c r="L561" s="6">
        <v>1424.99</v>
      </c>
      <c r="M561" t="str">
        <f>TEXT(Table1[[#This Row],[Admission_Date]], "mmm")</f>
        <v>May</v>
      </c>
      <c r="N561">
        <f>YEAR(Table1[[#This Row],[Admission_Date]])</f>
        <v>2025</v>
      </c>
      <c r="O561" t="str">
        <f>IF(Table1[[#This Row],[Age]]&lt;30, "Young Adult", IF(Table1[[#This Row],[Age]]&lt;60, "Adult", "Senior"))</f>
        <v>Young Adult</v>
      </c>
    </row>
    <row r="562" spans="1:15" x14ac:dyDescent="0.25">
      <c r="A562" t="s">
        <v>589</v>
      </c>
      <c r="B562">
        <v>68</v>
      </c>
      <c r="C562" t="s">
        <v>13</v>
      </c>
      <c r="D562" t="s">
        <v>19</v>
      </c>
      <c r="E562" s="4">
        <v>45900</v>
      </c>
      <c r="F562" s="4">
        <v>45909</v>
      </c>
      <c r="G562" s="8">
        <v>9</v>
      </c>
      <c r="H562" t="s">
        <v>15</v>
      </c>
      <c r="I562">
        <v>9</v>
      </c>
      <c r="J562" t="s">
        <v>21</v>
      </c>
      <c r="K562" t="s">
        <v>22</v>
      </c>
      <c r="L562" s="6">
        <v>9995.07</v>
      </c>
      <c r="M562" t="str">
        <f>TEXT(Table1[[#This Row],[Admission_Date]], "mmm")</f>
        <v>Aug</v>
      </c>
      <c r="N562">
        <f>YEAR(Table1[[#This Row],[Admission_Date]])</f>
        <v>2025</v>
      </c>
      <c r="O562" t="str">
        <f>IF(Table1[[#This Row],[Age]]&lt;30, "Young Adult", IF(Table1[[#This Row],[Age]]&lt;60, "Adult", "Senior"))</f>
        <v>Senior</v>
      </c>
    </row>
    <row r="563" spans="1:15" x14ac:dyDescent="0.25">
      <c r="A563" t="s">
        <v>590</v>
      </c>
      <c r="B563">
        <v>54</v>
      </c>
      <c r="C563" t="s">
        <v>24</v>
      </c>
      <c r="D563" t="s">
        <v>28</v>
      </c>
      <c r="E563" s="4">
        <v>45857</v>
      </c>
      <c r="F563" s="4">
        <v>45862</v>
      </c>
      <c r="G563" s="8">
        <v>5</v>
      </c>
      <c r="H563" t="s">
        <v>15</v>
      </c>
      <c r="I563">
        <v>5</v>
      </c>
      <c r="J563" t="s">
        <v>21</v>
      </c>
      <c r="K563" t="s">
        <v>17</v>
      </c>
      <c r="L563" s="6">
        <v>12658.51</v>
      </c>
      <c r="M563" t="str">
        <f>TEXT(Table1[[#This Row],[Admission_Date]], "mmm")</f>
        <v>Jul</v>
      </c>
      <c r="N563">
        <f>YEAR(Table1[[#This Row],[Admission_Date]])</f>
        <v>2025</v>
      </c>
      <c r="O563" t="str">
        <f>IF(Table1[[#This Row],[Age]]&lt;30, "Young Adult", IF(Table1[[#This Row],[Age]]&lt;60, "Adult", "Senior"))</f>
        <v>Adult</v>
      </c>
    </row>
    <row r="564" spans="1:15" x14ac:dyDescent="0.25">
      <c r="A564" t="s">
        <v>591</v>
      </c>
      <c r="B564">
        <v>59</v>
      </c>
      <c r="C564" t="s">
        <v>24</v>
      </c>
      <c r="D564" t="s">
        <v>40</v>
      </c>
      <c r="E564" s="4">
        <v>45672</v>
      </c>
      <c r="F564" s="4">
        <v>45673</v>
      </c>
      <c r="G564" s="8">
        <v>1</v>
      </c>
      <c r="H564" t="s">
        <v>20</v>
      </c>
      <c r="I564">
        <v>0</v>
      </c>
      <c r="J564" t="s">
        <v>25</v>
      </c>
      <c r="K564" t="s">
        <v>17</v>
      </c>
      <c r="L564" s="6">
        <v>6950.25</v>
      </c>
      <c r="M564" t="str">
        <f>TEXT(Table1[[#This Row],[Admission_Date]], "mmm")</f>
        <v>Jan</v>
      </c>
      <c r="N564">
        <f>YEAR(Table1[[#This Row],[Admission_Date]])</f>
        <v>2025</v>
      </c>
      <c r="O564" t="str">
        <f>IF(Table1[[#This Row],[Age]]&lt;30, "Young Adult", IF(Table1[[#This Row],[Age]]&lt;60, "Adult", "Senior"))</f>
        <v>Adult</v>
      </c>
    </row>
    <row r="565" spans="1:15" x14ac:dyDescent="0.25">
      <c r="A565" t="s">
        <v>592</v>
      </c>
      <c r="B565">
        <v>76</v>
      </c>
      <c r="C565" t="s">
        <v>24</v>
      </c>
      <c r="D565" t="s">
        <v>34</v>
      </c>
      <c r="E565" s="4">
        <v>46015</v>
      </c>
      <c r="F565" s="4">
        <v>46024</v>
      </c>
      <c r="G565" s="8">
        <v>9</v>
      </c>
      <c r="H565" t="s">
        <v>15</v>
      </c>
      <c r="I565">
        <v>21</v>
      </c>
      <c r="J565" t="s">
        <v>25</v>
      </c>
      <c r="K565" t="s">
        <v>47</v>
      </c>
      <c r="L565" s="6">
        <v>7483.95</v>
      </c>
      <c r="M565" t="str">
        <f>TEXT(Table1[[#This Row],[Admission_Date]], "mmm")</f>
        <v>Dec</v>
      </c>
      <c r="N565">
        <f>YEAR(Table1[[#This Row],[Admission_Date]])</f>
        <v>2025</v>
      </c>
      <c r="O565" t="str">
        <f>IF(Table1[[#This Row],[Age]]&lt;30, "Young Adult", IF(Table1[[#This Row],[Age]]&lt;60, "Adult", "Senior"))</f>
        <v>Senior</v>
      </c>
    </row>
    <row r="566" spans="1:15" x14ac:dyDescent="0.25">
      <c r="A566" t="s">
        <v>593</v>
      </c>
      <c r="B566">
        <v>57</v>
      </c>
      <c r="C566" t="s">
        <v>24</v>
      </c>
      <c r="D566" t="s">
        <v>40</v>
      </c>
      <c r="E566" s="4">
        <v>45774</v>
      </c>
      <c r="F566" s="4">
        <v>45787</v>
      </c>
      <c r="G566" s="8">
        <v>13</v>
      </c>
      <c r="H566" t="s">
        <v>15</v>
      </c>
      <c r="I566">
        <v>9</v>
      </c>
      <c r="J566" t="s">
        <v>21</v>
      </c>
      <c r="K566" t="s">
        <v>47</v>
      </c>
      <c r="L566" s="6">
        <v>653.05999999999995</v>
      </c>
      <c r="M566" t="str">
        <f>TEXT(Table1[[#This Row],[Admission_Date]], "mmm")</f>
        <v>Apr</v>
      </c>
      <c r="N566">
        <f>YEAR(Table1[[#This Row],[Admission_Date]])</f>
        <v>2025</v>
      </c>
      <c r="O566" t="str">
        <f>IF(Table1[[#This Row],[Age]]&lt;30, "Young Adult", IF(Table1[[#This Row],[Age]]&lt;60, "Adult", "Senior"))</f>
        <v>Adult</v>
      </c>
    </row>
    <row r="567" spans="1:15" x14ac:dyDescent="0.25">
      <c r="A567" t="s">
        <v>594</v>
      </c>
      <c r="B567">
        <v>35</v>
      </c>
      <c r="C567" t="s">
        <v>24</v>
      </c>
      <c r="D567" t="s">
        <v>32</v>
      </c>
      <c r="E567" s="4">
        <v>45925</v>
      </c>
      <c r="F567" s="4">
        <v>45939</v>
      </c>
      <c r="G567" s="8">
        <v>14</v>
      </c>
      <c r="H567" t="s">
        <v>20</v>
      </c>
      <c r="I567">
        <v>0</v>
      </c>
      <c r="J567" t="s">
        <v>29</v>
      </c>
      <c r="K567" t="s">
        <v>17</v>
      </c>
      <c r="L567" s="6">
        <v>620.6</v>
      </c>
      <c r="M567" t="str">
        <f>TEXT(Table1[[#This Row],[Admission_Date]], "mmm")</f>
        <v>Sep</v>
      </c>
      <c r="N567">
        <f>YEAR(Table1[[#This Row],[Admission_Date]])</f>
        <v>2025</v>
      </c>
      <c r="O567" t="str">
        <f>IF(Table1[[#This Row],[Age]]&lt;30, "Young Adult", IF(Table1[[#This Row],[Age]]&lt;60, "Adult", "Senior"))</f>
        <v>Adult</v>
      </c>
    </row>
    <row r="568" spans="1:15" x14ac:dyDescent="0.25">
      <c r="A568" t="s">
        <v>595</v>
      </c>
      <c r="B568">
        <v>19</v>
      </c>
      <c r="C568" t="s">
        <v>24</v>
      </c>
      <c r="D568" t="s">
        <v>32</v>
      </c>
      <c r="E568" s="4">
        <v>45909</v>
      </c>
      <c r="F568" s="4">
        <v>45922</v>
      </c>
      <c r="G568" s="8">
        <v>13</v>
      </c>
      <c r="H568" t="s">
        <v>20</v>
      </c>
      <c r="I568">
        <v>0</v>
      </c>
      <c r="J568" t="s">
        <v>21</v>
      </c>
      <c r="K568" t="s">
        <v>22</v>
      </c>
      <c r="L568" s="6">
        <v>8449.08</v>
      </c>
      <c r="M568" t="str">
        <f>TEXT(Table1[[#This Row],[Admission_Date]], "mmm")</f>
        <v>Sep</v>
      </c>
      <c r="N568">
        <f>YEAR(Table1[[#This Row],[Admission_Date]])</f>
        <v>2025</v>
      </c>
      <c r="O568" t="str">
        <f>IF(Table1[[#This Row],[Age]]&lt;30, "Young Adult", IF(Table1[[#This Row],[Age]]&lt;60, "Adult", "Senior"))</f>
        <v>Young Adult</v>
      </c>
    </row>
    <row r="569" spans="1:15" x14ac:dyDescent="0.25">
      <c r="A569" t="s">
        <v>596</v>
      </c>
      <c r="B569">
        <v>73</v>
      </c>
      <c r="C569" t="s">
        <v>24</v>
      </c>
      <c r="D569" t="s">
        <v>14</v>
      </c>
      <c r="E569" s="4">
        <v>45754</v>
      </c>
      <c r="F569" s="4">
        <v>45761</v>
      </c>
      <c r="G569" s="8">
        <v>7</v>
      </c>
      <c r="H569" t="s">
        <v>20</v>
      </c>
      <c r="I569">
        <v>0</v>
      </c>
      <c r="J569" t="s">
        <v>21</v>
      </c>
      <c r="K569" t="s">
        <v>17</v>
      </c>
      <c r="L569" s="6">
        <v>11188.21</v>
      </c>
      <c r="M569" t="str">
        <f>TEXT(Table1[[#This Row],[Admission_Date]], "mmm")</f>
        <v>Apr</v>
      </c>
      <c r="N569">
        <f>YEAR(Table1[[#This Row],[Admission_Date]])</f>
        <v>2025</v>
      </c>
      <c r="O569" t="str">
        <f>IF(Table1[[#This Row],[Age]]&lt;30, "Young Adult", IF(Table1[[#This Row],[Age]]&lt;60, "Adult", "Senior"))</f>
        <v>Senior</v>
      </c>
    </row>
    <row r="570" spans="1:15" x14ac:dyDescent="0.25">
      <c r="A570" t="s">
        <v>597</v>
      </c>
      <c r="B570">
        <v>51</v>
      </c>
      <c r="C570" t="s">
        <v>13</v>
      </c>
      <c r="D570" t="s">
        <v>40</v>
      </c>
      <c r="E570" s="4">
        <v>45857</v>
      </c>
      <c r="F570" s="4">
        <v>45871</v>
      </c>
      <c r="G570" s="8">
        <v>14</v>
      </c>
      <c r="H570" t="s">
        <v>20</v>
      </c>
      <c r="I570">
        <v>0</v>
      </c>
      <c r="J570" t="s">
        <v>21</v>
      </c>
      <c r="K570" t="s">
        <v>17</v>
      </c>
      <c r="L570" s="6">
        <v>11585.81</v>
      </c>
      <c r="M570" t="str">
        <f>TEXT(Table1[[#This Row],[Admission_Date]], "mmm")</f>
        <v>Jul</v>
      </c>
      <c r="N570">
        <f>YEAR(Table1[[#This Row],[Admission_Date]])</f>
        <v>2025</v>
      </c>
      <c r="O570" t="str">
        <f>IF(Table1[[#This Row],[Age]]&lt;30, "Young Adult", IF(Table1[[#This Row],[Age]]&lt;60, "Adult", "Senior"))</f>
        <v>Adult</v>
      </c>
    </row>
    <row r="571" spans="1:15" x14ac:dyDescent="0.25">
      <c r="A571" t="s">
        <v>598</v>
      </c>
      <c r="B571">
        <v>52</v>
      </c>
      <c r="C571" t="s">
        <v>24</v>
      </c>
      <c r="D571" t="s">
        <v>28</v>
      </c>
      <c r="E571" s="4">
        <v>45971</v>
      </c>
      <c r="F571" s="4">
        <v>45984</v>
      </c>
      <c r="G571" s="8">
        <v>13</v>
      </c>
      <c r="H571" t="s">
        <v>20</v>
      </c>
      <c r="I571">
        <v>0</v>
      </c>
      <c r="J571" t="s">
        <v>25</v>
      </c>
      <c r="K571" t="s">
        <v>47</v>
      </c>
      <c r="L571" s="6">
        <v>3226.01</v>
      </c>
      <c r="M571" t="str">
        <f>TEXT(Table1[[#This Row],[Admission_Date]], "mmm")</f>
        <v>Nov</v>
      </c>
      <c r="N571">
        <f>YEAR(Table1[[#This Row],[Admission_Date]])</f>
        <v>2025</v>
      </c>
      <c r="O571" t="str">
        <f>IF(Table1[[#This Row],[Age]]&lt;30, "Young Adult", IF(Table1[[#This Row],[Age]]&lt;60, "Adult", "Senior"))</f>
        <v>Adult</v>
      </c>
    </row>
    <row r="572" spans="1:15" x14ac:dyDescent="0.25">
      <c r="A572" t="s">
        <v>599</v>
      </c>
      <c r="B572">
        <v>32</v>
      </c>
      <c r="C572" t="s">
        <v>24</v>
      </c>
      <c r="D572" t="s">
        <v>34</v>
      </c>
      <c r="E572" s="4">
        <v>45693</v>
      </c>
      <c r="F572" s="4">
        <v>45696</v>
      </c>
      <c r="G572" s="8">
        <v>3</v>
      </c>
      <c r="H572" t="s">
        <v>15</v>
      </c>
      <c r="I572">
        <v>15</v>
      </c>
      <c r="J572" t="s">
        <v>25</v>
      </c>
      <c r="K572" t="s">
        <v>17</v>
      </c>
      <c r="L572" s="6">
        <v>9529.93</v>
      </c>
      <c r="M572" t="str">
        <f>TEXT(Table1[[#This Row],[Admission_Date]], "mmm")</f>
        <v>Feb</v>
      </c>
      <c r="N572">
        <f>YEAR(Table1[[#This Row],[Admission_Date]])</f>
        <v>2025</v>
      </c>
      <c r="O572" t="str">
        <f>IF(Table1[[#This Row],[Age]]&lt;30, "Young Adult", IF(Table1[[#This Row],[Age]]&lt;60, "Adult", "Senior"))</f>
        <v>Adult</v>
      </c>
    </row>
    <row r="573" spans="1:15" x14ac:dyDescent="0.25">
      <c r="A573" t="s">
        <v>600</v>
      </c>
      <c r="B573">
        <v>24</v>
      </c>
      <c r="C573" t="s">
        <v>13</v>
      </c>
      <c r="D573" t="s">
        <v>14</v>
      </c>
      <c r="E573" s="4">
        <v>45754</v>
      </c>
      <c r="F573" s="4">
        <v>45760</v>
      </c>
      <c r="G573" s="8">
        <v>6</v>
      </c>
      <c r="H573" t="s">
        <v>15</v>
      </c>
      <c r="I573">
        <v>4</v>
      </c>
      <c r="J573" t="s">
        <v>25</v>
      </c>
      <c r="K573" t="s">
        <v>47</v>
      </c>
      <c r="L573" s="6">
        <v>2313.0700000000002</v>
      </c>
      <c r="M573" t="str">
        <f>TEXT(Table1[[#This Row],[Admission_Date]], "mmm")</f>
        <v>Apr</v>
      </c>
      <c r="N573">
        <f>YEAR(Table1[[#This Row],[Admission_Date]])</f>
        <v>2025</v>
      </c>
      <c r="O573" t="str">
        <f>IF(Table1[[#This Row],[Age]]&lt;30, "Young Adult", IF(Table1[[#This Row],[Age]]&lt;60, "Adult", "Senior"))</f>
        <v>Young Adult</v>
      </c>
    </row>
    <row r="574" spans="1:15" x14ac:dyDescent="0.25">
      <c r="A574" t="s">
        <v>601</v>
      </c>
      <c r="B574">
        <v>29</v>
      </c>
      <c r="C574" t="s">
        <v>13</v>
      </c>
      <c r="D574" t="s">
        <v>19</v>
      </c>
      <c r="E574" s="4">
        <v>45882</v>
      </c>
      <c r="F574" s="4">
        <v>45894</v>
      </c>
      <c r="G574" s="8">
        <v>12</v>
      </c>
      <c r="H574" t="s">
        <v>15</v>
      </c>
      <c r="I574">
        <v>16</v>
      </c>
      <c r="J574" t="s">
        <v>21</v>
      </c>
      <c r="K574" t="s">
        <v>47</v>
      </c>
      <c r="L574" s="6">
        <v>6593.52</v>
      </c>
      <c r="M574" t="str">
        <f>TEXT(Table1[[#This Row],[Admission_Date]], "mmm")</f>
        <v>Aug</v>
      </c>
      <c r="N574">
        <f>YEAR(Table1[[#This Row],[Admission_Date]])</f>
        <v>2025</v>
      </c>
      <c r="O574" t="str">
        <f>IF(Table1[[#This Row],[Age]]&lt;30, "Young Adult", IF(Table1[[#This Row],[Age]]&lt;60, "Adult", "Senior"))</f>
        <v>Young Adult</v>
      </c>
    </row>
    <row r="575" spans="1:15" x14ac:dyDescent="0.25">
      <c r="A575" t="s">
        <v>602</v>
      </c>
      <c r="B575">
        <v>22</v>
      </c>
      <c r="C575" t="s">
        <v>24</v>
      </c>
      <c r="D575" t="s">
        <v>19</v>
      </c>
      <c r="E575" s="4">
        <v>45913</v>
      </c>
      <c r="F575" s="4">
        <v>45919</v>
      </c>
      <c r="G575" s="8">
        <v>6</v>
      </c>
      <c r="H575" t="s">
        <v>20</v>
      </c>
      <c r="I575">
        <v>0</v>
      </c>
      <c r="J575" t="s">
        <v>21</v>
      </c>
      <c r="K575" t="s">
        <v>22</v>
      </c>
      <c r="L575" s="6">
        <v>4364.3</v>
      </c>
      <c r="M575" t="str">
        <f>TEXT(Table1[[#This Row],[Admission_Date]], "mmm")</f>
        <v>Sep</v>
      </c>
      <c r="N575">
        <f>YEAR(Table1[[#This Row],[Admission_Date]])</f>
        <v>2025</v>
      </c>
      <c r="O575" t="str">
        <f>IF(Table1[[#This Row],[Age]]&lt;30, "Young Adult", IF(Table1[[#This Row],[Age]]&lt;60, "Adult", "Senior"))</f>
        <v>Young Adult</v>
      </c>
    </row>
    <row r="576" spans="1:15" x14ac:dyDescent="0.25">
      <c r="A576" t="s">
        <v>603</v>
      </c>
      <c r="B576">
        <v>41</v>
      </c>
      <c r="C576" t="s">
        <v>13</v>
      </c>
      <c r="D576" t="s">
        <v>32</v>
      </c>
      <c r="E576" s="4">
        <v>45858</v>
      </c>
      <c r="F576" s="4">
        <v>45860</v>
      </c>
      <c r="G576" s="8">
        <v>2</v>
      </c>
      <c r="H576" t="s">
        <v>20</v>
      </c>
      <c r="I576">
        <v>0</v>
      </c>
      <c r="J576" t="s">
        <v>29</v>
      </c>
      <c r="K576" t="s">
        <v>22</v>
      </c>
      <c r="L576" s="6">
        <v>2268.44</v>
      </c>
      <c r="M576" t="str">
        <f>TEXT(Table1[[#This Row],[Admission_Date]], "mmm")</f>
        <v>Jul</v>
      </c>
      <c r="N576">
        <f>YEAR(Table1[[#This Row],[Admission_Date]])</f>
        <v>2025</v>
      </c>
      <c r="O576" t="str">
        <f>IF(Table1[[#This Row],[Age]]&lt;30, "Young Adult", IF(Table1[[#This Row],[Age]]&lt;60, "Adult", "Senior"))</f>
        <v>Adult</v>
      </c>
    </row>
    <row r="577" spans="1:15" x14ac:dyDescent="0.25">
      <c r="A577" t="s">
        <v>604</v>
      </c>
      <c r="B577">
        <v>74</v>
      </c>
      <c r="C577" t="s">
        <v>13</v>
      </c>
      <c r="D577" t="s">
        <v>28</v>
      </c>
      <c r="E577" s="4">
        <v>45785</v>
      </c>
      <c r="F577" s="4">
        <v>45792</v>
      </c>
      <c r="G577" s="8">
        <v>7</v>
      </c>
      <c r="H577" t="s">
        <v>20</v>
      </c>
      <c r="I577">
        <v>0</v>
      </c>
      <c r="J577" t="s">
        <v>16</v>
      </c>
      <c r="K577" t="s">
        <v>22</v>
      </c>
      <c r="L577" s="6">
        <v>7182.1</v>
      </c>
      <c r="M577" t="str">
        <f>TEXT(Table1[[#This Row],[Admission_Date]], "mmm")</f>
        <v>May</v>
      </c>
      <c r="N577">
        <f>YEAR(Table1[[#This Row],[Admission_Date]])</f>
        <v>2025</v>
      </c>
      <c r="O577" t="str">
        <f>IF(Table1[[#This Row],[Age]]&lt;30, "Young Adult", IF(Table1[[#This Row],[Age]]&lt;60, "Adult", "Senior"))</f>
        <v>Senior</v>
      </c>
    </row>
    <row r="578" spans="1:15" x14ac:dyDescent="0.25">
      <c r="A578" t="s">
        <v>605</v>
      </c>
      <c r="B578">
        <v>44</v>
      </c>
      <c r="C578" t="s">
        <v>24</v>
      </c>
      <c r="D578" t="s">
        <v>40</v>
      </c>
      <c r="E578" s="4">
        <v>45706</v>
      </c>
      <c r="F578" s="4">
        <v>45715</v>
      </c>
      <c r="G578" s="8">
        <v>9</v>
      </c>
      <c r="H578" t="s">
        <v>20</v>
      </c>
      <c r="I578">
        <v>0</v>
      </c>
      <c r="J578" t="s">
        <v>25</v>
      </c>
      <c r="K578" t="s">
        <v>47</v>
      </c>
      <c r="L578" s="6">
        <v>2799.87</v>
      </c>
      <c r="M578" t="str">
        <f>TEXT(Table1[[#This Row],[Admission_Date]], "mmm")</f>
        <v>Feb</v>
      </c>
      <c r="N578">
        <f>YEAR(Table1[[#This Row],[Admission_Date]])</f>
        <v>2025</v>
      </c>
      <c r="O578" t="str">
        <f>IF(Table1[[#This Row],[Age]]&lt;30, "Young Adult", IF(Table1[[#This Row],[Age]]&lt;60, "Adult", "Senior"))</f>
        <v>Adult</v>
      </c>
    </row>
    <row r="579" spans="1:15" x14ac:dyDescent="0.25">
      <c r="A579" t="s">
        <v>606</v>
      </c>
      <c r="B579">
        <v>84</v>
      </c>
      <c r="C579" t="s">
        <v>13</v>
      </c>
      <c r="D579" t="s">
        <v>32</v>
      </c>
      <c r="E579" s="4">
        <v>45679</v>
      </c>
      <c r="F579" s="4">
        <v>45691</v>
      </c>
      <c r="G579" s="8">
        <v>12</v>
      </c>
      <c r="H579" t="s">
        <v>20</v>
      </c>
      <c r="I579">
        <v>0</v>
      </c>
      <c r="J579" t="s">
        <v>29</v>
      </c>
      <c r="K579" t="s">
        <v>17</v>
      </c>
      <c r="L579" s="6">
        <v>4832.79</v>
      </c>
      <c r="M579" t="str">
        <f>TEXT(Table1[[#This Row],[Admission_Date]], "mmm")</f>
        <v>Jan</v>
      </c>
      <c r="N579">
        <f>YEAR(Table1[[#This Row],[Admission_Date]])</f>
        <v>2025</v>
      </c>
      <c r="O579" t="str">
        <f>IF(Table1[[#This Row],[Age]]&lt;30, "Young Adult", IF(Table1[[#This Row],[Age]]&lt;60, "Adult", "Senior"))</f>
        <v>Senior</v>
      </c>
    </row>
    <row r="580" spans="1:15" x14ac:dyDescent="0.25">
      <c r="A580" t="s">
        <v>607</v>
      </c>
      <c r="B580">
        <v>45</v>
      </c>
      <c r="C580" t="s">
        <v>13</v>
      </c>
      <c r="D580" t="s">
        <v>14</v>
      </c>
      <c r="E580" s="4">
        <v>45842</v>
      </c>
      <c r="F580" s="4">
        <v>45843</v>
      </c>
      <c r="G580" s="8">
        <v>1</v>
      </c>
      <c r="H580" t="s">
        <v>20</v>
      </c>
      <c r="I580">
        <v>0</v>
      </c>
      <c r="J580" t="s">
        <v>29</v>
      </c>
      <c r="K580" t="s">
        <v>47</v>
      </c>
      <c r="L580" s="6">
        <v>718.48</v>
      </c>
      <c r="M580" t="str">
        <f>TEXT(Table1[[#This Row],[Admission_Date]], "mmm")</f>
        <v>Jul</v>
      </c>
      <c r="N580">
        <f>YEAR(Table1[[#This Row],[Admission_Date]])</f>
        <v>2025</v>
      </c>
      <c r="O580" t="str">
        <f>IF(Table1[[#This Row],[Age]]&lt;30, "Young Adult", IF(Table1[[#This Row],[Age]]&lt;60, "Adult", "Senior"))</f>
        <v>Adult</v>
      </c>
    </row>
    <row r="581" spans="1:15" x14ac:dyDescent="0.25">
      <c r="A581" t="s">
        <v>608</v>
      </c>
      <c r="B581">
        <v>49</v>
      </c>
      <c r="C581" t="s">
        <v>13</v>
      </c>
      <c r="D581" t="s">
        <v>19</v>
      </c>
      <c r="E581" s="4">
        <v>45799</v>
      </c>
      <c r="F581" s="4">
        <v>45809</v>
      </c>
      <c r="G581" s="8">
        <v>10</v>
      </c>
      <c r="H581" t="s">
        <v>15</v>
      </c>
      <c r="I581">
        <v>19</v>
      </c>
      <c r="J581" t="s">
        <v>29</v>
      </c>
      <c r="K581" t="s">
        <v>17</v>
      </c>
      <c r="L581" s="6">
        <v>9145.08</v>
      </c>
      <c r="M581" t="str">
        <f>TEXT(Table1[[#This Row],[Admission_Date]], "mmm")</f>
        <v>May</v>
      </c>
      <c r="N581">
        <f>YEAR(Table1[[#This Row],[Admission_Date]])</f>
        <v>2025</v>
      </c>
      <c r="O581" t="str">
        <f>IF(Table1[[#This Row],[Age]]&lt;30, "Young Adult", IF(Table1[[#This Row],[Age]]&lt;60, "Adult", "Senior"))</f>
        <v>Adult</v>
      </c>
    </row>
    <row r="582" spans="1:15" x14ac:dyDescent="0.25">
      <c r="A582" t="s">
        <v>609</v>
      </c>
      <c r="B582">
        <v>38</v>
      </c>
      <c r="C582" t="s">
        <v>24</v>
      </c>
      <c r="D582" t="s">
        <v>19</v>
      </c>
      <c r="E582" s="4">
        <v>45848</v>
      </c>
      <c r="F582" s="4">
        <v>45861</v>
      </c>
      <c r="G582" s="8">
        <v>13</v>
      </c>
      <c r="H582" t="s">
        <v>15</v>
      </c>
      <c r="I582">
        <v>22</v>
      </c>
      <c r="J582" t="s">
        <v>25</v>
      </c>
      <c r="K582" t="s">
        <v>17</v>
      </c>
      <c r="L582" s="6">
        <v>1370.76</v>
      </c>
      <c r="M582" t="str">
        <f>TEXT(Table1[[#This Row],[Admission_Date]], "mmm")</f>
        <v>Jul</v>
      </c>
      <c r="N582">
        <f>YEAR(Table1[[#This Row],[Admission_Date]])</f>
        <v>2025</v>
      </c>
      <c r="O582" t="str">
        <f>IF(Table1[[#This Row],[Age]]&lt;30, "Young Adult", IF(Table1[[#This Row],[Age]]&lt;60, "Adult", "Senior"))</f>
        <v>Adult</v>
      </c>
    </row>
    <row r="583" spans="1:15" x14ac:dyDescent="0.25">
      <c r="A583" t="s">
        <v>610</v>
      </c>
      <c r="B583">
        <v>86</v>
      </c>
      <c r="C583" t="s">
        <v>13</v>
      </c>
      <c r="D583" t="s">
        <v>14</v>
      </c>
      <c r="E583" s="4">
        <v>45840</v>
      </c>
      <c r="F583" s="4">
        <v>45851</v>
      </c>
      <c r="G583" s="8">
        <v>11</v>
      </c>
      <c r="H583" t="s">
        <v>15</v>
      </c>
      <c r="I583">
        <v>16</v>
      </c>
      <c r="J583" t="s">
        <v>21</v>
      </c>
      <c r="K583" t="s">
        <v>47</v>
      </c>
      <c r="L583" s="6">
        <v>14734.3</v>
      </c>
      <c r="M583" t="str">
        <f>TEXT(Table1[[#This Row],[Admission_Date]], "mmm")</f>
        <v>Jul</v>
      </c>
      <c r="N583">
        <f>YEAR(Table1[[#This Row],[Admission_Date]])</f>
        <v>2025</v>
      </c>
      <c r="O583" t="str">
        <f>IF(Table1[[#This Row],[Age]]&lt;30, "Young Adult", IF(Table1[[#This Row],[Age]]&lt;60, "Adult", "Senior"))</f>
        <v>Senior</v>
      </c>
    </row>
    <row r="584" spans="1:15" x14ac:dyDescent="0.25">
      <c r="A584" t="s">
        <v>611</v>
      </c>
      <c r="B584">
        <v>74</v>
      </c>
      <c r="C584" t="s">
        <v>13</v>
      </c>
      <c r="D584" t="s">
        <v>19</v>
      </c>
      <c r="E584" s="4">
        <v>45988</v>
      </c>
      <c r="F584" s="4">
        <v>46001</v>
      </c>
      <c r="G584" s="8">
        <v>13</v>
      </c>
      <c r="H584" t="s">
        <v>20</v>
      </c>
      <c r="I584">
        <v>0</v>
      </c>
      <c r="J584" t="s">
        <v>29</v>
      </c>
      <c r="K584" t="s">
        <v>47</v>
      </c>
      <c r="L584" s="6">
        <v>11003.79</v>
      </c>
      <c r="M584" t="str">
        <f>TEXT(Table1[[#This Row],[Admission_Date]], "mmm")</f>
        <v>Nov</v>
      </c>
      <c r="N584">
        <f>YEAR(Table1[[#This Row],[Admission_Date]])</f>
        <v>2025</v>
      </c>
      <c r="O584" t="str">
        <f>IF(Table1[[#This Row],[Age]]&lt;30, "Young Adult", IF(Table1[[#This Row],[Age]]&lt;60, "Adult", "Senior"))</f>
        <v>Senior</v>
      </c>
    </row>
    <row r="585" spans="1:15" x14ac:dyDescent="0.25">
      <c r="A585" t="s">
        <v>612</v>
      </c>
      <c r="B585">
        <v>74</v>
      </c>
      <c r="C585" t="s">
        <v>24</v>
      </c>
      <c r="D585" t="s">
        <v>34</v>
      </c>
      <c r="E585" s="4">
        <v>45786</v>
      </c>
      <c r="F585" s="4">
        <v>45787</v>
      </c>
      <c r="G585" s="8">
        <v>1</v>
      </c>
      <c r="H585" t="s">
        <v>20</v>
      </c>
      <c r="I585">
        <v>0</v>
      </c>
      <c r="J585" t="s">
        <v>29</v>
      </c>
      <c r="K585" t="s">
        <v>22</v>
      </c>
      <c r="L585" s="6">
        <v>8717.18</v>
      </c>
      <c r="M585" t="str">
        <f>TEXT(Table1[[#This Row],[Admission_Date]], "mmm")</f>
        <v>May</v>
      </c>
      <c r="N585">
        <f>YEAR(Table1[[#This Row],[Admission_Date]])</f>
        <v>2025</v>
      </c>
      <c r="O585" t="str">
        <f>IF(Table1[[#This Row],[Age]]&lt;30, "Young Adult", IF(Table1[[#This Row],[Age]]&lt;60, "Adult", "Senior"))</f>
        <v>Senior</v>
      </c>
    </row>
    <row r="586" spans="1:15" x14ac:dyDescent="0.25">
      <c r="A586" t="s">
        <v>613</v>
      </c>
      <c r="B586">
        <v>77</v>
      </c>
      <c r="C586" t="s">
        <v>24</v>
      </c>
      <c r="D586" t="s">
        <v>34</v>
      </c>
      <c r="E586" s="4">
        <v>45936</v>
      </c>
      <c r="F586" s="4">
        <v>45942</v>
      </c>
      <c r="G586" s="8">
        <v>6</v>
      </c>
      <c r="H586" t="s">
        <v>20</v>
      </c>
      <c r="I586">
        <v>0</v>
      </c>
      <c r="J586" t="s">
        <v>21</v>
      </c>
      <c r="K586" t="s">
        <v>22</v>
      </c>
      <c r="L586" s="6">
        <v>8201.49</v>
      </c>
      <c r="M586" t="str">
        <f>TEXT(Table1[[#This Row],[Admission_Date]], "mmm")</f>
        <v>Oct</v>
      </c>
      <c r="N586">
        <f>YEAR(Table1[[#This Row],[Admission_Date]])</f>
        <v>2025</v>
      </c>
      <c r="O586" t="str">
        <f>IF(Table1[[#This Row],[Age]]&lt;30, "Young Adult", IF(Table1[[#This Row],[Age]]&lt;60, "Adult", "Senior"))</f>
        <v>Senior</v>
      </c>
    </row>
    <row r="587" spans="1:15" x14ac:dyDescent="0.25">
      <c r="A587" t="s">
        <v>614</v>
      </c>
      <c r="B587">
        <v>87</v>
      </c>
      <c r="C587" t="s">
        <v>24</v>
      </c>
      <c r="D587" t="s">
        <v>40</v>
      </c>
      <c r="E587" s="4">
        <v>45888</v>
      </c>
      <c r="F587" s="4">
        <v>45893</v>
      </c>
      <c r="G587" s="8">
        <v>5</v>
      </c>
      <c r="H587" t="s">
        <v>20</v>
      </c>
      <c r="I587">
        <v>0</v>
      </c>
      <c r="J587" t="s">
        <v>16</v>
      </c>
      <c r="K587" t="s">
        <v>17</v>
      </c>
      <c r="L587" s="6">
        <v>7836.39</v>
      </c>
      <c r="M587" t="str">
        <f>TEXT(Table1[[#This Row],[Admission_Date]], "mmm")</f>
        <v>Aug</v>
      </c>
      <c r="N587">
        <f>YEAR(Table1[[#This Row],[Admission_Date]])</f>
        <v>2025</v>
      </c>
      <c r="O587" t="str">
        <f>IF(Table1[[#This Row],[Age]]&lt;30, "Young Adult", IF(Table1[[#This Row],[Age]]&lt;60, "Adult", "Senior"))</f>
        <v>Senior</v>
      </c>
    </row>
    <row r="588" spans="1:15" x14ac:dyDescent="0.25">
      <c r="A588" t="s">
        <v>615</v>
      </c>
      <c r="B588">
        <v>64</v>
      </c>
      <c r="C588" t="s">
        <v>13</v>
      </c>
      <c r="D588" t="s">
        <v>32</v>
      </c>
      <c r="E588" s="4">
        <v>45752</v>
      </c>
      <c r="F588" s="4">
        <v>45753</v>
      </c>
      <c r="G588" s="8">
        <v>1</v>
      </c>
      <c r="H588" t="s">
        <v>20</v>
      </c>
      <c r="I588">
        <v>0</v>
      </c>
      <c r="J588" t="s">
        <v>16</v>
      </c>
      <c r="K588" t="s">
        <v>17</v>
      </c>
      <c r="L588" s="6">
        <v>14523.87</v>
      </c>
      <c r="M588" t="str">
        <f>TEXT(Table1[[#This Row],[Admission_Date]], "mmm")</f>
        <v>Apr</v>
      </c>
      <c r="N588">
        <f>YEAR(Table1[[#This Row],[Admission_Date]])</f>
        <v>2025</v>
      </c>
      <c r="O588" t="str">
        <f>IF(Table1[[#This Row],[Age]]&lt;30, "Young Adult", IF(Table1[[#This Row],[Age]]&lt;60, "Adult", "Senior"))</f>
        <v>Senior</v>
      </c>
    </row>
    <row r="589" spans="1:15" x14ac:dyDescent="0.25">
      <c r="A589" t="s">
        <v>616</v>
      </c>
      <c r="B589">
        <v>81</v>
      </c>
      <c r="C589" t="s">
        <v>13</v>
      </c>
      <c r="D589" t="s">
        <v>34</v>
      </c>
      <c r="E589" s="4">
        <v>45856</v>
      </c>
      <c r="F589" s="4">
        <v>45860</v>
      </c>
      <c r="G589" s="8">
        <v>4</v>
      </c>
      <c r="H589" t="s">
        <v>20</v>
      </c>
      <c r="I589">
        <v>0</v>
      </c>
      <c r="J589" t="s">
        <v>25</v>
      </c>
      <c r="K589" t="s">
        <v>47</v>
      </c>
      <c r="L589" s="6">
        <v>6442.17</v>
      </c>
      <c r="M589" t="str">
        <f>TEXT(Table1[[#This Row],[Admission_Date]], "mmm")</f>
        <v>Jul</v>
      </c>
      <c r="N589">
        <f>YEAR(Table1[[#This Row],[Admission_Date]])</f>
        <v>2025</v>
      </c>
      <c r="O589" t="str">
        <f>IF(Table1[[#This Row],[Age]]&lt;30, "Young Adult", IF(Table1[[#This Row],[Age]]&lt;60, "Adult", "Senior"))</f>
        <v>Senior</v>
      </c>
    </row>
    <row r="590" spans="1:15" x14ac:dyDescent="0.25">
      <c r="A590" t="s">
        <v>617</v>
      </c>
      <c r="B590">
        <v>26</v>
      </c>
      <c r="C590" t="s">
        <v>13</v>
      </c>
      <c r="D590" t="s">
        <v>14</v>
      </c>
      <c r="E590" s="4">
        <v>45822</v>
      </c>
      <c r="F590" s="4">
        <v>45824</v>
      </c>
      <c r="G590" s="8">
        <v>2</v>
      </c>
      <c r="H590" t="s">
        <v>15</v>
      </c>
      <c r="I590">
        <v>6</v>
      </c>
      <c r="J590" t="s">
        <v>16</v>
      </c>
      <c r="K590" t="s">
        <v>22</v>
      </c>
      <c r="L590" s="6">
        <v>2052.3000000000002</v>
      </c>
      <c r="M590" t="str">
        <f>TEXT(Table1[[#This Row],[Admission_Date]], "mmm")</f>
        <v>Jun</v>
      </c>
      <c r="N590">
        <f>YEAR(Table1[[#This Row],[Admission_Date]])</f>
        <v>2025</v>
      </c>
      <c r="O590" t="str">
        <f>IF(Table1[[#This Row],[Age]]&lt;30, "Young Adult", IF(Table1[[#This Row],[Age]]&lt;60, "Adult", "Senior"))</f>
        <v>Young Adult</v>
      </c>
    </row>
    <row r="591" spans="1:15" x14ac:dyDescent="0.25">
      <c r="A591" t="s">
        <v>618</v>
      </c>
      <c r="B591">
        <v>67</v>
      </c>
      <c r="C591" t="s">
        <v>24</v>
      </c>
      <c r="D591" t="s">
        <v>34</v>
      </c>
      <c r="E591" s="4">
        <v>45756</v>
      </c>
      <c r="F591" s="4">
        <v>45758</v>
      </c>
      <c r="G591" s="8">
        <v>2</v>
      </c>
      <c r="H591" t="s">
        <v>15</v>
      </c>
      <c r="I591">
        <v>20</v>
      </c>
      <c r="J591" t="s">
        <v>25</v>
      </c>
      <c r="K591" t="s">
        <v>22</v>
      </c>
      <c r="L591" s="6">
        <v>5812.13</v>
      </c>
      <c r="M591" t="str">
        <f>TEXT(Table1[[#This Row],[Admission_Date]], "mmm")</f>
        <v>Apr</v>
      </c>
      <c r="N591">
        <f>YEAR(Table1[[#This Row],[Admission_Date]])</f>
        <v>2025</v>
      </c>
      <c r="O591" t="str">
        <f>IF(Table1[[#This Row],[Age]]&lt;30, "Young Adult", IF(Table1[[#This Row],[Age]]&lt;60, "Adult", "Senior"))</f>
        <v>Senior</v>
      </c>
    </row>
    <row r="592" spans="1:15" x14ac:dyDescent="0.25">
      <c r="A592" t="s">
        <v>619</v>
      </c>
      <c r="B592">
        <v>44</v>
      </c>
      <c r="C592" t="s">
        <v>24</v>
      </c>
      <c r="D592" t="s">
        <v>19</v>
      </c>
      <c r="E592" s="4">
        <v>45968</v>
      </c>
      <c r="F592" s="4">
        <v>45980</v>
      </c>
      <c r="G592" s="8">
        <v>12</v>
      </c>
      <c r="H592" t="s">
        <v>15</v>
      </c>
      <c r="I592">
        <v>15</v>
      </c>
      <c r="J592" t="s">
        <v>16</v>
      </c>
      <c r="K592" t="s">
        <v>47</v>
      </c>
      <c r="L592" s="6">
        <v>8591.2900000000009</v>
      </c>
      <c r="M592" t="str">
        <f>TEXT(Table1[[#This Row],[Admission_Date]], "mmm")</f>
        <v>Nov</v>
      </c>
      <c r="N592">
        <f>YEAR(Table1[[#This Row],[Admission_Date]])</f>
        <v>2025</v>
      </c>
      <c r="O592" t="str">
        <f>IF(Table1[[#This Row],[Age]]&lt;30, "Young Adult", IF(Table1[[#This Row],[Age]]&lt;60, "Adult", "Senior"))</f>
        <v>Adult</v>
      </c>
    </row>
    <row r="593" spans="1:15" x14ac:dyDescent="0.25">
      <c r="A593" t="s">
        <v>620</v>
      </c>
      <c r="B593">
        <v>25</v>
      </c>
      <c r="C593" t="s">
        <v>24</v>
      </c>
      <c r="D593" t="s">
        <v>34</v>
      </c>
      <c r="E593" s="4">
        <v>45870</v>
      </c>
      <c r="F593" s="4">
        <v>45884</v>
      </c>
      <c r="G593" s="8">
        <v>14</v>
      </c>
      <c r="H593" t="s">
        <v>20</v>
      </c>
      <c r="I593">
        <v>0</v>
      </c>
      <c r="J593" t="s">
        <v>16</v>
      </c>
      <c r="K593" t="s">
        <v>17</v>
      </c>
      <c r="L593" s="6">
        <v>1520.63</v>
      </c>
      <c r="M593" t="str">
        <f>TEXT(Table1[[#This Row],[Admission_Date]], "mmm")</f>
        <v>Aug</v>
      </c>
      <c r="N593">
        <f>YEAR(Table1[[#This Row],[Admission_Date]])</f>
        <v>2025</v>
      </c>
      <c r="O593" t="str">
        <f>IF(Table1[[#This Row],[Age]]&lt;30, "Young Adult", IF(Table1[[#This Row],[Age]]&lt;60, "Adult", "Senior"))</f>
        <v>Young Adult</v>
      </c>
    </row>
    <row r="594" spans="1:15" x14ac:dyDescent="0.25">
      <c r="A594" t="s">
        <v>621</v>
      </c>
      <c r="B594">
        <v>84</v>
      </c>
      <c r="C594" t="s">
        <v>13</v>
      </c>
      <c r="D594" t="s">
        <v>19</v>
      </c>
      <c r="E594" s="4">
        <v>45813</v>
      </c>
      <c r="F594" s="4">
        <v>45815</v>
      </c>
      <c r="G594" s="8">
        <v>2</v>
      </c>
      <c r="H594" t="s">
        <v>20</v>
      </c>
      <c r="I594">
        <v>0</v>
      </c>
      <c r="J594" t="s">
        <v>21</v>
      </c>
      <c r="K594" t="s">
        <v>17</v>
      </c>
      <c r="L594" s="6">
        <v>6087.3</v>
      </c>
      <c r="M594" t="str">
        <f>TEXT(Table1[[#This Row],[Admission_Date]], "mmm")</f>
        <v>Jun</v>
      </c>
      <c r="N594">
        <f>YEAR(Table1[[#This Row],[Admission_Date]])</f>
        <v>2025</v>
      </c>
      <c r="O594" t="str">
        <f>IF(Table1[[#This Row],[Age]]&lt;30, "Young Adult", IF(Table1[[#This Row],[Age]]&lt;60, "Adult", "Senior"))</f>
        <v>Senior</v>
      </c>
    </row>
    <row r="595" spans="1:15" x14ac:dyDescent="0.25">
      <c r="A595" t="s">
        <v>622</v>
      </c>
      <c r="B595">
        <v>90</v>
      </c>
      <c r="C595" t="s">
        <v>13</v>
      </c>
      <c r="D595" t="s">
        <v>34</v>
      </c>
      <c r="E595" s="4">
        <v>45756</v>
      </c>
      <c r="F595" s="4">
        <v>45765</v>
      </c>
      <c r="G595" s="8">
        <v>9</v>
      </c>
      <c r="H595" t="s">
        <v>20</v>
      </c>
      <c r="I595">
        <v>0</v>
      </c>
      <c r="J595" t="s">
        <v>29</v>
      </c>
      <c r="K595" t="s">
        <v>17</v>
      </c>
      <c r="L595" s="6">
        <v>2029.96</v>
      </c>
      <c r="M595" t="str">
        <f>TEXT(Table1[[#This Row],[Admission_Date]], "mmm")</f>
        <v>Apr</v>
      </c>
      <c r="N595">
        <f>YEAR(Table1[[#This Row],[Admission_Date]])</f>
        <v>2025</v>
      </c>
      <c r="O595" t="str">
        <f>IF(Table1[[#This Row],[Age]]&lt;30, "Young Adult", IF(Table1[[#This Row],[Age]]&lt;60, "Adult", "Senior"))</f>
        <v>Senior</v>
      </c>
    </row>
    <row r="596" spans="1:15" x14ac:dyDescent="0.25">
      <c r="A596" t="s">
        <v>623</v>
      </c>
      <c r="B596">
        <v>76</v>
      </c>
      <c r="C596" t="s">
        <v>24</v>
      </c>
      <c r="D596" t="s">
        <v>19</v>
      </c>
      <c r="E596" s="4">
        <v>45984</v>
      </c>
      <c r="F596" s="4">
        <v>45994</v>
      </c>
      <c r="G596" s="8">
        <v>10</v>
      </c>
      <c r="H596" t="s">
        <v>20</v>
      </c>
      <c r="I596">
        <v>0</v>
      </c>
      <c r="J596" t="s">
        <v>21</v>
      </c>
      <c r="K596" t="s">
        <v>22</v>
      </c>
      <c r="L596" s="6">
        <v>8474.5</v>
      </c>
      <c r="M596" t="str">
        <f>TEXT(Table1[[#This Row],[Admission_Date]], "mmm")</f>
        <v>Nov</v>
      </c>
      <c r="N596">
        <f>YEAR(Table1[[#This Row],[Admission_Date]])</f>
        <v>2025</v>
      </c>
      <c r="O596" t="str">
        <f>IF(Table1[[#This Row],[Age]]&lt;30, "Young Adult", IF(Table1[[#This Row],[Age]]&lt;60, "Adult", "Senior"))</f>
        <v>Senior</v>
      </c>
    </row>
    <row r="597" spans="1:15" x14ac:dyDescent="0.25">
      <c r="A597" t="s">
        <v>624</v>
      </c>
      <c r="B597">
        <v>86</v>
      </c>
      <c r="C597" t="s">
        <v>24</v>
      </c>
      <c r="D597" t="s">
        <v>32</v>
      </c>
      <c r="E597" s="4">
        <v>45916</v>
      </c>
      <c r="F597" s="4">
        <v>45922</v>
      </c>
      <c r="G597" s="8">
        <v>6</v>
      </c>
      <c r="H597" t="s">
        <v>20</v>
      </c>
      <c r="I597">
        <v>0</v>
      </c>
      <c r="J597" t="s">
        <v>25</v>
      </c>
      <c r="K597" t="s">
        <v>17</v>
      </c>
      <c r="L597" s="6">
        <v>14876.21</v>
      </c>
      <c r="M597" t="str">
        <f>TEXT(Table1[[#This Row],[Admission_Date]], "mmm")</f>
        <v>Sep</v>
      </c>
      <c r="N597">
        <f>YEAR(Table1[[#This Row],[Admission_Date]])</f>
        <v>2025</v>
      </c>
      <c r="O597" t="str">
        <f>IF(Table1[[#This Row],[Age]]&lt;30, "Young Adult", IF(Table1[[#This Row],[Age]]&lt;60, "Adult", "Senior"))</f>
        <v>Senior</v>
      </c>
    </row>
    <row r="598" spans="1:15" x14ac:dyDescent="0.25">
      <c r="A598" t="s">
        <v>625</v>
      </c>
      <c r="B598">
        <v>73</v>
      </c>
      <c r="C598" t="s">
        <v>24</v>
      </c>
      <c r="D598" t="s">
        <v>34</v>
      </c>
      <c r="E598" s="4">
        <v>45824</v>
      </c>
      <c r="F598" s="4">
        <v>45838</v>
      </c>
      <c r="G598" s="8">
        <v>14</v>
      </c>
      <c r="H598" t="s">
        <v>20</v>
      </c>
      <c r="I598">
        <v>0</v>
      </c>
      <c r="J598" t="s">
        <v>21</v>
      </c>
      <c r="K598" t="s">
        <v>17</v>
      </c>
      <c r="L598" s="6">
        <v>8411.58</v>
      </c>
      <c r="M598" t="str">
        <f>TEXT(Table1[[#This Row],[Admission_Date]], "mmm")</f>
        <v>Jun</v>
      </c>
      <c r="N598">
        <f>YEAR(Table1[[#This Row],[Admission_Date]])</f>
        <v>2025</v>
      </c>
      <c r="O598" t="str">
        <f>IF(Table1[[#This Row],[Age]]&lt;30, "Young Adult", IF(Table1[[#This Row],[Age]]&lt;60, "Adult", "Senior"))</f>
        <v>Senior</v>
      </c>
    </row>
    <row r="599" spans="1:15" x14ac:dyDescent="0.25">
      <c r="A599" t="s">
        <v>626</v>
      </c>
      <c r="B599">
        <v>50</v>
      </c>
      <c r="C599" t="s">
        <v>24</v>
      </c>
      <c r="D599" t="s">
        <v>40</v>
      </c>
      <c r="E599" s="4">
        <v>45850</v>
      </c>
      <c r="F599" s="4">
        <v>45863</v>
      </c>
      <c r="G599" s="8">
        <v>13</v>
      </c>
      <c r="H599" t="s">
        <v>20</v>
      </c>
      <c r="I599">
        <v>0</v>
      </c>
      <c r="J599" t="s">
        <v>29</v>
      </c>
      <c r="K599" t="s">
        <v>47</v>
      </c>
      <c r="L599" s="6">
        <v>502.84</v>
      </c>
      <c r="M599" t="str">
        <f>TEXT(Table1[[#This Row],[Admission_Date]], "mmm")</f>
        <v>Jul</v>
      </c>
      <c r="N599">
        <f>YEAR(Table1[[#This Row],[Admission_Date]])</f>
        <v>2025</v>
      </c>
      <c r="O599" t="str">
        <f>IF(Table1[[#This Row],[Age]]&lt;30, "Young Adult", IF(Table1[[#This Row],[Age]]&lt;60, "Adult", "Senior"))</f>
        <v>Adult</v>
      </c>
    </row>
    <row r="600" spans="1:15" x14ac:dyDescent="0.25">
      <c r="A600" t="s">
        <v>627</v>
      </c>
      <c r="B600">
        <v>84</v>
      </c>
      <c r="C600" t="s">
        <v>13</v>
      </c>
      <c r="D600" t="s">
        <v>32</v>
      </c>
      <c r="E600" s="4">
        <v>45675</v>
      </c>
      <c r="F600" s="4">
        <v>45680</v>
      </c>
      <c r="G600" s="8">
        <v>5</v>
      </c>
      <c r="H600" t="s">
        <v>20</v>
      </c>
      <c r="I600">
        <v>0</v>
      </c>
      <c r="J600" t="s">
        <v>16</v>
      </c>
      <c r="K600" t="s">
        <v>47</v>
      </c>
      <c r="L600" s="6">
        <v>14773.72</v>
      </c>
      <c r="M600" t="str">
        <f>TEXT(Table1[[#This Row],[Admission_Date]], "mmm")</f>
        <v>Jan</v>
      </c>
      <c r="N600">
        <f>YEAR(Table1[[#This Row],[Admission_Date]])</f>
        <v>2025</v>
      </c>
      <c r="O600" t="str">
        <f>IF(Table1[[#This Row],[Age]]&lt;30, "Young Adult", IF(Table1[[#This Row],[Age]]&lt;60, "Adult", "Senior"))</f>
        <v>Senior</v>
      </c>
    </row>
    <row r="601" spans="1:15" x14ac:dyDescent="0.25">
      <c r="A601" t="s">
        <v>628</v>
      </c>
      <c r="B601">
        <v>53</v>
      </c>
      <c r="C601" t="s">
        <v>13</v>
      </c>
      <c r="D601" t="s">
        <v>19</v>
      </c>
      <c r="E601" s="4">
        <v>45767</v>
      </c>
      <c r="F601" s="4">
        <v>45781</v>
      </c>
      <c r="G601" s="8">
        <v>14</v>
      </c>
      <c r="H601" t="s">
        <v>20</v>
      </c>
      <c r="I601">
        <v>0</v>
      </c>
      <c r="J601" t="s">
        <v>16</v>
      </c>
      <c r="K601" t="s">
        <v>47</v>
      </c>
      <c r="L601" s="6">
        <v>5657.01</v>
      </c>
      <c r="M601" t="str">
        <f>TEXT(Table1[[#This Row],[Admission_Date]], "mmm")</f>
        <v>Apr</v>
      </c>
      <c r="N601">
        <f>YEAR(Table1[[#This Row],[Admission_Date]])</f>
        <v>2025</v>
      </c>
      <c r="O601" t="str">
        <f>IF(Table1[[#This Row],[Age]]&lt;30, "Young Adult", IF(Table1[[#This Row],[Age]]&lt;60, "Adult", "Senior"))</f>
        <v>Adult</v>
      </c>
    </row>
    <row r="602" spans="1:15" x14ac:dyDescent="0.25">
      <c r="A602" t="s">
        <v>629</v>
      </c>
      <c r="B602">
        <v>49</v>
      </c>
      <c r="C602" t="s">
        <v>13</v>
      </c>
      <c r="D602" t="s">
        <v>32</v>
      </c>
      <c r="E602" s="4">
        <v>45728</v>
      </c>
      <c r="F602" s="4">
        <v>45733</v>
      </c>
      <c r="G602" s="8">
        <v>5</v>
      </c>
      <c r="H602" t="s">
        <v>20</v>
      </c>
      <c r="I602">
        <v>0</v>
      </c>
      <c r="J602" t="s">
        <v>25</v>
      </c>
      <c r="K602" t="s">
        <v>22</v>
      </c>
      <c r="L602" s="6">
        <v>8772.06</v>
      </c>
      <c r="M602" t="str">
        <f>TEXT(Table1[[#This Row],[Admission_Date]], "mmm")</f>
        <v>Mar</v>
      </c>
      <c r="N602">
        <f>YEAR(Table1[[#This Row],[Admission_Date]])</f>
        <v>2025</v>
      </c>
      <c r="O602" t="str">
        <f>IF(Table1[[#This Row],[Age]]&lt;30, "Young Adult", IF(Table1[[#This Row],[Age]]&lt;60, "Adult", "Senior"))</f>
        <v>Adult</v>
      </c>
    </row>
    <row r="603" spans="1:15" x14ac:dyDescent="0.25">
      <c r="A603" t="s">
        <v>630</v>
      </c>
      <c r="B603">
        <v>59</v>
      </c>
      <c r="C603" t="s">
        <v>24</v>
      </c>
      <c r="D603" t="s">
        <v>14</v>
      </c>
      <c r="E603" s="4">
        <v>45949</v>
      </c>
      <c r="F603" s="4">
        <v>45953</v>
      </c>
      <c r="G603" s="8">
        <v>4</v>
      </c>
      <c r="H603" t="s">
        <v>20</v>
      </c>
      <c r="I603">
        <v>0</v>
      </c>
      <c r="J603" t="s">
        <v>29</v>
      </c>
      <c r="K603" t="s">
        <v>17</v>
      </c>
      <c r="L603" s="6">
        <v>10691.29</v>
      </c>
      <c r="M603" t="str">
        <f>TEXT(Table1[[#This Row],[Admission_Date]], "mmm")</f>
        <v>Oct</v>
      </c>
      <c r="N603">
        <f>YEAR(Table1[[#This Row],[Admission_Date]])</f>
        <v>2025</v>
      </c>
      <c r="O603" t="str">
        <f>IF(Table1[[#This Row],[Age]]&lt;30, "Young Adult", IF(Table1[[#This Row],[Age]]&lt;60, "Adult", "Senior"))</f>
        <v>Adult</v>
      </c>
    </row>
    <row r="604" spans="1:15" x14ac:dyDescent="0.25">
      <c r="A604" t="s">
        <v>631</v>
      </c>
      <c r="B604">
        <v>22</v>
      </c>
      <c r="C604" t="s">
        <v>24</v>
      </c>
      <c r="D604" t="s">
        <v>19</v>
      </c>
      <c r="E604" s="4">
        <v>45706</v>
      </c>
      <c r="F604" s="4">
        <v>45716</v>
      </c>
      <c r="G604" s="8">
        <v>10</v>
      </c>
      <c r="H604" t="s">
        <v>20</v>
      </c>
      <c r="I604">
        <v>0</v>
      </c>
      <c r="J604" t="s">
        <v>16</v>
      </c>
      <c r="K604" t="s">
        <v>47</v>
      </c>
      <c r="L604" s="6">
        <v>5544.99</v>
      </c>
      <c r="M604" t="str">
        <f>TEXT(Table1[[#This Row],[Admission_Date]], "mmm")</f>
        <v>Feb</v>
      </c>
      <c r="N604">
        <f>YEAR(Table1[[#This Row],[Admission_Date]])</f>
        <v>2025</v>
      </c>
      <c r="O604" t="str">
        <f>IF(Table1[[#This Row],[Age]]&lt;30, "Young Adult", IF(Table1[[#This Row],[Age]]&lt;60, "Adult", "Senior"))</f>
        <v>Young Adult</v>
      </c>
    </row>
    <row r="605" spans="1:15" x14ac:dyDescent="0.25">
      <c r="A605" t="s">
        <v>632</v>
      </c>
      <c r="B605">
        <v>33</v>
      </c>
      <c r="C605" t="s">
        <v>13</v>
      </c>
      <c r="D605" t="s">
        <v>28</v>
      </c>
      <c r="E605" s="4">
        <v>45880</v>
      </c>
      <c r="F605" s="4">
        <v>45887</v>
      </c>
      <c r="G605" s="8">
        <v>7</v>
      </c>
      <c r="H605" t="s">
        <v>20</v>
      </c>
      <c r="I605">
        <v>0</v>
      </c>
      <c r="J605" t="s">
        <v>16</v>
      </c>
      <c r="K605" t="s">
        <v>17</v>
      </c>
      <c r="L605" s="6">
        <v>11772.57</v>
      </c>
      <c r="M605" t="str">
        <f>TEXT(Table1[[#This Row],[Admission_Date]], "mmm")</f>
        <v>Aug</v>
      </c>
      <c r="N605">
        <f>YEAR(Table1[[#This Row],[Admission_Date]])</f>
        <v>2025</v>
      </c>
      <c r="O605" t="str">
        <f>IF(Table1[[#This Row],[Age]]&lt;30, "Young Adult", IF(Table1[[#This Row],[Age]]&lt;60, "Adult", "Senior"))</f>
        <v>Adult</v>
      </c>
    </row>
    <row r="606" spans="1:15" x14ac:dyDescent="0.25">
      <c r="A606" t="s">
        <v>633</v>
      </c>
      <c r="B606">
        <v>23</v>
      </c>
      <c r="C606" t="s">
        <v>24</v>
      </c>
      <c r="D606" t="s">
        <v>34</v>
      </c>
      <c r="E606" s="4">
        <v>45853</v>
      </c>
      <c r="F606" s="4">
        <v>45854</v>
      </c>
      <c r="G606" s="8">
        <v>1</v>
      </c>
      <c r="H606" t="s">
        <v>20</v>
      </c>
      <c r="I606">
        <v>0</v>
      </c>
      <c r="J606" t="s">
        <v>21</v>
      </c>
      <c r="K606" t="s">
        <v>47</v>
      </c>
      <c r="L606" s="6">
        <v>7784.82</v>
      </c>
      <c r="M606" t="str">
        <f>TEXT(Table1[[#This Row],[Admission_Date]], "mmm")</f>
        <v>Jul</v>
      </c>
      <c r="N606">
        <f>YEAR(Table1[[#This Row],[Admission_Date]])</f>
        <v>2025</v>
      </c>
      <c r="O606" t="str">
        <f>IF(Table1[[#This Row],[Age]]&lt;30, "Young Adult", IF(Table1[[#This Row],[Age]]&lt;60, "Adult", "Senior"))</f>
        <v>Young Adult</v>
      </c>
    </row>
    <row r="607" spans="1:15" x14ac:dyDescent="0.25">
      <c r="A607" t="s">
        <v>634</v>
      </c>
      <c r="B607">
        <v>68</v>
      </c>
      <c r="C607" t="s">
        <v>24</v>
      </c>
      <c r="D607" t="s">
        <v>34</v>
      </c>
      <c r="E607" s="4">
        <v>45771</v>
      </c>
      <c r="F607" s="4">
        <v>45774</v>
      </c>
      <c r="G607" s="8">
        <v>3</v>
      </c>
      <c r="H607" t="s">
        <v>15</v>
      </c>
      <c r="I607">
        <v>19</v>
      </c>
      <c r="J607" t="s">
        <v>16</v>
      </c>
      <c r="K607" t="s">
        <v>22</v>
      </c>
      <c r="L607" s="6">
        <v>6763.07</v>
      </c>
      <c r="M607" t="str">
        <f>TEXT(Table1[[#This Row],[Admission_Date]], "mmm")</f>
        <v>Apr</v>
      </c>
      <c r="N607">
        <f>YEAR(Table1[[#This Row],[Admission_Date]])</f>
        <v>2025</v>
      </c>
      <c r="O607" t="str">
        <f>IF(Table1[[#This Row],[Age]]&lt;30, "Young Adult", IF(Table1[[#This Row],[Age]]&lt;60, "Adult", "Senior"))</f>
        <v>Senior</v>
      </c>
    </row>
    <row r="608" spans="1:15" x14ac:dyDescent="0.25">
      <c r="A608" t="s">
        <v>635</v>
      </c>
      <c r="B608">
        <v>28</v>
      </c>
      <c r="C608" t="s">
        <v>24</v>
      </c>
      <c r="D608" t="s">
        <v>34</v>
      </c>
      <c r="E608" s="4">
        <v>45859</v>
      </c>
      <c r="F608" s="4">
        <v>45862</v>
      </c>
      <c r="G608" s="8">
        <v>3</v>
      </c>
      <c r="H608" t="s">
        <v>15</v>
      </c>
      <c r="I608">
        <v>24</v>
      </c>
      <c r="J608" t="s">
        <v>16</v>
      </c>
      <c r="K608" t="s">
        <v>17</v>
      </c>
      <c r="L608" s="6">
        <v>6288.27</v>
      </c>
      <c r="M608" t="str">
        <f>TEXT(Table1[[#This Row],[Admission_Date]], "mmm")</f>
        <v>Jul</v>
      </c>
      <c r="N608">
        <f>YEAR(Table1[[#This Row],[Admission_Date]])</f>
        <v>2025</v>
      </c>
      <c r="O608" t="str">
        <f>IF(Table1[[#This Row],[Age]]&lt;30, "Young Adult", IF(Table1[[#This Row],[Age]]&lt;60, "Adult", "Senior"))</f>
        <v>Young Adult</v>
      </c>
    </row>
    <row r="609" spans="1:15" x14ac:dyDescent="0.25">
      <c r="A609" t="s">
        <v>636</v>
      </c>
      <c r="B609">
        <v>34</v>
      </c>
      <c r="C609" t="s">
        <v>13</v>
      </c>
      <c r="D609" t="s">
        <v>40</v>
      </c>
      <c r="E609" s="4">
        <v>45701</v>
      </c>
      <c r="F609" s="4">
        <v>45708</v>
      </c>
      <c r="G609" s="8">
        <v>7</v>
      </c>
      <c r="H609" t="s">
        <v>20</v>
      </c>
      <c r="I609">
        <v>0</v>
      </c>
      <c r="J609" t="s">
        <v>21</v>
      </c>
      <c r="K609" t="s">
        <v>47</v>
      </c>
      <c r="L609" s="6">
        <v>6232.12</v>
      </c>
      <c r="M609" t="str">
        <f>TEXT(Table1[[#This Row],[Admission_Date]], "mmm")</f>
        <v>Feb</v>
      </c>
      <c r="N609">
        <f>YEAR(Table1[[#This Row],[Admission_Date]])</f>
        <v>2025</v>
      </c>
      <c r="O609" t="str">
        <f>IF(Table1[[#This Row],[Age]]&lt;30, "Young Adult", IF(Table1[[#This Row],[Age]]&lt;60, "Adult", "Senior"))</f>
        <v>Adult</v>
      </c>
    </row>
    <row r="610" spans="1:15" x14ac:dyDescent="0.25">
      <c r="A610" t="s">
        <v>637</v>
      </c>
      <c r="B610">
        <v>85</v>
      </c>
      <c r="C610" t="s">
        <v>13</v>
      </c>
      <c r="D610" t="s">
        <v>14</v>
      </c>
      <c r="E610" s="4">
        <v>45950</v>
      </c>
      <c r="F610" s="4">
        <v>45954</v>
      </c>
      <c r="G610" s="8">
        <v>4</v>
      </c>
      <c r="H610" t="s">
        <v>20</v>
      </c>
      <c r="I610">
        <v>0</v>
      </c>
      <c r="J610" t="s">
        <v>16</v>
      </c>
      <c r="K610" t="s">
        <v>47</v>
      </c>
      <c r="L610" s="6">
        <v>11763.19</v>
      </c>
      <c r="M610" t="str">
        <f>TEXT(Table1[[#This Row],[Admission_Date]], "mmm")</f>
        <v>Oct</v>
      </c>
      <c r="N610">
        <f>YEAR(Table1[[#This Row],[Admission_Date]])</f>
        <v>2025</v>
      </c>
      <c r="O610" t="str">
        <f>IF(Table1[[#This Row],[Age]]&lt;30, "Young Adult", IF(Table1[[#This Row],[Age]]&lt;60, "Adult", "Senior"))</f>
        <v>Senior</v>
      </c>
    </row>
    <row r="611" spans="1:15" x14ac:dyDescent="0.25">
      <c r="A611" t="s">
        <v>638</v>
      </c>
      <c r="B611">
        <v>29</v>
      </c>
      <c r="C611" t="s">
        <v>13</v>
      </c>
      <c r="D611" t="s">
        <v>28</v>
      </c>
      <c r="E611" s="4">
        <v>45823</v>
      </c>
      <c r="F611" s="4">
        <v>45834</v>
      </c>
      <c r="G611" s="8">
        <v>11</v>
      </c>
      <c r="H611" t="s">
        <v>20</v>
      </c>
      <c r="I611">
        <v>0</v>
      </c>
      <c r="J611" t="s">
        <v>29</v>
      </c>
      <c r="K611" t="s">
        <v>47</v>
      </c>
      <c r="L611" s="6">
        <v>5796.38</v>
      </c>
      <c r="M611" t="str">
        <f>TEXT(Table1[[#This Row],[Admission_Date]], "mmm")</f>
        <v>Jun</v>
      </c>
      <c r="N611">
        <f>YEAR(Table1[[#This Row],[Admission_Date]])</f>
        <v>2025</v>
      </c>
      <c r="O611" t="str">
        <f>IF(Table1[[#This Row],[Age]]&lt;30, "Young Adult", IF(Table1[[#This Row],[Age]]&lt;60, "Adult", "Senior"))</f>
        <v>Young Adult</v>
      </c>
    </row>
    <row r="612" spans="1:15" x14ac:dyDescent="0.25">
      <c r="A612" t="s">
        <v>639</v>
      </c>
      <c r="B612">
        <v>21</v>
      </c>
      <c r="C612" t="s">
        <v>24</v>
      </c>
      <c r="D612" t="s">
        <v>14</v>
      </c>
      <c r="E612" s="4">
        <v>45755</v>
      </c>
      <c r="F612" s="4">
        <v>45761</v>
      </c>
      <c r="G612" s="8">
        <v>6</v>
      </c>
      <c r="H612" t="s">
        <v>20</v>
      </c>
      <c r="I612">
        <v>0</v>
      </c>
      <c r="J612" t="s">
        <v>25</v>
      </c>
      <c r="K612" t="s">
        <v>17</v>
      </c>
      <c r="L612" s="6">
        <v>12412.97</v>
      </c>
      <c r="M612" t="str">
        <f>TEXT(Table1[[#This Row],[Admission_Date]], "mmm")</f>
        <v>Apr</v>
      </c>
      <c r="N612">
        <f>YEAR(Table1[[#This Row],[Admission_Date]])</f>
        <v>2025</v>
      </c>
      <c r="O612" t="str">
        <f>IF(Table1[[#This Row],[Age]]&lt;30, "Young Adult", IF(Table1[[#This Row],[Age]]&lt;60, "Adult", "Senior"))</f>
        <v>Young Adult</v>
      </c>
    </row>
    <row r="613" spans="1:15" x14ac:dyDescent="0.25">
      <c r="A613" t="s">
        <v>640</v>
      </c>
      <c r="B613">
        <v>23</v>
      </c>
      <c r="C613" t="s">
        <v>13</v>
      </c>
      <c r="D613" t="s">
        <v>14</v>
      </c>
      <c r="E613" s="4">
        <v>45884</v>
      </c>
      <c r="F613" s="4">
        <v>45894</v>
      </c>
      <c r="G613" s="8">
        <v>10</v>
      </c>
      <c r="H613" t="s">
        <v>15</v>
      </c>
      <c r="I613">
        <v>22</v>
      </c>
      <c r="J613" t="s">
        <v>25</v>
      </c>
      <c r="K613" t="s">
        <v>22</v>
      </c>
      <c r="L613" s="6">
        <v>11487.14</v>
      </c>
      <c r="M613" t="str">
        <f>TEXT(Table1[[#This Row],[Admission_Date]], "mmm")</f>
        <v>Aug</v>
      </c>
      <c r="N613">
        <f>YEAR(Table1[[#This Row],[Admission_Date]])</f>
        <v>2025</v>
      </c>
      <c r="O613" t="str">
        <f>IF(Table1[[#This Row],[Age]]&lt;30, "Young Adult", IF(Table1[[#This Row],[Age]]&lt;60, "Adult", "Senior"))</f>
        <v>Young Adult</v>
      </c>
    </row>
    <row r="614" spans="1:15" x14ac:dyDescent="0.25">
      <c r="A614" t="s">
        <v>641</v>
      </c>
      <c r="B614">
        <v>49</v>
      </c>
      <c r="C614" t="s">
        <v>13</v>
      </c>
      <c r="D614" t="s">
        <v>32</v>
      </c>
      <c r="E614" s="4">
        <v>45701</v>
      </c>
      <c r="F614" s="4">
        <v>45703</v>
      </c>
      <c r="G614" s="8">
        <v>2</v>
      </c>
      <c r="H614" t="s">
        <v>20</v>
      </c>
      <c r="I614">
        <v>0</v>
      </c>
      <c r="J614" t="s">
        <v>16</v>
      </c>
      <c r="K614" t="s">
        <v>47</v>
      </c>
      <c r="L614" s="6">
        <v>10560.03</v>
      </c>
      <c r="M614" t="str">
        <f>TEXT(Table1[[#This Row],[Admission_Date]], "mmm")</f>
        <v>Feb</v>
      </c>
      <c r="N614">
        <f>YEAR(Table1[[#This Row],[Admission_Date]])</f>
        <v>2025</v>
      </c>
      <c r="O614" t="str">
        <f>IF(Table1[[#This Row],[Age]]&lt;30, "Young Adult", IF(Table1[[#This Row],[Age]]&lt;60, "Adult", "Senior"))</f>
        <v>Adult</v>
      </c>
    </row>
    <row r="615" spans="1:15" x14ac:dyDescent="0.25">
      <c r="A615" t="s">
        <v>642</v>
      </c>
      <c r="B615">
        <v>20</v>
      </c>
      <c r="C615" t="s">
        <v>24</v>
      </c>
      <c r="D615" t="s">
        <v>14</v>
      </c>
      <c r="E615" s="4">
        <v>45714</v>
      </c>
      <c r="F615" s="4">
        <v>45719</v>
      </c>
      <c r="G615" s="8">
        <v>5</v>
      </c>
      <c r="H615" t="s">
        <v>20</v>
      </c>
      <c r="I615">
        <v>0</v>
      </c>
      <c r="J615" t="s">
        <v>21</v>
      </c>
      <c r="K615" t="s">
        <v>22</v>
      </c>
      <c r="L615" s="6">
        <v>8423.15</v>
      </c>
      <c r="M615" t="str">
        <f>TEXT(Table1[[#This Row],[Admission_Date]], "mmm")</f>
        <v>Feb</v>
      </c>
      <c r="N615">
        <f>YEAR(Table1[[#This Row],[Admission_Date]])</f>
        <v>2025</v>
      </c>
      <c r="O615" t="str">
        <f>IF(Table1[[#This Row],[Age]]&lt;30, "Young Adult", IF(Table1[[#This Row],[Age]]&lt;60, "Adult", "Senior"))</f>
        <v>Young Adult</v>
      </c>
    </row>
    <row r="616" spans="1:15" x14ac:dyDescent="0.25">
      <c r="A616" t="s">
        <v>643</v>
      </c>
      <c r="B616">
        <v>36</v>
      </c>
      <c r="C616" t="s">
        <v>13</v>
      </c>
      <c r="D616" t="s">
        <v>40</v>
      </c>
      <c r="E616" s="4">
        <v>45790</v>
      </c>
      <c r="F616" s="4">
        <v>45799</v>
      </c>
      <c r="G616" s="8">
        <v>9</v>
      </c>
      <c r="H616" t="s">
        <v>20</v>
      </c>
      <c r="I616">
        <v>0</v>
      </c>
      <c r="J616" t="s">
        <v>16</v>
      </c>
      <c r="K616" t="s">
        <v>47</v>
      </c>
      <c r="L616" s="6">
        <v>2969.63</v>
      </c>
      <c r="M616" t="str">
        <f>TEXT(Table1[[#This Row],[Admission_Date]], "mmm")</f>
        <v>May</v>
      </c>
      <c r="N616">
        <f>YEAR(Table1[[#This Row],[Admission_Date]])</f>
        <v>2025</v>
      </c>
      <c r="O616" t="str">
        <f>IF(Table1[[#This Row],[Age]]&lt;30, "Young Adult", IF(Table1[[#This Row],[Age]]&lt;60, "Adult", "Senior"))</f>
        <v>Adult</v>
      </c>
    </row>
    <row r="617" spans="1:15" x14ac:dyDescent="0.25">
      <c r="A617" t="s">
        <v>644</v>
      </c>
      <c r="B617">
        <v>52</v>
      </c>
      <c r="C617" t="s">
        <v>13</v>
      </c>
      <c r="D617" t="s">
        <v>40</v>
      </c>
      <c r="E617" s="4">
        <v>45803</v>
      </c>
      <c r="F617" s="4">
        <v>45807</v>
      </c>
      <c r="G617" s="8">
        <v>4</v>
      </c>
      <c r="H617" t="s">
        <v>20</v>
      </c>
      <c r="I617">
        <v>0</v>
      </c>
      <c r="J617" t="s">
        <v>16</v>
      </c>
      <c r="K617" t="s">
        <v>22</v>
      </c>
      <c r="L617" s="6">
        <v>6135.35</v>
      </c>
      <c r="M617" t="str">
        <f>TEXT(Table1[[#This Row],[Admission_Date]], "mmm")</f>
        <v>May</v>
      </c>
      <c r="N617">
        <f>YEAR(Table1[[#This Row],[Admission_Date]])</f>
        <v>2025</v>
      </c>
      <c r="O617" t="str">
        <f>IF(Table1[[#This Row],[Age]]&lt;30, "Young Adult", IF(Table1[[#This Row],[Age]]&lt;60, "Adult", "Senior"))</f>
        <v>Adult</v>
      </c>
    </row>
    <row r="618" spans="1:15" x14ac:dyDescent="0.25">
      <c r="A618" t="s">
        <v>645</v>
      </c>
      <c r="B618">
        <v>64</v>
      </c>
      <c r="C618" t="s">
        <v>13</v>
      </c>
      <c r="D618" t="s">
        <v>19</v>
      </c>
      <c r="E618" s="4">
        <v>45796</v>
      </c>
      <c r="F618" s="4">
        <v>45807</v>
      </c>
      <c r="G618" s="8">
        <v>11</v>
      </c>
      <c r="H618" t="s">
        <v>20</v>
      </c>
      <c r="I618">
        <v>0</v>
      </c>
      <c r="J618" t="s">
        <v>25</v>
      </c>
      <c r="K618" t="s">
        <v>17</v>
      </c>
      <c r="L618" s="6">
        <v>6104.59</v>
      </c>
      <c r="M618" t="str">
        <f>TEXT(Table1[[#This Row],[Admission_Date]], "mmm")</f>
        <v>May</v>
      </c>
      <c r="N618">
        <f>YEAR(Table1[[#This Row],[Admission_Date]])</f>
        <v>2025</v>
      </c>
      <c r="O618" t="str">
        <f>IF(Table1[[#This Row],[Age]]&lt;30, "Young Adult", IF(Table1[[#This Row],[Age]]&lt;60, "Adult", "Senior"))</f>
        <v>Senior</v>
      </c>
    </row>
    <row r="619" spans="1:15" x14ac:dyDescent="0.25">
      <c r="A619" t="s">
        <v>646</v>
      </c>
      <c r="B619">
        <v>30</v>
      </c>
      <c r="C619" t="s">
        <v>24</v>
      </c>
      <c r="D619" t="s">
        <v>40</v>
      </c>
      <c r="E619" s="4">
        <v>45852</v>
      </c>
      <c r="F619" s="4">
        <v>45861</v>
      </c>
      <c r="G619" s="8">
        <v>9</v>
      </c>
      <c r="H619" t="s">
        <v>20</v>
      </c>
      <c r="I619">
        <v>0</v>
      </c>
      <c r="J619" t="s">
        <v>16</v>
      </c>
      <c r="K619" t="s">
        <v>22</v>
      </c>
      <c r="L619" s="6">
        <v>3383.69</v>
      </c>
      <c r="M619" t="str">
        <f>TEXT(Table1[[#This Row],[Admission_Date]], "mmm")</f>
        <v>Jul</v>
      </c>
      <c r="N619">
        <f>YEAR(Table1[[#This Row],[Admission_Date]])</f>
        <v>2025</v>
      </c>
      <c r="O619" t="str">
        <f>IF(Table1[[#This Row],[Age]]&lt;30, "Young Adult", IF(Table1[[#This Row],[Age]]&lt;60, "Adult", "Senior"))</f>
        <v>Adult</v>
      </c>
    </row>
    <row r="620" spans="1:15" x14ac:dyDescent="0.25">
      <c r="A620" t="s">
        <v>647</v>
      </c>
      <c r="B620">
        <v>20</v>
      </c>
      <c r="C620" t="s">
        <v>13</v>
      </c>
      <c r="D620" t="s">
        <v>14</v>
      </c>
      <c r="E620" s="4">
        <v>45892</v>
      </c>
      <c r="F620" s="4">
        <v>45901</v>
      </c>
      <c r="G620" s="8">
        <v>9</v>
      </c>
      <c r="H620" t="s">
        <v>20</v>
      </c>
      <c r="I620">
        <v>0</v>
      </c>
      <c r="J620" t="s">
        <v>25</v>
      </c>
      <c r="K620" t="s">
        <v>47</v>
      </c>
      <c r="L620" s="6">
        <v>7604.03</v>
      </c>
      <c r="M620" t="str">
        <f>TEXT(Table1[[#This Row],[Admission_Date]], "mmm")</f>
        <v>Aug</v>
      </c>
      <c r="N620">
        <f>YEAR(Table1[[#This Row],[Admission_Date]])</f>
        <v>2025</v>
      </c>
      <c r="O620" t="str">
        <f>IF(Table1[[#This Row],[Age]]&lt;30, "Young Adult", IF(Table1[[#This Row],[Age]]&lt;60, "Adult", "Senior"))</f>
        <v>Young Adult</v>
      </c>
    </row>
    <row r="621" spans="1:15" x14ac:dyDescent="0.25">
      <c r="A621" t="s">
        <v>648</v>
      </c>
      <c r="B621">
        <v>63</v>
      </c>
      <c r="C621" t="s">
        <v>24</v>
      </c>
      <c r="D621" t="s">
        <v>28</v>
      </c>
      <c r="E621" s="4">
        <v>45738</v>
      </c>
      <c r="F621" s="4">
        <v>45739</v>
      </c>
      <c r="G621" s="8">
        <v>1</v>
      </c>
      <c r="H621" t="s">
        <v>20</v>
      </c>
      <c r="I621">
        <v>0</v>
      </c>
      <c r="J621" t="s">
        <v>25</v>
      </c>
      <c r="K621" t="s">
        <v>22</v>
      </c>
      <c r="L621" s="6">
        <v>14941.92</v>
      </c>
      <c r="M621" t="str">
        <f>TEXT(Table1[[#This Row],[Admission_Date]], "mmm")</f>
        <v>Mar</v>
      </c>
      <c r="N621">
        <f>YEAR(Table1[[#This Row],[Admission_Date]])</f>
        <v>2025</v>
      </c>
      <c r="O621" t="str">
        <f>IF(Table1[[#This Row],[Age]]&lt;30, "Young Adult", IF(Table1[[#This Row],[Age]]&lt;60, "Adult", "Senior"))</f>
        <v>Senior</v>
      </c>
    </row>
    <row r="622" spans="1:15" x14ac:dyDescent="0.25">
      <c r="A622" t="s">
        <v>649</v>
      </c>
      <c r="B622">
        <v>50</v>
      </c>
      <c r="C622" t="s">
        <v>24</v>
      </c>
      <c r="D622" t="s">
        <v>19</v>
      </c>
      <c r="E622" s="4">
        <v>45914</v>
      </c>
      <c r="F622" s="4">
        <v>45919</v>
      </c>
      <c r="G622" s="8">
        <v>5</v>
      </c>
      <c r="H622" t="s">
        <v>20</v>
      </c>
      <c r="I622">
        <v>0</v>
      </c>
      <c r="J622" t="s">
        <v>25</v>
      </c>
      <c r="K622" t="s">
        <v>22</v>
      </c>
      <c r="L622" s="6">
        <v>2699.77</v>
      </c>
      <c r="M622" t="str">
        <f>TEXT(Table1[[#This Row],[Admission_Date]], "mmm")</f>
        <v>Sep</v>
      </c>
      <c r="N622">
        <f>YEAR(Table1[[#This Row],[Admission_Date]])</f>
        <v>2025</v>
      </c>
      <c r="O622" t="str">
        <f>IF(Table1[[#This Row],[Age]]&lt;30, "Young Adult", IF(Table1[[#This Row],[Age]]&lt;60, "Adult", "Senior"))</f>
        <v>Adult</v>
      </c>
    </row>
    <row r="623" spans="1:15" x14ac:dyDescent="0.25">
      <c r="A623" t="s">
        <v>650</v>
      </c>
      <c r="B623">
        <v>66</v>
      </c>
      <c r="C623" t="s">
        <v>13</v>
      </c>
      <c r="D623" t="s">
        <v>40</v>
      </c>
      <c r="E623" s="4">
        <v>45859</v>
      </c>
      <c r="F623" s="4">
        <v>45870</v>
      </c>
      <c r="G623" s="8">
        <v>11</v>
      </c>
      <c r="H623" t="s">
        <v>15</v>
      </c>
      <c r="I623">
        <v>8</v>
      </c>
      <c r="J623" t="s">
        <v>21</v>
      </c>
      <c r="K623" t="s">
        <v>47</v>
      </c>
      <c r="L623" s="6">
        <v>14572.79</v>
      </c>
      <c r="M623" t="str">
        <f>TEXT(Table1[[#This Row],[Admission_Date]], "mmm")</f>
        <v>Jul</v>
      </c>
      <c r="N623">
        <f>YEAR(Table1[[#This Row],[Admission_Date]])</f>
        <v>2025</v>
      </c>
      <c r="O623" t="str">
        <f>IF(Table1[[#This Row],[Age]]&lt;30, "Young Adult", IF(Table1[[#This Row],[Age]]&lt;60, "Adult", "Senior"))</f>
        <v>Senior</v>
      </c>
    </row>
    <row r="624" spans="1:15" x14ac:dyDescent="0.25">
      <c r="A624" t="s">
        <v>651</v>
      </c>
      <c r="B624">
        <v>34</v>
      </c>
      <c r="C624" t="s">
        <v>13</v>
      </c>
      <c r="D624" t="s">
        <v>28</v>
      </c>
      <c r="E624" s="4">
        <v>45967</v>
      </c>
      <c r="F624" s="4">
        <v>45973</v>
      </c>
      <c r="G624" s="8">
        <v>6</v>
      </c>
      <c r="H624" t="s">
        <v>20</v>
      </c>
      <c r="I624">
        <v>0</v>
      </c>
      <c r="J624" t="s">
        <v>21</v>
      </c>
      <c r="K624" t="s">
        <v>17</v>
      </c>
      <c r="L624" s="6">
        <v>8349.6299999999992</v>
      </c>
      <c r="M624" t="str">
        <f>TEXT(Table1[[#This Row],[Admission_Date]], "mmm")</f>
        <v>Nov</v>
      </c>
      <c r="N624">
        <f>YEAR(Table1[[#This Row],[Admission_Date]])</f>
        <v>2025</v>
      </c>
      <c r="O624" t="str">
        <f>IF(Table1[[#This Row],[Age]]&lt;30, "Young Adult", IF(Table1[[#This Row],[Age]]&lt;60, "Adult", "Senior"))</f>
        <v>Adult</v>
      </c>
    </row>
    <row r="625" spans="1:15" x14ac:dyDescent="0.25">
      <c r="A625" t="s">
        <v>652</v>
      </c>
      <c r="B625">
        <v>85</v>
      </c>
      <c r="C625" t="s">
        <v>13</v>
      </c>
      <c r="D625" t="s">
        <v>40</v>
      </c>
      <c r="E625" s="4">
        <v>45761</v>
      </c>
      <c r="F625" s="4">
        <v>45775</v>
      </c>
      <c r="G625" s="8">
        <v>14</v>
      </c>
      <c r="H625" t="s">
        <v>15</v>
      </c>
      <c r="I625">
        <v>30</v>
      </c>
      <c r="J625" t="s">
        <v>21</v>
      </c>
      <c r="K625" t="s">
        <v>17</v>
      </c>
      <c r="L625" s="6">
        <v>14028.93</v>
      </c>
      <c r="M625" t="str">
        <f>TEXT(Table1[[#This Row],[Admission_Date]], "mmm")</f>
        <v>Apr</v>
      </c>
      <c r="N625">
        <f>YEAR(Table1[[#This Row],[Admission_Date]])</f>
        <v>2025</v>
      </c>
      <c r="O625" t="str">
        <f>IF(Table1[[#This Row],[Age]]&lt;30, "Young Adult", IF(Table1[[#This Row],[Age]]&lt;60, "Adult", "Senior"))</f>
        <v>Senior</v>
      </c>
    </row>
    <row r="626" spans="1:15" x14ac:dyDescent="0.25">
      <c r="A626" t="s">
        <v>653</v>
      </c>
      <c r="B626">
        <v>86</v>
      </c>
      <c r="C626" t="s">
        <v>13</v>
      </c>
      <c r="D626" t="s">
        <v>14</v>
      </c>
      <c r="E626" s="4">
        <v>45738</v>
      </c>
      <c r="F626" s="4">
        <v>45744</v>
      </c>
      <c r="G626" s="8">
        <v>6</v>
      </c>
      <c r="H626" t="s">
        <v>15</v>
      </c>
      <c r="I626">
        <v>11</v>
      </c>
      <c r="J626" t="s">
        <v>21</v>
      </c>
      <c r="K626" t="s">
        <v>17</v>
      </c>
      <c r="L626" s="6">
        <v>927.51</v>
      </c>
      <c r="M626" t="str">
        <f>TEXT(Table1[[#This Row],[Admission_Date]], "mmm")</f>
        <v>Mar</v>
      </c>
      <c r="N626">
        <f>YEAR(Table1[[#This Row],[Admission_Date]])</f>
        <v>2025</v>
      </c>
      <c r="O626" t="str">
        <f>IF(Table1[[#This Row],[Age]]&lt;30, "Young Adult", IF(Table1[[#This Row],[Age]]&lt;60, "Adult", "Senior"))</f>
        <v>Senior</v>
      </c>
    </row>
    <row r="627" spans="1:15" x14ac:dyDescent="0.25">
      <c r="A627" t="s">
        <v>654</v>
      </c>
      <c r="B627">
        <v>56</v>
      </c>
      <c r="C627" t="s">
        <v>24</v>
      </c>
      <c r="D627" t="s">
        <v>28</v>
      </c>
      <c r="E627" s="4">
        <v>45821</v>
      </c>
      <c r="F627" s="4">
        <v>45828</v>
      </c>
      <c r="G627" s="8">
        <v>7</v>
      </c>
      <c r="H627" t="s">
        <v>20</v>
      </c>
      <c r="I627">
        <v>0</v>
      </c>
      <c r="J627" t="s">
        <v>25</v>
      </c>
      <c r="K627" t="s">
        <v>22</v>
      </c>
      <c r="L627" s="6">
        <v>11797.06</v>
      </c>
      <c r="M627" t="str">
        <f>TEXT(Table1[[#This Row],[Admission_Date]], "mmm")</f>
        <v>Jun</v>
      </c>
      <c r="N627">
        <f>YEAR(Table1[[#This Row],[Admission_Date]])</f>
        <v>2025</v>
      </c>
      <c r="O627" t="str">
        <f>IF(Table1[[#This Row],[Age]]&lt;30, "Young Adult", IF(Table1[[#This Row],[Age]]&lt;60, "Adult", "Senior"))</f>
        <v>Adult</v>
      </c>
    </row>
    <row r="628" spans="1:15" x14ac:dyDescent="0.25">
      <c r="A628" t="s">
        <v>655</v>
      </c>
      <c r="B628">
        <v>52</v>
      </c>
      <c r="C628" t="s">
        <v>13</v>
      </c>
      <c r="D628" t="s">
        <v>34</v>
      </c>
      <c r="E628" s="4">
        <v>45712</v>
      </c>
      <c r="F628" s="4">
        <v>45715</v>
      </c>
      <c r="G628" s="8">
        <v>3</v>
      </c>
      <c r="H628" t="s">
        <v>15</v>
      </c>
      <c r="I628">
        <v>8</v>
      </c>
      <c r="J628" t="s">
        <v>21</v>
      </c>
      <c r="K628" t="s">
        <v>17</v>
      </c>
      <c r="L628" s="6">
        <v>878.23</v>
      </c>
      <c r="M628" t="str">
        <f>TEXT(Table1[[#This Row],[Admission_Date]], "mmm")</f>
        <v>Feb</v>
      </c>
      <c r="N628">
        <f>YEAR(Table1[[#This Row],[Admission_Date]])</f>
        <v>2025</v>
      </c>
      <c r="O628" t="str">
        <f>IF(Table1[[#This Row],[Age]]&lt;30, "Young Adult", IF(Table1[[#This Row],[Age]]&lt;60, "Adult", "Senior"))</f>
        <v>Adult</v>
      </c>
    </row>
    <row r="629" spans="1:15" x14ac:dyDescent="0.25">
      <c r="A629" t="s">
        <v>656</v>
      </c>
      <c r="B629">
        <v>35</v>
      </c>
      <c r="C629" t="s">
        <v>24</v>
      </c>
      <c r="D629" t="s">
        <v>28</v>
      </c>
      <c r="E629" s="4">
        <v>45698</v>
      </c>
      <c r="F629" s="4">
        <v>45710</v>
      </c>
      <c r="G629" s="8">
        <v>12</v>
      </c>
      <c r="H629" t="s">
        <v>20</v>
      </c>
      <c r="I629">
        <v>0</v>
      </c>
      <c r="J629" t="s">
        <v>25</v>
      </c>
      <c r="K629" t="s">
        <v>22</v>
      </c>
      <c r="L629" s="6">
        <v>12855.88</v>
      </c>
      <c r="M629" t="str">
        <f>TEXT(Table1[[#This Row],[Admission_Date]], "mmm")</f>
        <v>Feb</v>
      </c>
      <c r="N629">
        <f>YEAR(Table1[[#This Row],[Admission_Date]])</f>
        <v>2025</v>
      </c>
      <c r="O629" t="str">
        <f>IF(Table1[[#This Row],[Age]]&lt;30, "Young Adult", IF(Table1[[#This Row],[Age]]&lt;60, "Adult", "Senior"))</f>
        <v>Adult</v>
      </c>
    </row>
    <row r="630" spans="1:15" x14ac:dyDescent="0.25">
      <c r="A630" t="s">
        <v>657</v>
      </c>
      <c r="B630">
        <v>42</v>
      </c>
      <c r="C630" t="s">
        <v>13</v>
      </c>
      <c r="D630" t="s">
        <v>19</v>
      </c>
      <c r="E630" s="4">
        <v>45909</v>
      </c>
      <c r="F630" s="4">
        <v>45917</v>
      </c>
      <c r="G630" s="8">
        <v>8</v>
      </c>
      <c r="H630" t="s">
        <v>15</v>
      </c>
      <c r="I630">
        <v>14</v>
      </c>
      <c r="J630" t="s">
        <v>16</v>
      </c>
      <c r="K630" t="s">
        <v>47</v>
      </c>
      <c r="L630" s="6">
        <v>14277.87</v>
      </c>
      <c r="M630" t="str">
        <f>TEXT(Table1[[#This Row],[Admission_Date]], "mmm")</f>
        <v>Sep</v>
      </c>
      <c r="N630">
        <f>YEAR(Table1[[#This Row],[Admission_Date]])</f>
        <v>2025</v>
      </c>
      <c r="O630" t="str">
        <f>IF(Table1[[#This Row],[Age]]&lt;30, "Young Adult", IF(Table1[[#This Row],[Age]]&lt;60, "Adult", "Senior"))</f>
        <v>Adult</v>
      </c>
    </row>
    <row r="631" spans="1:15" x14ac:dyDescent="0.25">
      <c r="A631" t="s">
        <v>658</v>
      </c>
      <c r="B631">
        <v>43</v>
      </c>
      <c r="C631" t="s">
        <v>13</v>
      </c>
      <c r="D631" t="s">
        <v>19</v>
      </c>
      <c r="E631" s="4">
        <v>45771</v>
      </c>
      <c r="F631" s="4">
        <v>45783</v>
      </c>
      <c r="G631" s="8">
        <v>12</v>
      </c>
      <c r="H631" t="s">
        <v>20</v>
      </c>
      <c r="I631">
        <v>0</v>
      </c>
      <c r="J631" t="s">
        <v>21</v>
      </c>
      <c r="K631" t="s">
        <v>47</v>
      </c>
      <c r="L631" s="6">
        <v>13073.37</v>
      </c>
      <c r="M631" t="str">
        <f>TEXT(Table1[[#This Row],[Admission_Date]], "mmm")</f>
        <v>Apr</v>
      </c>
      <c r="N631">
        <f>YEAR(Table1[[#This Row],[Admission_Date]])</f>
        <v>2025</v>
      </c>
      <c r="O631" t="str">
        <f>IF(Table1[[#This Row],[Age]]&lt;30, "Young Adult", IF(Table1[[#This Row],[Age]]&lt;60, "Adult", "Senior"))</f>
        <v>Adult</v>
      </c>
    </row>
    <row r="632" spans="1:15" x14ac:dyDescent="0.25">
      <c r="A632" t="s">
        <v>659</v>
      </c>
      <c r="B632">
        <v>76</v>
      </c>
      <c r="C632" t="s">
        <v>13</v>
      </c>
      <c r="D632" t="s">
        <v>40</v>
      </c>
      <c r="E632" s="4">
        <v>45908</v>
      </c>
      <c r="F632" s="4">
        <v>45920</v>
      </c>
      <c r="G632" s="8">
        <v>12</v>
      </c>
      <c r="H632" t="s">
        <v>20</v>
      </c>
      <c r="I632">
        <v>0</v>
      </c>
      <c r="J632" t="s">
        <v>29</v>
      </c>
      <c r="K632" t="s">
        <v>22</v>
      </c>
      <c r="L632" s="6">
        <v>9314.98</v>
      </c>
      <c r="M632" t="str">
        <f>TEXT(Table1[[#This Row],[Admission_Date]], "mmm")</f>
        <v>Sep</v>
      </c>
      <c r="N632">
        <f>YEAR(Table1[[#This Row],[Admission_Date]])</f>
        <v>2025</v>
      </c>
      <c r="O632" t="str">
        <f>IF(Table1[[#This Row],[Age]]&lt;30, "Young Adult", IF(Table1[[#This Row],[Age]]&lt;60, "Adult", "Senior"))</f>
        <v>Senior</v>
      </c>
    </row>
    <row r="633" spans="1:15" x14ac:dyDescent="0.25">
      <c r="A633" t="s">
        <v>660</v>
      </c>
      <c r="B633">
        <v>86</v>
      </c>
      <c r="C633" t="s">
        <v>13</v>
      </c>
      <c r="D633" t="s">
        <v>34</v>
      </c>
      <c r="E633" s="4">
        <v>45852</v>
      </c>
      <c r="F633" s="4">
        <v>45864</v>
      </c>
      <c r="G633" s="8">
        <v>12</v>
      </c>
      <c r="H633" t="s">
        <v>20</v>
      </c>
      <c r="I633">
        <v>0</v>
      </c>
      <c r="J633" t="s">
        <v>16</v>
      </c>
      <c r="K633" t="s">
        <v>47</v>
      </c>
      <c r="L633" s="6">
        <v>7125.06</v>
      </c>
      <c r="M633" t="str">
        <f>TEXT(Table1[[#This Row],[Admission_Date]], "mmm")</f>
        <v>Jul</v>
      </c>
      <c r="N633">
        <f>YEAR(Table1[[#This Row],[Admission_Date]])</f>
        <v>2025</v>
      </c>
      <c r="O633" t="str">
        <f>IF(Table1[[#This Row],[Age]]&lt;30, "Young Adult", IF(Table1[[#This Row],[Age]]&lt;60, "Adult", "Senior"))</f>
        <v>Senior</v>
      </c>
    </row>
    <row r="634" spans="1:15" x14ac:dyDescent="0.25">
      <c r="A634" t="s">
        <v>661</v>
      </c>
      <c r="B634">
        <v>68</v>
      </c>
      <c r="C634" t="s">
        <v>13</v>
      </c>
      <c r="D634" t="s">
        <v>34</v>
      </c>
      <c r="E634" s="4">
        <v>45679</v>
      </c>
      <c r="F634" s="4">
        <v>45683</v>
      </c>
      <c r="G634" s="8">
        <v>4</v>
      </c>
      <c r="H634" t="s">
        <v>20</v>
      </c>
      <c r="I634">
        <v>0</v>
      </c>
      <c r="J634" t="s">
        <v>29</v>
      </c>
      <c r="K634" t="s">
        <v>17</v>
      </c>
      <c r="L634" s="6">
        <v>11594.82</v>
      </c>
      <c r="M634" t="str">
        <f>TEXT(Table1[[#This Row],[Admission_Date]], "mmm")</f>
        <v>Jan</v>
      </c>
      <c r="N634">
        <f>YEAR(Table1[[#This Row],[Admission_Date]])</f>
        <v>2025</v>
      </c>
      <c r="O634" t="str">
        <f>IF(Table1[[#This Row],[Age]]&lt;30, "Young Adult", IF(Table1[[#This Row],[Age]]&lt;60, "Adult", "Senior"))</f>
        <v>Senior</v>
      </c>
    </row>
    <row r="635" spans="1:15" x14ac:dyDescent="0.25">
      <c r="A635" t="s">
        <v>662</v>
      </c>
      <c r="B635">
        <v>68</v>
      </c>
      <c r="C635" t="s">
        <v>24</v>
      </c>
      <c r="D635" t="s">
        <v>32</v>
      </c>
      <c r="E635" s="4">
        <v>45683</v>
      </c>
      <c r="F635" s="4">
        <v>45687</v>
      </c>
      <c r="G635" s="8">
        <v>4</v>
      </c>
      <c r="H635" t="s">
        <v>15</v>
      </c>
      <c r="I635">
        <v>15</v>
      </c>
      <c r="J635" t="s">
        <v>21</v>
      </c>
      <c r="K635" t="s">
        <v>47</v>
      </c>
      <c r="L635" s="6">
        <v>4769.09</v>
      </c>
      <c r="M635" t="str">
        <f>TEXT(Table1[[#This Row],[Admission_Date]], "mmm")</f>
        <v>Jan</v>
      </c>
      <c r="N635">
        <f>YEAR(Table1[[#This Row],[Admission_Date]])</f>
        <v>2025</v>
      </c>
      <c r="O635" t="str">
        <f>IF(Table1[[#This Row],[Age]]&lt;30, "Young Adult", IF(Table1[[#This Row],[Age]]&lt;60, "Adult", "Senior"))</f>
        <v>Senior</v>
      </c>
    </row>
    <row r="636" spans="1:15" x14ac:dyDescent="0.25">
      <c r="A636" t="s">
        <v>663</v>
      </c>
      <c r="B636">
        <v>36</v>
      </c>
      <c r="C636" t="s">
        <v>24</v>
      </c>
      <c r="D636" t="s">
        <v>28</v>
      </c>
      <c r="E636" s="4">
        <v>45685</v>
      </c>
      <c r="F636" s="4">
        <v>45697</v>
      </c>
      <c r="G636" s="8">
        <v>12</v>
      </c>
      <c r="H636" t="s">
        <v>20</v>
      </c>
      <c r="I636">
        <v>0</v>
      </c>
      <c r="J636" t="s">
        <v>29</v>
      </c>
      <c r="K636" t="s">
        <v>22</v>
      </c>
      <c r="L636" s="6">
        <v>10978.38</v>
      </c>
      <c r="M636" t="str">
        <f>TEXT(Table1[[#This Row],[Admission_Date]], "mmm")</f>
        <v>Jan</v>
      </c>
      <c r="N636">
        <f>YEAR(Table1[[#This Row],[Admission_Date]])</f>
        <v>2025</v>
      </c>
      <c r="O636" t="str">
        <f>IF(Table1[[#This Row],[Age]]&lt;30, "Young Adult", IF(Table1[[#This Row],[Age]]&lt;60, "Adult", "Senior"))</f>
        <v>Adult</v>
      </c>
    </row>
    <row r="637" spans="1:15" x14ac:dyDescent="0.25">
      <c r="A637" t="s">
        <v>664</v>
      </c>
      <c r="B637">
        <v>87</v>
      </c>
      <c r="C637" t="s">
        <v>13</v>
      </c>
      <c r="D637" t="s">
        <v>40</v>
      </c>
      <c r="E637" s="4">
        <v>45715</v>
      </c>
      <c r="F637" s="4">
        <v>45718</v>
      </c>
      <c r="G637" s="8">
        <v>3</v>
      </c>
      <c r="H637" t="s">
        <v>20</v>
      </c>
      <c r="I637">
        <v>0</v>
      </c>
      <c r="J637" t="s">
        <v>29</v>
      </c>
      <c r="K637" t="s">
        <v>47</v>
      </c>
      <c r="L637" s="6">
        <v>7037.84</v>
      </c>
      <c r="M637" t="str">
        <f>TEXT(Table1[[#This Row],[Admission_Date]], "mmm")</f>
        <v>Feb</v>
      </c>
      <c r="N637">
        <f>YEAR(Table1[[#This Row],[Admission_Date]])</f>
        <v>2025</v>
      </c>
      <c r="O637" t="str">
        <f>IF(Table1[[#This Row],[Age]]&lt;30, "Young Adult", IF(Table1[[#This Row],[Age]]&lt;60, "Adult", "Senior"))</f>
        <v>Senior</v>
      </c>
    </row>
    <row r="638" spans="1:15" x14ac:dyDescent="0.25">
      <c r="A638" t="s">
        <v>665</v>
      </c>
      <c r="B638">
        <v>43</v>
      </c>
      <c r="C638" t="s">
        <v>24</v>
      </c>
      <c r="D638" t="s">
        <v>19</v>
      </c>
      <c r="E638" s="4">
        <v>45749</v>
      </c>
      <c r="F638" s="4">
        <v>45757</v>
      </c>
      <c r="G638" s="8">
        <v>8</v>
      </c>
      <c r="H638" t="s">
        <v>20</v>
      </c>
      <c r="I638">
        <v>0</v>
      </c>
      <c r="J638" t="s">
        <v>25</v>
      </c>
      <c r="K638" t="s">
        <v>47</v>
      </c>
      <c r="L638" s="6">
        <v>10529.9</v>
      </c>
      <c r="M638" t="str">
        <f>TEXT(Table1[[#This Row],[Admission_Date]], "mmm")</f>
        <v>Apr</v>
      </c>
      <c r="N638">
        <f>YEAR(Table1[[#This Row],[Admission_Date]])</f>
        <v>2025</v>
      </c>
      <c r="O638" t="str">
        <f>IF(Table1[[#This Row],[Age]]&lt;30, "Young Adult", IF(Table1[[#This Row],[Age]]&lt;60, "Adult", "Senior"))</f>
        <v>Adult</v>
      </c>
    </row>
    <row r="639" spans="1:15" x14ac:dyDescent="0.25">
      <c r="A639" t="s">
        <v>666</v>
      </c>
      <c r="B639">
        <v>33</v>
      </c>
      <c r="C639" t="s">
        <v>13</v>
      </c>
      <c r="D639" t="s">
        <v>19</v>
      </c>
      <c r="E639" s="4">
        <v>46022</v>
      </c>
      <c r="F639" s="4">
        <v>46035</v>
      </c>
      <c r="G639" s="8">
        <v>13</v>
      </c>
      <c r="H639" t="s">
        <v>15</v>
      </c>
      <c r="I639">
        <v>23</v>
      </c>
      <c r="J639" t="s">
        <v>29</v>
      </c>
      <c r="K639" t="s">
        <v>17</v>
      </c>
      <c r="L639" s="6">
        <v>5762.68</v>
      </c>
      <c r="M639" t="str">
        <f>TEXT(Table1[[#This Row],[Admission_Date]], "mmm")</f>
        <v>Dec</v>
      </c>
      <c r="N639">
        <f>YEAR(Table1[[#This Row],[Admission_Date]])</f>
        <v>2025</v>
      </c>
      <c r="O639" t="str">
        <f>IF(Table1[[#This Row],[Age]]&lt;30, "Young Adult", IF(Table1[[#This Row],[Age]]&lt;60, "Adult", "Senior"))</f>
        <v>Adult</v>
      </c>
    </row>
    <row r="640" spans="1:15" x14ac:dyDescent="0.25">
      <c r="A640" t="s">
        <v>667</v>
      </c>
      <c r="B640">
        <v>83</v>
      </c>
      <c r="C640" t="s">
        <v>13</v>
      </c>
      <c r="D640" t="s">
        <v>40</v>
      </c>
      <c r="E640" s="4">
        <v>45926</v>
      </c>
      <c r="F640" s="4">
        <v>45938</v>
      </c>
      <c r="G640" s="8">
        <v>12</v>
      </c>
      <c r="H640" t="s">
        <v>20</v>
      </c>
      <c r="I640">
        <v>0</v>
      </c>
      <c r="J640" t="s">
        <v>29</v>
      </c>
      <c r="K640" t="s">
        <v>22</v>
      </c>
      <c r="L640" s="6">
        <v>11639.77</v>
      </c>
      <c r="M640" t="str">
        <f>TEXT(Table1[[#This Row],[Admission_Date]], "mmm")</f>
        <v>Sep</v>
      </c>
      <c r="N640">
        <f>YEAR(Table1[[#This Row],[Admission_Date]])</f>
        <v>2025</v>
      </c>
      <c r="O640" t="str">
        <f>IF(Table1[[#This Row],[Age]]&lt;30, "Young Adult", IF(Table1[[#This Row],[Age]]&lt;60, "Adult", "Senior"))</f>
        <v>Senior</v>
      </c>
    </row>
    <row r="641" spans="1:15" x14ac:dyDescent="0.25">
      <c r="A641" t="s">
        <v>668</v>
      </c>
      <c r="B641">
        <v>37</v>
      </c>
      <c r="C641" t="s">
        <v>13</v>
      </c>
      <c r="D641" t="s">
        <v>14</v>
      </c>
      <c r="E641" s="4">
        <v>45829</v>
      </c>
      <c r="F641" s="4">
        <v>45839</v>
      </c>
      <c r="G641" s="8">
        <v>10</v>
      </c>
      <c r="H641" t="s">
        <v>20</v>
      </c>
      <c r="I641">
        <v>0</v>
      </c>
      <c r="J641" t="s">
        <v>21</v>
      </c>
      <c r="K641" t="s">
        <v>17</v>
      </c>
      <c r="L641" s="6">
        <v>1244</v>
      </c>
      <c r="M641" t="str">
        <f>TEXT(Table1[[#This Row],[Admission_Date]], "mmm")</f>
        <v>Jun</v>
      </c>
      <c r="N641">
        <f>YEAR(Table1[[#This Row],[Admission_Date]])</f>
        <v>2025</v>
      </c>
      <c r="O641" t="str">
        <f>IF(Table1[[#This Row],[Age]]&lt;30, "Young Adult", IF(Table1[[#This Row],[Age]]&lt;60, "Adult", "Senior"))</f>
        <v>Adult</v>
      </c>
    </row>
    <row r="642" spans="1:15" x14ac:dyDescent="0.25">
      <c r="A642" t="s">
        <v>669</v>
      </c>
      <c r="B642">
        <v>75</v>
      </c>
      <c r="C642" t="s">
        <v>24</v>
      </c>
      <c r="D642" t="s">
        <v>28</v>
      </c>
      <c r="E642" s="4">
        <v>45815</v>
      </c>
      <c r="F642" s="4">
        <v>45820</v>
      </c>
      <c r="G642" s="8">
        <v>5</v>
      </c>
      <c r="H642" t="s">
        <v>20</v>
      </c>
      <c r="I642">
        <v>0</v>
      </c>
      <c r="J642" t="s">
        <v>21</v>
      </c>
      <c r="K642" t="s">
        <v>22</v>
      </c>
      <c r="L642" s="6">
        <v>13528.86</v>
      </c>
      <c r="M642" t="str">
        <f>TEXT(Table1[[#This Row],[Admission_Date]], "mmm")</f>
        <v>Jun</v>
      </c>
      <c r="N642">
        <f>YEAR(Table1[[#This Row],[Admission_Date]])</f>
        <v>2025</v>
      </c>
      <c r="O642" t="str">
        <f>IF(Table1[[#This Row],[Age]]&lt;30, "Young Adult", IF(Table1[[#This Row],[Age]]&lt;60, "Adult", "Senior"))</f>
        <v>Senior</v>
      </c>
    </row>
    <row r="643" spans="1:15" x14ac:dyDescent="0.25">
      <c r="A643" t="s">
        <v>670</v>
      </c>
      <c r="B643">
        <v>50</v>
      </c>
      <c r="C643" t="s">
        <v>13</v>
      </c>
      <c r="D643" t="s">
        <v>40</v>
      </c>
      <c r="E643" s="4">
        <v>45761</v>
      </c>
      <c r="F643" s="4">
        <v>45762</v>
      </c>
      <c r="G643" s="8">
        <v>1</v>
      </c>
      <c r="H643" t="s">
        <v>20</v>
      </c>
      <c r="I643">
        <v>0</v>
      </c>
      <c r="J643" t="s">
        <v>29</v>
      </c>
      <c r="K643" t="s">
        <v>47</v>
      </c>
      <c r="L643" s="6">
        <v>8380.77</v>
      </c>
      <c r="M643" t="str">
        <f>TEXT(Table1[[#This Row],[Admission_Date]], "mmm")</f>
        <v>Apr</v>
      </c>
      <c r="N643">
        <f>YEAR(Table1[[#This Row],[Admission_Date]])</f>
        <v>2025</v>
      </c>
      <c r="O643" t="str">
        <f>IF(Table1[[#This Row],[Age]]&lt;30, "Young Adult", IF(Table1[[#This Row],[Age]]&lt;60, "Adult", "Senior"))</f>
        <v>Adult</v>
      </c>
    </row>
    <row r="644" spans="1:15" x14ac:dyDescent="0.25">
      <c r="A644" t="s">
        <v>671</v>
      </c>
      <c r="B644">
        <v>48</v>
      </c>
      <c r="C644" t="s">
        <v>13</v>
      </c>
      <c r="D644" t="s">
        <v>34</v>
      </c>
      <c r="E644" s="4">
        <v>45660</v>
      </c>
      <c r="F644" s="4">
        <v>45670</v>
      </c>
      <c r="G644" s="8">
        <v>10</v>
      </c>
      <c r="H644" t="s">
        <v>20</v>
      </c>
      <c r="I644">
        <v>0</v>
      </c>
      <c r="J644" t="s">
        <v>29</v>
      </c>
      <c r="K644" t="s">
        <v>47</v>
      </c>
      <c r="L644" s="6">
        <v>6447.19</v>
      </c>
      <c r="M644" t="str">
        <f>TEXT(Table1[[#This Row],[Admission_Date]], "mmm")</f>
        <v>Jan</v>
      </c>
      <c r="N644">
        <f>YEAR(Table1[[#This Row],[Admission_Date]])</f>
        <v>2025</v>
      </c>
      <c r="O644" t="str">
        <f>IF(Table1[[#This Row],[Age]]&lt;30, "Young Adult", IF(Table1[[#This Row],[Age]]&lt;60, "Adult", "Senior"))</f>
        <v>Adult</v>
      </c>
    </row>
    <row r="645" spans="1:15" x14ac:dyDescent="0.25">
      <c r="A645" t="s">
        <v>672</v>
      </c>
      <c r="B645">
        <v>49</v>
      </c>
      <c r="C645" t="s">
        <v>24</v>
      </c>
      <c r="D645" t="s">
        <v>34</v>
      </c>
      <c r="E645" s="4">
        <v>45698</v>
      </c>
      <c r="F645" s="4">
        <v>45708</v>
      </c>
      <c r="G645" s="8">
        <v>10</v>
      </c>
      <c r="H645" t="s">
        <v>20</v>
      </c>
      <c r="I645">
        <v>0</v>
      </c>
      <c r="J645" t="s">
        <v>21</v>
      </c>
      <c r="K645" t="s">
        <v>22</v>
      </c>
      <c r="L645" s="6">
        <v>3180.18</v>
      </c>
      <c r="M645" t="str">
        <f>TEXT(Table1[[#This Row],[Admission_Date]], "mmm")</f>
        <v>Feb</v>
      </c>
      <c r="N645">
        <f>YEAR(Table1[[#This Row],[Admission_Date]])</f>
        <v>2025</v>
      </c>
      <c r="O645" t="str">
        <f>IF(Table1[[#This Row],[Age]]&lt;30, "Young Adult", IF(Table1[[#This Row],[Age]]&lt;60, "Adult", "Senior"))</f>
        <v>Adult</v>
      </c>
    </row>
    <row r="646" spans="1:15" x14ac:dyDescent="0.25">
      <c r="A646" t="s">
        <v>673</v>
      </c>
      <c r="B646">
        <v>36</v>
      </c>
      <c r="C646" t="s">
        <v>13</v>
      </c>
      <c r="D646" t="s">
        <v>28</v>
      </c>
      <c r="E646" s="4">
        <v>45686</v>
      </c>
      <c r="F646" s="4">
        <v>45697</v>
      </c>
      <c r="G646" s="8">
        <v>11</v>
      </c>
      <c r="H646" t="s">
        <v>20</v>
      </c>
      <c r="I646">
        <v>0</v>
      </c>
      <c r="J646" t="s">
        <v>25</v>
      </c>
      <c r="K646" t="s">
        <v>47</v>
      </c>
      <c r="L646" s="6">
        <v>13845.58</v>
      </c>
      <c r="M646" t="str">
        <f>TEXT(Table1[[#This Row],[Admission_Date]], "mmm")</f>
        <v>Jan</v>
      </c>
      <c r="N646">
        <f>YEAR(Table1[[#This Row],[Admission_Date]])</f>
        <v>2025</v>
      </c>
      <c r="O646" t="str">
        <f>IF(Table1[[#This Row],[Age]]&lt;30, "Young Adult", IF(Table1[[#This Row],[Age]]&lt;60, "Adult", "Senior"))</f>
        <v>Adult</v>
      </c>
    </row>
    <row r="647" spans="1:15" x14ac:dyDescent="0.25">
      <c r="A647" t="s">
        <v>674</v>
      </c>
      <c r="B647">
        <v>40</v>
      </c>
      <c r="C647" t="s">
        <v>13</v>
      </c>
      <c r="D647" t="s">
        <v>28</v>
      </c>
      <c r="E647" s="4">
        <v>45683</v>
      </c>
      <c r="F647" s="4">
        <v>45685</v>
      </c>
      <c r="G647" s="8">
        <v>2</v>
      </c>
      <c r="H647" t="s">
        <v>20</v>
      </c>
      <c r="I647">
        <v>0</v>
      </c>
      <c r="J647" t="s">
        <v>25</v>
      </c>
      <c r="K647" t="s">
        <v>17</v>
      </c>
      <c r="L647" s="6">
        <v>10083.41</v>
      </c>
      <c r="M647" t="str">
        <f>TEXT(Table1[[#This Row],[Admission_Date]], "mmm")</f>
        <v>Jan</v>
      </c>
      <c r="N647">
        <f>YEAR(Table1[[#This Row],[Admission_Date]])</f>
        <v>2025</v>
      </c>
      <c r="O647" t="str">
        <f>IF(Table1[[#This Row],[Age]]&lt;30, "Young Adult", IF(Table1[[#This Row],[Age]]&lt;60, "Adult", "Senior"))</f>
        <v>Adult</v>
      </c>
    </row>
    <row r="648" spans="1:15" x14ac:dyDescent="0.25">
      <c r="A648" t="s">
        <v>675</v>
      </c>
      <c r="B648">
        <v>89</v>
      </c>
      <c r="C648" t="s">
        <v>13</v>
      </c>
      <c r="D648" t="s">
        <v>40</v>
      </c>
      <c r="E648" s="4">
        <v>46016</v>
      </c>
      <c r="F648" s="4">
        <v>46026</v>
      </c>
      <c r="G648" s="8">
        <v>10</v>
      </c>
      <c r="H648" t="s">
        <v>20</v>
      </c>
      <c r="I648">
        <v>0</v>
      </c>
      <c r="J648" t="s">
        <v>25</v>
      </c>
      <c r="K648" t="s">
        <v>22</v>
      </c>
      <c r="L648" s="6">
        <v>1850.33</v>
      </c>
      <c r="M648" t="str">
        <f>TEXT(Table1[[#This Row],[Admission_Date]], "mmm")</f>
        <v>Dec</v>
      </c>
      <c r="N648">
        <f>YEAR(Table1[[#This Row],[Admission_Date]])</f>
        <v>2025</v>
      </c>
      <c r="O648" t="str">
        <f>IF(Table1[[#This Row],[Age]]&lt;30, "Young Adult", IF(Table1[[#This Row],[Age]]&lt;60, "Adult", "Senior"))</f>
        <v>Senior</v>
      </c>
    </row>
    <row r="649" spans="1:15" x14ac:dyDescent="0.25">
      <c r="A649" t="s">
        <v>676</v>
      </c>
      <c r="B649">
        <v>66</v>
      </c>
      <c r="C649" t="s">
        <v>13</v>
      </c>
      <c r="D649" t="s">
        <v>40</v>
      </c>
      <c r="E649" s="4">
        <v>45811</v>
      </c>
      <c r="F649" s="4">
        <v>45817</v>
      </c>
      <c r="G649" s="8">
        <v>6</v>
      </c>
      <c r="H649" t="s">
        <v>20</v>
      </c>
      <c r="I649">
        <v>0</v>
      </c>
      <c r="J649" t="s">
        <v>16</v>
      </c>
      <c r="K649" t="s">
        <v>47</v>
      </c>
      <c r="L649" s="6">
        <v>7326.84</v>
      </c>
      <c r="M649" t="str">
        <f>TEXT(Table1[[#This Row],[Admission_Date]], "mmm")</f>
        <v>Jun</v>
      </c>
      <c r="N649">
        <f>YEAR(Table1[[#This Row],[Admission_Date]])</f>
        <v>2025</v>
      </c>
      <c r="O649" t="str">
        <f>IF(Table1[[#This Row],[Age]]&lt;30, "Young Adult", IF(Table1[[#This Row],[Age]]&lt;60, "Adult", "Senior"))</f>
        <v>Senior</v>
      </c>
    </row>
    <row r="650" spans="1:15" x14ac:dyDescent="0.25">
      <c r="A650" t="s">
        <v>677</v>
      </c>
      <c r="B650">
        <v>60</v>
      </c>
      <c r="C650" t="s">
        <v>24</v>
      </c>
      <c r="D650" t="s">
        <v>34</v>
      </c>
      <c r="E650" s="4">
        <v>45720</v>
      </c>
      <c r="F650" s="4">
        <v>45732</v>
      </c>
      <c r="G650" s="8">
        <v>12</v>
      </c>
      <c r="H650" t="s">
        <v>20</v>
      </c>
      <c r="I650">
        <v>0</v>
      </c>
      <c r="J650" t="s">
        <v>21</v>
      </c>
      <c r="K650" t="s">
        <v>17</v>
      </c>
      <c r="L650" s="6">
        <v>3531.24</v>
      </c>
      <c r="M650" t="str">
        <f>TEXT(Table1[[#This Row],[Admission_Date]], "mmm")</f>
        <v>Mar</v>
      </c>
      <c r="N650">
        <f>YEAR(Table1[[#This Row],[Admission_Date]])</f>
        <v>2025</v>
      </c>
      <c r="O650" t="str">
        <f>IF(Table1[[#This Row],[Age]]&lt;30, "Young Adult", IF(Table1[[#This Row],[Age]]&lt;60, "Adult", "Senior"))</f>
        <v>Senior</v>
      </c>
    </row>
    <row r="651" spans="1:15" x14ac:dyDescent="0.25">
      <c r="A651" t="s">
        <v>678</v>
      </c>
      <c r="B651">
        <v>85</v>
      </c>
      <c r="C651" t="s">
        <v>13</v>
      </c>
      <c r="D651" t="s">
        <v>40</v>
      </c>
      <c r="E651" s="4">
        <v>45687</v>
      </c>
      <c r="F651" s="4">
        <v>45689</v>
      </c>
      <c r="G651" s="8">
        <v>2</v>
      </c>
      <c r="H651" t="s">
        <v>20</v>
      </c>
      <c r="I651">
        <v>0</v>
      </c>
      <c r="J651" t="s">
        <v>25</v>
      </c>
      <c r="K651" t="s">
        <v>47</v>
      </c>
      <c r="L651" s="6">
        <v>9328.25</v>
      </c>
      <c r="M651" t="str">
        <f>TEXT(Table1[[#This Row],[Admission_Date]], "mmm")</f>
        <v>Jan</v>
      </c>
      <c r="N651">
        <f>YEAR(Table1[[#This Row],[Admission_Date]])</f>
        <v>2025</v>
      </c>
      <c r="O651" t="str">
        <f>IF(Table1[[#This Row],[Age]]&lt;30, "Young Adult", IF(Table1[[#This Row],[Age]]&lt;60, "Adult", "Senior"))</f>
        <v>Senior</v>
      </c>
    </row>
    <row r="652" spans="1:15" x14ac:dyDescent="0.25">
      <c r="A652" t="s">
        <v>679</v>
      </c>
      <c r="B652">
        <v>63</v>
      </c>
      <c r="C652" t="s">
        <v>13</v>
      </c>
      <c r="D652" t="s">
        <v>34</v>
      </c>
      <c r="E652" s="4">
        <v>45820</v>
      </c>
      <c r="F652" s="4">
        <v>45825</v>
      </c>
      <c r="G652" s="8">
        <v>5</v>
      </c>
      <c r="H652" t="s">
        <v>20</v>
      </c>
      <c r="I652">
        <v>0</v>
      </c>
      <c r="J652" t="s">
        <v>29</v>
      </c>
      <c r="K652" t="s">
        <v>17</v>
      </c>
      <c r="L652" s="6">
        <v>11073.18</v>
      </c>
      <c r="M652" t="str">
        <f>TEXT(Table1[[#This Row],[Admission_Date]], "mmm")</f>
        <v>Jun</v>
      </c>
      <c r="N652">
        <f>YEAR(Table1[[#This Row],[Admission_Date]])</f>
        <v>2025</v>
      </c>
      <c r="O652" t="str">
        <f>IF(Table1[[#This Row],[Age]]&lt;30, "Young Adult", IF(Table1[[#This Row],[Age]]&lt;60, "Adult", "Senior"))</f>
        <v>Senior</v>
      </c>
    </row>
    <row r="653" spans="1:15" x14ac:dyDescent="0.25">
      <c r="A653" t="s">
        <v>680</v>
      </c>
      <c r="B653">
        <v>47</v>
      </c>
      <c r="C653" t="s">
        <v>24</v>
      </c>
      <c r="D653" t="s">
        <v>14</v>
      </c>
      <c r="E653" s="4">
        <v>45912</v>
      </c>
      <c r="F653" s="4">
        <v>45920</v>
      </c>
      <c r="G653" s="8">
        <v>8</v>
      </c>
      <c r="H653" t="s">
        <v>20</v>
      </c>
      <c r="I653">
        <v>0</v>
      </c>
      <c r="J653" t="s">
        <v>16</v>
      </c>
      <c r="K653" t="s">
        <v>22</v>
      </c>
      <c r="L653" s="6">
        <v>847.81</v>
      </c>
      <c r="M653" t="str">
        <f>TEXT(Table1[[#This Row],[Admission_Date]], "mmm")</f>
        <v>Sep</v>
      </c>
      <c r="N653">
        <f>YEAR(Table1[[#This Row],[Admission_Date]])</f>
        <v>2025</v>
      </c>
      <c r="O653" t="str">
        <f>IF(Table1[[#This Row],[Age]]&lt;30, "Young Adult", IF(Table1[[#This Row],[Age]]&lt;60, "Adult", "Senior"))</f>
        <v>Adult</v>
      </c>
    </row>
    <row r="654" spans="1:15" x14ac:dyDescent="0.25">
      <c r="A654" t="s">
        <v>681</v>
      </c>
      <c r="B654">
        <v>44</v>
      </c>
      <c r="C654" t="s">
        <v>24</v>
      </c>
      <c r="D654" t="s">
        <v>40</v>
      </c>
      <c r="E654" s="4">
        <v>45978</v>
      </c>
      <c r="F654" s="4">
        <v>45991</v>
      </c>
      <c r="G654" s="8">
        <v>13</v>
      </c>
      <c r="H654" t="s">
        <v>15</v>
      </c>
      <c r="I654">
        <v>2</v>
      </c>
      <c r="J654" t="s">
        <v>25</v>
      </c>
      <c r="K654" t="s">
        <v>47</v>
      </c>
      <c r="L654" s="6">
        <v>8626.02</v>
      </c>
      <c r="M654" t="str">
        <f>TEXT(Table1[[#This Row],[Admission_Date]], "mmm")</f>
        <v>Nov</v>
      </c>
      <c r="N654">
        <f>YEAR(Table1[[#This Row],[Admission_Date]])</f>
        <v>2025</v>
      </c>
      <c r="O654" t="str">
        <f>IF(Table1[[#This Row],[Age]]&lt;30, "Young Adult", IF(Table1[[#This Row],[Age]]&lt;60, "Adult", "Senior"))</f>
        <v>Adult</v>
      </c>
    </row>
    <row r="655" spans="1:15" x14ac:dyDescent="0.25">
      <c r="A655" t="s">
        <v>682</v>
      </c>
      <c r="B655">
        <v>43</v>
      </c>
      <c r="C655" t="s">
        <v>24</v>
      </c>
      <c r="D655" t="s">
        <v>32</v>
      </c>
      <c r="E655" s="4">
        <v>45984</v>
      </c>
      <c r="F655" s="4">
        <v>45988</v>
      </c>
      <c r="G655" s="8">
        <v>4</v>
      </c>
      <c r="H655" t="s">
        <v>15</v>
      </c>
      <c r="I655">
        <v>26</v>
      </c>
      <c r="J655" t="s">
        <v>16</v>
      </c>
      <c r="K655" t="s">
        <v>47</v>
      </c>
      <c r="L655" s="6">
        <v>4854.12</v>
      </c>
      <c r="M655" t="str">
        <f>TEXT(Table1[[#This Row],[Admission_Date]], "mmm")</f>
        <v>Nov</v>
      </c>
      <c r="N655">
        <f>YEAR(Table1[[#This Row],[Admission_Date]])</f>
        <v>2025</v>
      </c>
      <c r="O655" t="str">
        <f>IF(Table1[[#This Row],[Age]]&lt;30, "Young Adult", IF(Table1[[#This Row],[Age]]&lt;60, "Adult", "Senior"))</f>
        <v>Adult</v>
      </c>
    </row>
    <row r="656" spans="1:15" x14ac:dyDescent="0.25">
      <c r="A656" t="s">
        <v>683</v>
      </c>
      <c r="B656">
        <v>32</v>
      </c>
      <c r="C656" t="s">
        <v>24</v>
      </c>
      <c r="D656" t="s">
        <v>32</v>
      </c>
      <c r="E656" s="4">
        <v>45939</v>
      </c>
      <c r="F656" s="4">
        <v>45945</v>
      </c>
      <c r="G656" s="8">
        <v>6</v>
      </c>
      <c r="H656" t="s">
        <v>20</v>
      </c>
      <c r="I656">
        <v>0</v>
      </c>
      <c r="J656" t="s">
        <v>29</v>
      </c>
      <c r="K656" t="s">
        <v>17</v>
      </c>
      <c r="L656" s="6">
        <v>8749.36</v>
      </c>
      <c r="M656" t="str">
        <f>TEXT(Table1[[#This Row],[Admission_Date]], "mmm")</f>
        <v>Oct</v>
      </c>
      <c r="N656">
        <f>YEAR(Table1[[#This Row],[Admission_Date]])</f>
        <v>2025</v>
      </c>
      <c r="O656" t="str">
        <f>IF(Table1[[#This Row],[Age]]&lt;30, "Young Adult", IF(Table1[[#This Row],[Age]]&lt;60, "Adult", "Senior"))</f>
        <v>Adult</v>
      </c>
    </row>
    <row r="657" spans="1:15" x14ac:dyDescent="0.25">
      <c r="A657" t="s">
        <v>684</v>
      </c>
      <c r="B657">
        <v>60</v>
      </c>
      <c r="C657" t="s">
        <v>24</v>
      </c>
      <c r="D657" t="s">
        <v>28</v>
      </c>
      <c r="E657" s="4">
        <v>45672</v>
      </c>
      <c r="F657" s="4">
        <v>45686</v>
      </c>
      <c r="G657" s="8">
        <v>14</v>
      </c>
      <c r="H657" t="s">
        <v>15</v>
      </c>
      <c r="I657">
        <v>16</v>
      </c>
      <c r="J657" t="s">
        <v>29</v>
      </c>
      <c r="K657" t="s">
        <v>22</v>
      </c>
      <c r="L657" s="6">
        <v>9861.9599999999991</v>
      </c>
      <c r="M657" t="str">
        <f>TEXT(Table1[[#This Row],[Admission_Date]], "mmm")</f>
        <v>Jan</v>
      </c>
      <c r="N657">
        <f>YEAR(Table1[[#This Row],[Admission_Date]])</f>
        <v>2025</v>
      </c>
      <c r="O657" t="str">
        <f>IF(Table1[[#This Row],[Age]]&lt;30, "Young Adult", IF(Table1[[#This Row],[Age]]&lt;60, "Adult", "Senior"))</f>
        <v>Senior</v>
      </c>
    </row>
    <row r="658" spans="1:15" x14ac:dyDescent="0.25">
      <c r="A658" t="s">
        <v>685</v>
      </c>
      <c r="B658">
        <v>86</v>
      </c>
      <c r="C658" t="s">
        <v>24</v>
      </c>
      <c r="D658" t="s">
        <v>40</v>
      </c>
      <c r="E658" s="4">
        <v>45904</v>
      </c>
      <c r="F658" s="4">
        <v>45907</v>
      </c>
      <c r="G658" s="8">
        <v>3</v>
      </c>
      <c r="H658" t="s">
        <v>20</v>
      </c>
      <c r="I658">
        <v>0</v>
      </c>
      <c r="J658" t="s">
        <v>29</v>
      </c>
      <c r="K658" t="s">
        <v>17</v>
      </c>
      <c r="L658" s="6">
        <v>1312.32</v>
      </c>
      <c r="M658" t="str">
        <f>TEXT(Table1[[#This Row],[Admission_Date]], "mmm")</f>
        <v>Sep</v>
      </c>
      <c r="N658">
        <f>YEAR(Table1[[#This Row],[Admission_Date]])</f>
        <v>2025</v>
      </c>
      <c r="O658" t="str">
        <f>IF(Table1[[#This Row],[Age]]&lt;30, "Young Adult", IF(Table1[[#This Row],[Age]]&lt;60, "Adult", "Senior"))</f>
        <v>Senior</v>
      </c>
    </row>
    <row r="659" spans="1:15" x14ac:dyDescent="0.25">
      <c r="A659" t="s">
        <v>686</v>
      </c>
      <c r="B659">
        <v>58</v>
      </c>
      <c r="C659" t="s">
        <v>13</v>
      </c>
      <c r="D659" t="s">
        <v>14</v>
      </c>
      <c r="E659" s="4">
        <v>45924</v>
      </c>
      <c r="F659" s="4">
        <v>45929</v>
      </c>
      <c r="G659" s="8">
        <v>5</v>
      </c>
      <c r="H659" t="s">
        <v>20</v>
      </c>
      <c r="I659">
        <v>0</v>
      </c>
      <c r="J659" t="s">
        <v>25</v>
      </c>
      <c r="K659" t="s">
        <v>47</v>
      </c>
      <c r="L659" s="6">
        <v>1460.09</v>
      </c>
      <c r="M659" t="str">
        <f>TEXT(Table1[[#This Row],[Admission_Date]], "mmm")</f>
        <v>Sep</v>
      </c>
      <c r="N659">
        <f>YEAR(Table1[[#This Row],[Admission_Date]])</f>
        <v>2025</v>
      </c>
      <c r="O659" t="str">
        <f>IF(Table1[[#This Row],[Age]]&lt;30, "Young Adult", IF(Table1[[#This Row],[Age]]&lt;60, "Adult", "Senior"))</f>
        <v>Adult</v>
      </c>
    </row>
    <row r="660" spans="1:15" x14ac:dyDescent="0.25">
      <c r="A660" t="s">
        <v>687</v>
      </c>
      <c r="B660">
        <v>61</v>
      </c>
      <c r="C660" t="s">
        <v>24</v>
      </c>
      <c r="D660" t="s">
        <v>28</v>
      </c>
      <c r="E660" s="4">
        <v>45734</v>
      </c>
      <c r="F660" s="4">
        <v>45739</v>
      </c>
      <c r="G660" s="8">
        <v>5</v>
      </c>
      <c r="H660" t="s">
        <v>20</v>
      </c>
      <c r="I660">
        <v>0</v>
      </c>
      <c r="J660" t="s">
        <v>21</v>
      </c>
      <c r="K660" t="s">
        <v>17</v>
      </c>
      <c r="L660" s="6">
        <v>9282.49</v>
      </c>
      <c r="M660" t="str">
        <f>TEXT(Table1[[#This Row],[Admission_Date]], "mmm")</f>
        <v>Mar</v>
      </c>
      <c r="N660">
        <f>YEAR(Table1[[#This Row],[Admission_Date]])</f>
        <v>2025</v>
      </c>
      <c r="O660" t="str">
        <f>IF(Table1[[#This Row],[Age]]&lt;30, "Young Adult", IF(Table1[[#This Row],[Age]]&lt;60, "Adult", "Senior"))</f>
        <v>Senior</v>
      </c>
    </row>
    <row r="661" spans="1:15" x14ac:dyDescent="0.25">
      <c r="A661" t="s">
        <v>688</v>
      </c>
      <c r="B661">
        <v>57</v>
      </c>
      <c r="C661" t="s">
        <v>24</v>
      </c>
      <c r="D661" t="s">
        <v>28</v>
      </c>
      <c r="E661" s="4">
        <v>45753</v>
      </c>
      <c r="F661" s="4">
        <v>45763</v>
      </c>
      <c r="G661" s="8">
        <v>10</v>
      </c>
      <c r="H661" t="s">
        <v>15</v>
      </c>
      <c r="I661">
        <v>2</v>
      </c>
      <c r="J661" t="s">
        <v>25</v>
      </c>
      <c r="K661" t="s">
        <v>47</v>
      </c>
      <c r="L661" s="6">
        <v>1758.57</v>
      </c>
      <c r="M661" t="str">
        <f>TEXT(Table1[[#This Row],[Admission_Date]], "mmm")</f>
        <v>Apr</v>
      </c>
      <c r="N661">
        <f>YEAR(Table1[[#This Row],[Admission_Date]])</f>
        <v>2025</v>
      </c>
      <c r="O661" t="str">
        <f>IF(Table1[[#This Row],[Age]]&lt;30, "Young Adult", IF(Table1[[#This Row],[Age]]&lt;60, "Adult", "Senior"))</f>
        <v>Adult</v>
      </c>
    </row>
    <row r="662" spans="1:15" x14ac:dyDescent="0.25">
      <c r="A662" t="s">
        <v>689</v>
      </c>
      <c r="B662">
        <v>56</v>
      </c>
      <c r="C662" t="s">
        <v>13</v>
      </c>
      <c r="D662" t="s">
        <v>34</v>
      </c>
      <c r="E662" s="4">
        <v>45779</v>
      </c>
      <c r="F662" s="4">
        <v>45785</v>
      </c>
      <c r="G662" s="8">
        <v>6</v>
      </c>
      <c r="H662" t="s">
        <v>20</v>
      </c>
      <c r="I662">
        <v>0</v>
      </c>
      <c r="J662" t="s">
        <v>25</v>
      </c>
      <c r="K662" t="s">
        <v>22</v>
      </c>
      <c r="L662" s="6">
        <v>2127.35</v>
      </c>
      <c r="M662" t="str">
        <f>TEXT(Table1[[#This Row],[Admission_Date]], "mmm")</f>
        <v>May</v>
      </c>
      <c r="N662">
        <f>YEAR(Table1[[#This Row],[Admission_Date]])</f>
        <v>2025</v>
      </c>
      <c r="O662" t="str">
        <f>IF(Table1[[#This Row],[Age]]&lt;30, "Young Adult", IF(Table1[[#This Row],[Age]]&lt;60, "Adult", "Senior"))</f>
        <v>Adult</v>
      </c>
    </row>
    <row r="663" spans="1:15" x14ac:dyDescent="0.25">
      <c r="A663" t="s">
        <v>690</v>
      </c>
      <c r="B663">
        <v>29</v>
      </c>
      <c r="C663" t="s">
        <v>24</v>
      </c>
      <c r="D663" t="s">
        <v>34</v>
      </c>
      <c r="E663" s="4">
        <v>45677</v>
      </c>
      <c r="F663" s="4">
        <v>45690</v>
      </c>
      <c r="G663" s="8">
        <v>13</v>
      </c>
      <c r="H663" t="s">
        <v>15</v>
      </c>
      <c r="I663">
        <v>1</v>
      </c>
      <c r="J663" t="s">
        <v>29</v>
      </c>
      <c r="K663" t="s">
        <v>17</v>
      </c>
      <c r="L663" s="6">
        <v>2734.13</v>
      </c>
      <c r="M663" t="str">
        <f>TEXT(Table1[[#This Row],[Admission_Date]], "mmm")</f>
        <v>Jan</v>
      </c>
      <c r="N663">
        <f>YEAR(Table1[[#This Row],[Admission_Date]])</f>
        <v>2025</v>
      </c>
      <c r="O663" t="str">
        <f>IF(Table1[[#This Row],[Age]]&lt;30, "Young Adult", IF(Table1[[#This Row],[Age]]&lt;60, "Adult", "Senior"))</f>
        <v>Young Adult</v>
      </c>
    </row>
    <row r="664" spans="1:15" x14ac:dyDescent="0.25">
      <c r="A664" t="s">
        <v>691</v>
      </c>
      <c r="B664">
        <v>85</v>
      </c>
      <c r="C664" t="s">
        <v>24</v>
      </c>
      <c r="D664" t="s">
        <v>32</v>
      </c>
      <c r="E664" s="4">
        <v>45832</v>
      </c>
      <c r="F664" s="4">
        <v>45840</v>
      </c>
      <c r="G664" s="8">
        <v>8</v>
      </c>
      <c r="H664" t="s">
        <v>20</v>
      </c>
      <c r="I664">
        <v>0</v>
      </c>
      <c r="J664" t="s">
        <v>21</v>
      </c>
      <c r="K664" t="s">
        <v>22</v>
      </c>
      <c r="L664" s="6">
        <v>12421.01</v>
      </c>
      <c r="M664" t="str">
        <f>TEXT(Table1[[#This Row],[Admission_Date]], "mmm")</f>
        <v>Jun</v>
      </c>
      <c r="N664">
        <f>YEAR(Table1[[#This Row],[Admission_Date]])</f>
        <v>2025</v>
      </c>
      <c r="O664" t="str">
        <f>IF(Table1[[#This Row],[Age]]&lt;30, "Young Adult", IF(Table1[[#This Row],[Age]]&lt;60, "Adult", "Senior"))</f>
        <v>Senior</v>
      </c>
    </row>
    <row r="665" spans="1:15" x14ac:dyDescent="0.25">
      <c r="A665" t="s">
        <v>692</v>
      </c>
      <c r="B665">
        <v>44</v>
      </c>
      <c r="C665" t="s">
        <v>13</v>
      </c>
      <c r="D665" t="s">
        <v>40</v>
      </c>
      <c r="E665" s="4">
        <v>45922</v>
      </c>
      <c r="F665" s="4">
        <v>45933</v>
      </c>
      <c r="G665" s="8">
        <v>11</v>
      </c>
      <c r="H665" t="s">
        <v>20</v>
      </c>
      <c r="I665">
        <v>0</v>
      </c>
      <c r="J665" t="s">
        <v>29</v>
      </c>
      <c r="K665" t="s">
        <v>17</v>
      </c>
      <c r="L665" s="6">
        <v>13039.75</v>
      </c>
      <c r="M665" t="str">
        <f>TEXT(Table1[[#This Row],[Admission_Date]], "mmm")</f>
        <v>Sep</v>
      </c>
      <c r="N665">
        <f>YEAR(Table1[[#This Row],[Admission_Date]])</f>
        <v>2025</v>
      </c>
      <c r="O665" t="str">
        <f>IF(Table1[[#This Row],[Age]]&lt;30, "Young Adult", IF(Table1[[#This Row],[Age]]&lt;60, "Adult", "Senior"))</f>
        <v>Adult</v>
      </c>
    </row>
    <row r="666" spans="1:15" x14ac:dyDescent="0.25">
      <c r="A666" t="s">
        <v>693</v>
      </c>
      <c r="B666">
        <v>23</v>
      </c>
      <c r="C666" t="s">
        <v>13</v>
      </c>
      <c r="D666" t="s">
        <v>32</v>
      </c>
      <c r="E666" s="4">
        <v>45717</v>
      </c>
      <c r="F666" s="4">
        <v>45718</v>
      </c>
      <c r="G666" s="8">
        <v>1</v>
      </c>
      <c r="H666" t="s">
        <v>20</v>
      </c>
      <c r="I666">
        <v>0</v>
      </c>
      <c r="J666" t="s">
        <v>29</v>
      </c>
      <c r="K666" t="s">
        <v>22</v>
      </c>
      <c r="L666" s="6">
        <v>1994.99</v>
      </c>
      <c r="M666" t="str">
        <f>TEXT(Table1[[#This Row],[Admission_Date]], "mmm")</f>
        <v>Mar</v>
      </c>
      <c r="N666">
        <f>YEAR(Table1[[#This Row],[Admission_Date]])</f>
        <v>2025</v>
      </c>
      <c r="O666" t="str">
        <f>IF(Table1[[#This Row],[Age]]&lt;30, "Young Adult", IF(Table1[[#This Row],[Age]]&lt;60, "Adult", "Senior"))</f>
        <v>Young Adult</v>
      </c>
    </row>
    <row r="667" spans="1:15" x14ac:dyDescent="0.25">
      <c r="A667" t="s">
        <v>694</v>
      </c>
      <c r="B667">
        <v>57</v>
      </c>
      <c r="C667" t="s">
        <v>13</v>
      </c>
      <c r="D667" t="s">
        <v>32</v>
      </c>
      <c r="E667" s="4">
        <v>45995</v>
      </c>
      <c r="F667" s="4">
        <v>46007</v>
      </c>
      <c r="G667" s="8">
        <v>12</v>
      </c>
      <c r="H667" t="s">
        <v>20</v>
      </c>
      <c r="I667">
        <v>0</v>
      </c>
      <c r="J667" t="s">
        <v>21</v>
      </c>
      <c r="K667" t="s">
        <v>22</v>
      </c>
      <c r="L667" s="6">
        <v>4655.2299999999996</v>
      </c>
      <c r="M667" t="str">
        <f>TEXT(Table1[[#This Row],[Admission_Date]], "mmm")</f>
        <v>Dec</v>
      </c>
      <c r="N667">
        <f>YEAR(Table1[[#This Row],[Admission_Date]])</f>
        <v>2025</v>
      </c>
      <c r="O667" t="str">
        <f>IF(Table1[[#This Row],[Age]]&lt;30, "Young Adult", IF(Table1[[#This Row],[Age]]&lt;60, "Adult", "Senior"))</f>
        <v>Adult</v>
      </c>
    </row>
    <row r="668" spans="1:15" x14ac:dyDescent="0.25">
      <c r="A668" t="s">
        <v>695</v>
      </c>
      <c r="B668">
        <v>33</v>
      </c>
      <c r="C668" t="s">
        <v>24</v>
      </c>
      <c r="D668" t="s">
        <v>14</v>
      </c>
      <c r="E668" s="4">
        <v>45930</v>
      </c>
      <c r="F668" s="4">
        <v>45936</v>
      </c>
      <c r="G668" s="8">
        <v>6</v>
      </c>
      <c r="H668" t="s">
        <v>20</v>
      </c>
      <c r="I668">
        <v>0</v>
      </c>
      <c r="J668" t="s">
        <v>21</v>
      </c>
      <c r="K668" t="s">
        <v>47</v>
      </c>
      <c r="L668" s="6">
        <v>2159.6799999999998</v>
      </c>
      <c r="M668" t="str">
        <f>TEXT(Table1[[#This Row],[Admission_Date]], "mmm")</f>
        <v>Sep</v>
      </c>
      <c r="N668">
        <f>YEAR(Table1[[#This Row],[Admission_Date]])</f>
        <v>2025</v>
      </c>
      <c r="O668" t="str">
        <f>IF(Table1[[#This Row],[Age]]&lt;30, "Young Adult", IF(Table1[[#This Row],[Age]]&lt;60, "Adult", "Senior"))</f>
        <v>Adult</v>
      </c>
    </row>
    <row r="669" spans="1:15" x14ac:dyDescent="0.25">
      <c r="A669" t="s">
        <v>696</v>
      </c>
      <c r="B669">
        <v>44</v>
      </c>
      <c r="C669" t="s">
        <v>24</v>
      </c>
      <c r="D669" t="s">
        <v>34</v>
      </c>
      <c r="E669" s="4">
        <v>45976</v>
      </c>
      <c r="F669" s="4">
        <v>45985</v>
      </c>
      <c r="G669" s="8">
        <v>9</v>
      </c>
      <c r="H669" t="s">
        <v>20</v>
      </c>
      <c r="I669">
        <v>0</v>
      </c>
      <c r="J669" t="s">
        <v>25</v>
      </c>
      <c r="K669" t="s">
        <v>47</v>
      </c>
      <c r="L669" s="6">
        <v>2552.5700000000002</v>
      </c>
      <c r="M669" t="str">
        <f>TEXT(Table1[[#This Row],[Admission_Date]], "mmm")</f>
        <v>Nov</v>
      </c>
      <c r="N669">
        <f>YEAR(Table1[[#This Row],[Admission_Date]])</f>
        <v>2025</v>
      </c>
      <c r="O669" t="str">
        <f>IF(Table1[[#This Row],[Age]]&lt;30, "Young Adult", IF(Table1[[#This Row],[Age]]&lt;60, "Adult", "Senior"))</f>
        <v>Adult</v>
      </c>
    </row>
    <row r="670" spans="1:15" x14ac:dyDescent="0.25">
      <c r="A670" t="s">
        <v>697</v>
      </c>
      <c r="B670">
        <v>49</v>
      </c>
      <c r="C670" t="s">
        <v>13</v>
      </c>
      <c r="D670" t="s">
        <v>19</v>
      </c>
      <c r="E670" s="4">
        <v>46018</v>
      </c>
      <c r="F670" s="4">
        <v>46031</v>
      </c>
      <c r="G670" s="8">
        <v>13</v>
      </c>
      <c r="H670" t="s">
        <v>15</v>
      </c>
      <c r="I670">
        <v>10</v>
      </c>
      <c r="J670" t="s">
        <v>25</v>
      </c>
      <c r="K670" t="s">
        <v>17</v>
      </c>
      <c r="L670" s="6">
        <v>6932.89</v>
      </c>
      <c r="M670" t="str">
        <f>TEXT(Table1[[#This Row],[Admission_Date]], "mmm")</f>
        <v>Dec</v>
      </c>
      <c r="N670">
        <f>YEAR(Table1[[#This Row],[Admission_Date]])</f>
        <v>2025</v>
      </c>
      <c r="O670" t="str">
        <f>IF(Table1[[#This Row],[Age]]&lt;30, "Young Adult", IF(Table1[[#This Row],[Age]]&lt;60, "Adult", "Senior"))</f>
        <v>Adult</v>
      </c>
    </row>
    <row r="671" spans="1:15" x14ac:dyDescent="0.25">
      <c r="A671" t="s">
        <v>698</v>
      </c>
      <c r="B671">
        <v>24</v>
      </c>
      <c r="C671" t="s">
        <v>13</v>
      </c>
      <c r="D671" t="s">
        <v>40</v>
      </c>
      <c r="E671" s="4">
        <v>45724</v>
      </c>
      <c r="F671" s="4">
        <v>45725</v>
      </c>
      <c r="G671" s="8">
        <v>1</v>
      </c>
      <c r="H671" t="s">
        <v>20</v>
      </c>
      <c r="I671">
        <v>0</v>
      </c>
      <c r="J671" t="s">
        <v>16</v>
      </c>
      <c r="K671" t="s">
        <v>22</v>
      </c>
      <c r="L671" s="6">
        <v>6683.75</v>
      </c>
      <c r="M671" t="str">
        <f>TEXT(Table1[[#This Row],[Admission_Date]], "mmm")</f>
        <v>Mar</v>
      </c>
      <c r="N671">
        <f>YEAR(Table1[[#This Row],[Admission_Date]])</f>
        <v>2025</v>
      </c>
      <c r="O671" t="str">
        <f>IF(Table1[[#This Row],[Age]]&lt;30, "Young Adult", IF(Table1[[#This Row],[Age]]&lt;60, "Adult", "Senior"))</f>
        <v>Young Adult</v>
      </c>
    </row>
    <row r="672" spans="1:15" x14ac:dyDescent="0.25">
      <c r="A672" t="s">
        <v>699</v>
      </c>
      <c r="B672">
        <v>75</v>
      </c>
      <c r="C672" t="s">
        <v>24</v>
      </c>
      <c r="D672" t="s">
        <v>32</v>
      </c>
      <c r="E672" s="4">
        <v>45749</v>
      </c>
      <c r="F672" s="4">
        <v>45761</v>
      </c>
      <c r="G672" s="8">
        <v>12</v>
      </c>
      <c r="H672" t="s">
        <v>20</v>
      </c>
      <c r="I672">
        <v>0</v>
      </c>
      <c r="J672" t="s">
        <v>25</v>
      </c>
      <c r="K672" t="s">
        <v>22</v>
      </c>
      <c r="L672" s="6">
        <v>10837.03</v>
      </c>
      <c r="M672" t="str">
        <f>TEXT(Table1[[#This Row],[Admission_Date]], "mmm")</f>
        <v>Apr</v>
      </c>
      <c r="N672">
        <f>YEAR(Table1[[#This Row],[Admission_Date]])</f>
        <v>2025</v>
      </c>
      <c r="O672" t="str">
        <f>IF(Table1[[#This Row],[Age]]&lt;30, "Young Adult", IF(Table1[[#This Row],[Age]]&lt;60, "Adult", "Senior"))</f>
        <v>Senior</v>
      </c>
    </row>
    <row r="673" spans="1:15" x14ac:dyDescent="0.25">
      <c r="A673" t="s">
        <v>700</v>
      </c>
      <c r="B673">
        <v>77</v>
      </c>
      <c r="C673" t="s">
        <v>13</v>
      </c>
      <c r="D673" t="s">
        <v>19</v>
      </c>
      <c r="E673" s="4">
        <v>46001</v>
      </c>
      <c r="F673" s="4">
        <v>46014</v>
      </c>
      <c r="G673" s="8">
        <v>13</v>
      </c>
      <c r="H673" t="s">
        <v>20</v>
      </c>
      <c r="I673">
        <v>0</v>
      </c>
      <c r="J673" t="s">
        <v>29</v>
      </c>
      <c r="K673" t="s">
        <v>22</v>
      </c>
      <c r="L673" s="6">
        <v>7105.97</v>
      </c>
      <c r="M673" t="str">
        <f>TEXT(Table1[[#This Row],[Admission_Date]], "mmm")</f>
        <v>Dec</v>
      </c>
      <c r="N673">
        <f>YEAR(Table1[[#This Row],[Admission_Date]])</f>
        <v>2025</v>
      </c>
      <c r="O673" t="str">
        <f>IF(Table1[[#This Row],[Age]]&lt;30, "Young Adult", IF(Table1[[#This Row],[Age]]&lt;60, "Adult", "Senior"))</f>
        <v>Senior</v>
      </c>
    </row>
    <row r="674" spans="1:15" x14ac:dyDescent="0.25">
      <c r="A674" t="s">
        <v>701</v>
      </c>
      <c r="B674">
        <v>77</v>
      </c>
      <c r="C674" t="s">
        <v>24</v>
      </c>
      <c r="D674" t="s">
        <v>14</v>
      </c>
      <c r="E674" s="4">
        <v>46008</v>
      </c>
      <c r="F674" s="4">
        <v>46019</v>
      </c>
      <c r="G674" s="8">
        <v>11</v>
      </c>
      <c r="H674" t="s">
        <v>20</v>
      </c>
      <c r="I674">
        <v>0</v>
      </c>
      <c r="J674" t="s">
        <v>21</v>
      </c>
      <c r="K674" t="s">
        <v>22</v>
      </c>
      <c r="L674" s="6">
        <v>12985.9</v>
      </c>
      <c r="M674" t="str">
        <f>TEXT(Table1[[#This Row],[Admission_Date]], "mmm")</f>
        <v>Dec</v>
      </c>
      <c r="N674">
        <f>YEAR(Table1[[#This Row],[Admission_Date]])</f>
        <v>2025</v>
      </c>
      <c r="O674" t="str">
        <f>IF(Table1[[#This Row],[Age]]&lt;30, "Young Adult", IF(Table1[[#This Row],[Age]]&lt;60, "Adult", "Senior"))</f>
        <v>Senior</v>
      </c>
    </row>
    <row r="675" spans="1:15" x14ac:dyDescent="0.25">
      <c r="A675" t="s">
        <v>702</v>
      </c>
      <c r="B675">
        <v>68</v>
      </c>
      <c r="C675" t="s">
        <v>13</v>
      </c>
      <c r="D675" t="s">
        <v>28</v>
      </c>
      <c r="E675" s="4">
        <v>45973</v>
      </c>
      <c r="F675" s="4">
        <v>45978</v>
      </c>
      <c r="G675" s="8">
        <v>5</v>
      </c>
      <c r="H675" t="s">
        <v>20</v>
      </c>
      <c r="I675">
        <v>0</v>
      </c>
      <c r="J675" t="s">
        <v>25</v>
      </c>
      <c r="K675" t="s">
        <v>47</v>
      </c>
      <c r="L675" s="6">
        <v>7072.6</v>
      </c>
      <c r="M675" t="str">
        <f>TEXT(Table1[[#This Row],[Admission_Date]], "mmm")</f>
        <v>Nov</v>
      </c>
      <c r="N675">
        <f>YEAR(Table1[[#This Row],[Admission_Date]])</f>
        <v>2025</v>
      </c>
      <c r="O675" t="str">
        <f>IF(Table1[[#This Row],[Age]]&lt;30, "Young Adult", IF(Table1[[#This Row],[Age]]&lt;60, "Adult", "Senior"))</f>
        <v>Senior</v>
      </c>
    </row>
    <row r="676" spans="1:15" x14ac:dyDescent="0.25">
      <c r="A676" t="s">
        <v>703</v>
      </c>
      <c r="B676">
        <v>62</v>
      </c>
      <c r="C676" t="s">
        <v>24</v>
      </c>
      <c r="D676" t="s">
        <v>40</v>
      </c>
      <c r="E676" s="4">
        <v>45673</v>
      </c>
      <c r="F676" s="4">
        <v>45675</v>
      </c>
      <c r="G676" s="8">
        <v>2</v>
      </c>
      <c r="H676" t="s">
        <v>20</v>
      </c>
      <c r="I676">
        <v>0</v>
      </c>
      <c r="J676" t="s">
        <v>21</v>
      </c>
      <c r="K676" t="s">
        <v>47</v>
      </c>
      <c r="L676" s="6">
        <v>11635.15</v>
      </c>
      <c r="M676" t="str">
        <f>TEXT(Table1[[#This Row],[Admission_Date]], "mmm")</f>
        <v>Jan</v>
      </c>
      <c r="N676">
        <f>YEAR(Table1[[#This Row],[Admission_Date]])</f>
        <v>2025</v>
      </c>
      <c r="O676" t="str">
        <f>IF(Table1[[#This Row],[Age]]&lt;30, "Young Adult", IF(Table1[[#This Row],[Age]]&lt;60, "Adult", "Senior"))</f>
        <v>Senior</v>
      </c>
    </row>
    <row r="677" spans="1:15" x14ac:dyDescent="0.25">
      <c r="A677" t="s">
        <v>704</v>
      </c>
      <c r="B677">
        <v>31</v>
      </c>
      <c r="C677" t="s">
        <v>24</v>
      </c>
      <c r="D677" t="s">
        <v>28</v>
      </c>
      <c r="E677" s="4">
        <v>45967</v>
      </c>
      <c r="F677" s="4">
        <v>45977</v>
      </c>
      <c r="G677" s="8">
        <v>10</v>
      </c>
      <c r="H677" t="s">
        <v>15</v>
      </c>
      <c r="I677">
        <v>26</v>
      </c>
      <c r="J677" t="s">
        <v>16</v>
      </c>
      <c r="K677" t="s">
        <v>47</v>
      </c>
      <c r="L677" s="6">
        <v>8564.17</v>
      </c>
      <c r="M677" t="str">
        <f>TEXT(Table1[[#This Row],[Admission_Date]], "mmm")</f>
        <v>Nov</v>
      </c>
      <c r="N677">
        <f>YEAR(Table1[[#This Row],[Admission_Date]])</f>
        <v>2025</v>
      </c>
      <c r="O677" t="str">
        <f>IF(Table1[[#This Row],[Age]]&lt;30, "Young Adult", IF(Table1[[#This Row],[Age]]&lt;60, "Adult", "Senior"))</f>
        <v>Adult</v>
      </c>
    </row>
    <row r="678" spans="1:15" x14ac:dyDescent="0.25">
      <c r="A678" t="s">
        <v>705</v>
      </c>
      <c r="B678">
        <v>77</v>
      </c>
      <c r="C678" t="s">
        <v>24</v>
      </c>
      <c r="D678" t="s">
        <v>34</v>
      </c>
      <c r="E678" s="4">
        <v>45694</v>
      </c>
      <c r="F678" s="4">
        <v>45707</v>
      </c>
      <c r="G678" s="8">
        <v>13</v>
      </c>
      <c r="H678" t="s">
        <v>20</v>
      </c>
      <c r="I678">
        <v>0</v>
      </c>
      <c r="J678" t="s">
        <v>29</v>
      </c>
      <c r="K678" t="s">
        <v>22</v>
      </c>
      <c r="L678" s="6">
        <v>9502.69</v>
      </c>
      <c r="M678" t="str">
        <f>TEXT(Table1[[#This Row],[Admission_Date]], "mmm")</f>
        <v>Feb</v>
      </c>
      <c r="N678">
        <f>YEAR(Table1[[#This Row],[Admission_Date]])</f>
        <v>2025</v>
      </c>
      <c r="O678" t="str">
        <f>IF(Table1[[#This Row],[Age]]&lt;30, "Young Adult", IF(Table1[[#This Row],[Age]]&lt;60, "Adult", "Senior"))</f>
        <v>Senior</v>
      </c>
    </row>
    <row r="679" spans="1:15" x14ac:dyDescent="0.25">
      <c r="A679" t="s">
        <v>706</v>
      </c>
      <c r="B679">
        <v>67</v>
      </c>
      <c r="C679" t="s">
        <v>13</v>
      </c>
      <c r="D679" t="s">
        <v>32</v>
      </c>
      <c r="E679" s="4">
        <v>45938</v>
      </c>
      <c r="F679" s="4">
        <v>45941</v>
      </c>
      <c r="G679" s="8">
        <v>3</v>
      </c>
      <c r="H679" t="s">
        <v>20</v>
      </c>
      <c r="I679">
        <v>0</v>
      </c>
      <c r="J679" t="s">
        <v>21</v>
      </c>
      <c r="K679" t="s">
        <v>17</v>
      </c>
      <c r="L679" s="6">
        <v>9069.07</v>
      </c>
      <c r="M679" t="str">
        <f>TEXT(Table1[[#This Row],[Admission_Date]], "mmm")</f>
        <v>Oct</v>
      </c>
      <c r="N679">
        <f>YEAR(Table1[[#This Row],[Admission_Date]])</f>
        <v>2025</v>
      </c>
      <c r="O679" t="str">
        <f>IF(Table1[[#This Row],[Age]]&lt;30, "Young Adult", IF(Table1[[#This Row],[Age]]&lt;60, "Adult", "Senior"))</f>
        <v>Senior</v>
      </c>
    </row>
    <row r="680" spans="1:15" x14ac:dyDescent="0.25">
      <c r="A680" t="s">
        <v>707</v>
      </c>
      <c r="B680">
        <v>87</v>
      </c>
      <c r="C680" t="s">
        <v>13</v>
      </c>
      <c r="D680" t="s">
        <v>14</v>
      </c>
      <c r="E680" s="4">
        <v>45880</v>
      </c>
      <c r="F680" s="4">
        <v>45890</v>
      </c>
      <c r="G680" s="8">
        <v>10</v>
      </c>
      <c r="H680" t="s">
        <v>20</v>
      </c>
      <c r="I680">
        <v>0</v>
      </c>
      <c r="J680" t="s">
        <v>16</v>
      </c>
      <c r="K680" t="s">
        <v>17</v>
      </c>
      <c r="L680" s="6">
        <v>13997.52</v>
      </c>
      <c r="M680" t="str">
        <f>TEXT(Table1[[#This Row],[Admission_Date]], "mmm")</f>
        <v>Aug</v>
      </c>
      <c r="N680">
        <f>YEAR(Table1[[#This Row],[Admission_Date]])</f>
        <v>2025</v>
      </c>
      <c r="O680" t="str">
        <f>IF(Table1[[#This Row],[Age]]&lt;30, "Young Adult", IF(Table1[[#This Row],[Age]]&lt;60, "Adult", "Senior"))</f>
        <v>Senior</v>
      </c>
    </row>
    <row r="681" spans="1:15" x14ac:dyDescent="0.25">
      <c r="A681" t="s">
        <v>708</v>
      </c>
      <c r="B681">
        <v>77</v>
      </c>
      <c r="C681" t="s">
        <v>24</v>
      </c>
      <c r="D681" t="s">
        <v>34</v>
      </c>
      <c r="E681" s="4">
        <v>45951</v>
      </c>
      <c r="F681" s="4">
        <v>45965</v>
      </c>
      <c r="G681" s="8">
        <v>14</v>
      </c>
      <c r="H681" t="s">
        <v>20</v>
      </c>
      <c r="I681">
        <v>0</v>
      </c>
      <c r="J681" t="s">
        <v>16</v>
      </c>
      <c r="K681" t="s">
        <v>47</v>
      </c>
      <c r="L681" s="6">
        <v>3054.52</v>
      </c>
      <c r="M681" t="str">
        <f>TEXT(Table1[[#This Row],[Admission_Date]], "mmm")</f>
        <v>Oct</v>
      </c>
      <c r="N681">
        <f>YEAR(Table1[[#This Row],[Admission_Date]])</f>
        <v>2025</v>
      </c>
      <c r="O681" t="str">
        <f>IF(Table1[[#This Row],[Age]]&lt;30, "Young Adult", IF(Table1[[#This Row],[Age]]&lt;60, "Adult", "Senior"))</f>
        <v>Senior</v>
      </c>
    </row>
    <row r="682" spans="1:15" x14ac:dyDescent="0.25">
      <c r="A682" t="s">
        <v>709</v>
      </c>
      <c r="B682">
        <v>66</v>
      </c>
      <c r="C682" t="s">
        <v>24</v>
      </c>
      <c r="D682" t="s">
        <v>40</v>
      </c>
      <c r="E682" s="4">
        <v>45865</v>
      </c>
      <c r="F682" s="4">
        <v>45867</v>
      </c>
      <c r="G682" s="8">
        <v>2</v>
      </c>
      <c r="H682" t="s">
        <v>20</v>
      </c>
      <c r="I682">
        <v>0</v>
      </c>
      <c r="J682" t="s">
        <v>16</v>
      </c>
      <c r="K682" t="s">
        <v>22</v>
      </c>
      <c r="L682" s="6">
        <v>3655.37</v>
      </c>
      <c r="M682" t="str">
        <f>TEXT(Table1[[#This Row],[Admission_Date]], "mmm")</f>
        <v>Jul</v>
      </c>
      <c r="N682">
        <f>YEAR(Table1[[#This Row],[Admission_Date]])</f>
        <v>2025</v>
      </c>
      <c r="O682" t="str">
        <f>IF(Table1[[#This Row],[Age]]&lt;30, "Young Adult", IF(Table1[[#This Row],[Age]]&lt;60, "Adult", "Senior"))</f>
        <v>Senior</v>
      </c>
    </row>
    <row r="683" spans="1:15" x14ac:dyDescent="0.25">
      <c r="A683" t="s">
        <v>710</v>
      </c>
      <c r="B683">
        <v>18</v>
      </c>
      <c r="C683" t="s">
        <v>13</v>
      </c>
      <c r="D683" t="s">
        <v>28</v>
      </c>
      <c r="E683" s="4">
        <v>45729</v>
      </c>
      <c r="F683" s="4">
        <v>45739</v>
      </c>
      <c r="G683" s="8">
        <v>10</v>
      </c>
      <c r="H683" t="s">
        <v>20</v>
      </c>
      <c r="I683">
        <v>0</v>
      </c>
      <c r="J683" t="s">
        <v>21</v>
      </c>
      <c r="K683" t="s">
        <v>47</v>
      </c>
      <c r="L683" s="6">
        <v>8203.2099999999991</v>
      </c>
      <c r="M683" t="str">
        <f>TEXT(Table1[[#This Row],[Admission_Date]], "mmm")</f>
        <v>Mar</v>
      </c>
      <c r="N683">
        <f>YEAR(Table1[[#This Row],[Admission_Date]])</f>
        <v>2025</v>
      </c>
      <c r="O683" t="str">
        <f>IF(Table1[[#This Row],[Age]]&lt;30, "Young Adult", IF(Table1[[#This Row],[Age]]&lt;60, "Adult", "Senior"))</f>
        <v>Young Adult</v>
      </c>
    </row>
    <row r="684" spans="1:15" x14ac:dyDescent="0.25">
      <c r="A684" t="s">
        <v>711</v>
      </c>
      <c r="B684">
        <v>43</v>
      </c>
      <c r="C684" t="s">
        <v>13</v>
      </c>
      <c r="D684" t="s">
        <v>28</v>
      </c>
      <c r="E684" s="4">
        <v>45857</v>
      </c>
      <c r="F684" s="4">
        <v>45867</v>
      </c>
      <c r="G684" s="8">
        <v>10</v>
      </c>
      <c r="H684" t="s">
        <v>20</v>
      </c>
      <c r="I684">
        <v>0</v>
      </c>
      <c r="J684" t="s">
        <v>25</v>
      </c>
      <c r="K684" t="s">
        <v>47</v>
      </c>
      <c r="L684" s="6">
        <v>8769.01</v>
      </c>
      <c r="M684" t="str">
        <f>TEXT(Table1[[#This Row],[Admission_Date]], "mmm")</f>
        <v>Jul</v>
      </c>
      <c r="N684">
        <f>YEAR(Table1[[#This Row],[Admission_Date]])</f>
        <v>2025</v>
      </c>
      <c r="O684" t="str">
        <f>IF(Table1[[#This Row],[Age]]&lt;30, "Young Adult", IF(Table1[[#This Row],[Age]]&lt;60, "Adult", "Senior"))</f>
        <v>Adult</v>
      </c>
    </row>
    <row r="685" spans="1:15" x14ac:dyDescent="0.25">
      <c r="A685" t="s">
        <v>712</v>
      </c>
      <c r="B685">
        <v>73</v>
      </c>
      <c r="C685" t="s">
        <v>24</v>
      </c>
      <c r="D685" t="s">
        <v>19</v>
      </c>
      <c r="E685" s="4">
        <v>46005</v>
      </c>
      <c r="F685" s="4">
        <v>46010</v>
      </c>
      <c r="G685" s="8">
        <v>5</v>
      </c>
      <c r="H685" t="s">
        <v>20</v>
      </c>
      <c r="I685">
        <v>0</v>
      </c>
      <c r="J685" t="s">
        <v>16</v>
      </c>
      <c r="K685" t="s">
        <v>17</v>
      </c>
      <c r="L685" s="6">
        <v>14803.11</v>
      </c>
      <c r="M685" t="str">
        <f>TEXT(Table1[[#This Row],[Admission_Date]], "mmm")</f>
        <v>Dec</v>
      </c>
      <c r="N685">
        <f>YEAR(Table1[[#This Row],[Admission_Date]])</f>
        <v>2025</v>
      </c>
      <c r="O685" t="str">
        <f>IF(Table1[[#This Row],[Age]]&lt;30, "Young Adult", IF(Table1[[#This Row],[Age]]&lt;60, "Adult", "Senior"))</f>
        <v>Senior</v>
      </c>
    </row>
    <row r="686" spans="1:15" x14ac:dyDescent="0.25">
      <c r="A686" t="s">
        <v>713</v>
      </c>
      <c r="B686">
        <v>55</v>
      </c>
      <c r="C686" t="s">
        <v>13</v>
      </c>
      <c r="D686" t="s">
        <v>32</v>
      </c>
      <c r="E686" s="4">
        <v>45864</v>
      </c>
      <c r="F686" s="4">
        <v>45878</v>
      </c>
      <c r="G686" s="8">
        <v>14</v>
      </c>
      <c r="H686" t="s">
        <v>15</v>
      </c>
      <c r="I686">
        <v>29</v>
      </c>
      <c r="J686" t="s">
        <v>16</v>
      </c>
      <c r="K686" t="s">
        <v>22</v>
      </c>
      <c r="L686" s="6">
        <v>10698.63</v>
      </c>
      <c r="M686" t="str">
        <f>TEXT(Table1[[#This Row],[Admission_Date]], "mmm")</f>
        <v>Jul</v>
      </c>
      <c r="N686">
        <f>YEAR(Table1[[#This Row],[Admission_Date]])</f>
        <v>2025</v>
      </c>
      <c r="O686" t="str">
        <f>IF(Table1[[#This Row],[Age]]&lt;30, "Young Adult", IF(Table1[[#This Row],[Age]]&lt;60, "Adult", "Senior"))</f>
        <v>Adult</v>
      </c>
    </row>
    <row r="687" spans="1:15" x14ac:dyDescent="0.25">
      <c r="A687" t="s">
        <v>714</v>
      </c>
      <c r="B687">
        <v>21</v>
      </c>
      <c r="C687" t="s">
        <v>13</v>
      </c>
      <c r="D687" t="s">
        <v>40</v>
      </c>
      <c r="E687" s="4">
        <v>45841</v>
      </c>
      <c r="F687" s="4">
        <v>45843</v>
      </c>
      <c r="G687" s="8">
        <v>2</v>
      </c>
      <c r="H687" t="s">
        <v>20</v>
      </c>
      <c r="I687">
        <v>0</v>
      </c>
      <c r="J687" t="s">
        <v>29</v>
      </c>
      <c r="K687" t="s">
        <v>17</v>
      </c>
      <c r="L687" s="6">
        <v>5112.8500000000004</v>
      </c>
      <c r="M687" t="str">
        <f>TEXT(Table1[[#This Row],[Admission_Date]], "mmm")</f>
        <v>Jul</v>
      </c>
      <c r="N687">
        <f>YEAR(Table1[[#This Row],[Admission_Date]])</f>
        <v>2025</v>
      </c>
      <c r="O687" t="str">
        <f>IF(Table1[[#This Row],[Age]]&lt;30, "Young Adult", IF(Table1[[#This Row],[Age]]&lt;60, "Adult", "Senior"))</f>
        <v>Young Adult</v>
      </c>
    </row>
    <row r="688" spans="1:15" x14ac:dyDescent="0.25">
      <c r="A688" t="s">
        <v>715</v>
      </c>
      <c r="B688">
        <v>87</v>
      </c>
      <c r="C688" t="s">
        <v>13</v>
      </c>
      <c r="D688" t="s">
        <v>28</v>
      </c>
      <c r="E688" s="4">
        <v>45853</v>
      </c>
      <c r="F688" s="4">
        <v>45860</v>
      </c>
      <c r="G688" s="8">
        <v>7</v>
      </c>
      <c r="H688" t="s">
        <v>20</v>
      </c>
      <c r="I688">
        <v>0</v>
      </c>
      <c r="J688" t="s">
        <v>21</v>
      </c>
      <c r="K688" t="s">
        <v>47</v>
      </c>
      <c r="L688" s="6">
        <v>2516.5</v>
      </c>
      <c r="M688" t="str">
        <f>TEXT(Table1[[#This Row],[Admission_Date]], "mmm")</f>
        <v>Jul</v>
      </c>
      <c r="N688">
        <f>YEAR(Table1[[#This Row],[Admission_Date]])</f>
        <v>2025</v>
      </c>
      <c r="O688" t="str">
        <f>IF(Table1[[#This Row],[Age]]&lt;30, "Young Adult", IF(Table1[[#This Row],[Age]]&lt;60, "Adult", "Senior"))</f>
        <v>Senior</v>
      </c>
    </row>
    <row r="689" spans="1:15" x14ac:dyDescent="0.25">
      <c r="A689" t="s">
        <v>716</v>
      </c>
      <c r="B689">
        <v>64</v>
      </c>
      <c r="C689" t="s">
        <v>24</v>
      </c>
      <c r="D689" t="s">
        <v>14</v>
      </c>
      <c r="E689" s="4">
        <v>45942</v>
      </c>
      <c r="F689" s="4">
        <v>45949</v>
      </c>
      <c r="G689" s="8">
        <v>7</v>
      </c>
      <c r="H689" t="s">
        <v>20</v>
      </c>
      <c r="I689">
        <v>0</v>
      </c>
      <c r="J689" t="s">
        <v>25</v>
      </c>
      <c r="K689" t="s">
        <v>17</v>
      </c>
      <c r="L689" s="6">
        <v>2320.46</v>
      </c>
      <c r="M689" t="str">
        <f>TEXT(Table1[[#This Row],[Admission_Date]], "mmm")</f>
        <v>Oct</v>
      </c>
      <c r="N689">
        <f>YEAR(Table1[[#This Row],[Admission_Date]])</f>
        <v>2025</v>
      </c>
      <c r="O689" t="str">
        <f>IF(Table1[[#This Row],[Age]]&lt;30, "Young Adult", IF(Table1[[#This Row],[Age]]&lt;60, "Adult", "Senior"))</f>
        <v>Senior</v>
      </c>
    </row>
    <row r="690" spans="1:15" x14ac:dyDescent="0.25">
      <c r="A690" t="s">
        <v>717</v>
      </c>
      <c r="B690">
        <v>36</v>
      </c>
      <c r="C690" t="s">
        <v>24</v>
      </c>
      <c r="D690" t="s">
        <v>28</v>
      </c>
      <c r="E690" s="4">
        <v>45663</v>
      </c>
      <c r="F690" s="4">
        <v>45665</v>
      </c>
      <c r="G690" s="8">
        <v>2</v>
      </c>
      <c r="H690" t="s">
        <v>20</v>
      </c>
      <c r="I690">
        <v>0</v>
      </c>
      <c r="J690" t="s">
        <v>29</v>
      </c>
      <c r="K690" t="s">
        <v>22</v>
      </c>
      <c r="L690" s="6">
        <v>1727.62</v>
      </c>
      <c r="M690" t="str">
        <f>TEXT(Table1[[#This Row],[Admission_Date]], "mmm")</f>
        <v>Jan</v>
      </c>
      <c r="N690">
        <f>YEAR(Table1[[#This Row],[Admission_Date]])</f>
        <v>2025</v>
      </c>
      <c r="O690" t="str">
        <f>IF(Table1[[#This Row],[Age]]&lt;30, "Young Adult", IF(Table1[[#This Row],[Age]]&lt;60, "Adult", "Senior"))</f>
        <v>Adult</v>
      </c>
    </row>
    <row r="691" spans="1:15" x14ac:dyDescent="0.25">
      <c r="A691" t="s">
        <v>718</v>
      </c>
      <c r="B691">
        <v>76</v>
      </c>
      <c r="C691" t="s">
        <v>24</v>
      </c>
      <c r="D691" t="s">
        <v>34</v>
      </c>
      <c r="E691" s="4">
        <v>45986</v>
      </c>
      <c r="F691" s="4">
        <v>45999</v>
      </c>
      <c r="G691" s="8">
        <v>13</v>
      </c>
      <c r="H691" t="s">
        <v>20</v>
      </c>
      <c r="I691">
        <v>0</v>
      </c>
      <c r="J691" t="s">
        <v>21</v>
      </c>
      <c r="K691" t="s">
        <v>47</v>
      </c>
      <c r="L691" s="6">
        <v>7886.52</v>
      </c>
      <c r="M691" t="str">
        <f>TEXT(Table1[[#This Row],[Admission_Date]], "mmm")</f>
        <v>Nov</v>
      </c>
      <c r="N691">
        <f>YEAR(Table1[[#This Row],[Admission_Date]])</f>
        <v>2025</v>
      </c>
      <c r="O691" t="str">
        <f>IF(Table1[[#This Row],[Age]]&lt;30, "Young Adult", IF(Table1[[#This Row],[Age]]&lt;60, "Adult", "Senior"))</f>
        <v>Senior</v>
      </c>
    </row>
    <row r="692" spans="1:15" x14ac:dyDescent="0.25">
      <c r="A692" t="s">
        <v>719</v>
      </c>
      <c r="B692">
        <v>63</v>
      </c>
      <c r="C692" t="s">
        <v>13</v>
      </c>
      <c r="D692" t="s">
        <v>14</v>
      </c>
      <c r="E692" s="4">
        <v>45940</v>
      </c>
      <c r="F692" s="4">
        <v>45954</v>
      </c>
      <c r="G692" s="8">
        <v>14</v>
      </c>
      <c r="H692" t="s">
        <v>20</v>
      </c>
      <c r="I692">
        <v>0</v>
      </c>
      <c r="J692" t="s">
        <v>29</v>
      </c>
      <c r="K692" t="s">
        <v>17</v>
      </c>
      <c r="L692" s="6">
        <v>607.73</v>
      </c>
      <c r="M692" t="str">
        <f>TEXT(Table1[[#This Row],[Admission_Date]], "mmm")</f>
        <v>Oct</v>
      </c>
      <c r="N692">
        <f>YEAR(Table1[[#This Row],[Admission_Date]])</f>
        <v>2025</v>
      </c>
      <c r="O692" t="str">
        <f>IF(Table1[[#This Row],[Age]]&lt;30, "Young Adult", IF(Table1[[#This Row],[Age]]&lt;60, "Adult", "Senior"))</f>
        <v>Senior</v>
      </c>
    </row>
    <row r="693" spans="1:15" x14ac:dyDescent="0.25">
      <c r="A693" t="s">
        <v>720</v>
      </c>
      <c r="B693">
        <v>82</v>
      </c>
      <c r="C693" t="s">
        <v>24</v>
      </c>
      <c r="D693" t="s">
        <v>40</v>
      </c>
      <c r="E693" s="4">
        <v>45913</v>
      </c>
      <c r="F693" s="4">
        <v>45927</v>
      </c>
      <c r="G693" s="8">
        <v>14</v>
      </c>
      <c r="H693" t="s">
        <v>20</v>
      </c>
      <c r="I693">
        <v>0</v>
      </c>
      <c r="J693" t="s">
        <v>25</v>
      </c>
      <c r="K693" t="s">
        <v>22</v>
      </c>
      <c r="L693" s="6">
        <v>14684.39</v>
      </c>
      <c r="M693" t="str">
        <f>TEXT(Table1[[#This Row],[Admission_Date]], "mmm")</f>
        <v>Sep</v>
      </c>
      <c r="N693">
        <f>YEAR(Table1[[#This Row],[Admission_Date]])</f>
        <v>2025</v>
      </c>
      <c r="O693" t="str">
        <f>IF(Table1[[#This Row],[Age]]&lt;30, "Young Adult", IF(Table1[[#This Row],[Age]]&lt;60, "Adult", "Senior"))</f>
        <v>Senior</v>
      </c>
    </row>
    <row r="694" spans="1:15" x14ac:dyDescent="0.25">
      <c r="A694" t="s">
        <v>721</v>
      </c>
      <c r="B694">
        <v>32</v>
      </c>
      <c r="C694" t="s">
        <v>24</v>
      </c>
      <c r="D694" t="s">
        <v>28</v>
      </c>
      <c r="E694" s="4">
        <v>45948</v>
      </c>
      <c r="F694" s="4">
        <v>45956</v>
      </c>
      <c r="G694" s="8">
        <v>8</v>
      </c>
      <c r="H694" t="s">
        <v>20</v>
      </c>
      <c r="I694">
        <v>0</v>
      </c>
      <c r="J694" t="s">
        <v>16</v>
      </c>
      <c r="K694" t="s">
        <v>22</v>
      </c>
      <c r="L694" s="6">
        <v>11087.69</v>
      </c>
      <c r="M694" t="str">
        <f>TEXT(Table1[[#This Row],[Admission_Date]], "mmm")</f>
        <v>Oct</v>
      </c>
      <c r="N694">
        <f>YEAR(Table1[[#This Row],[Admission_Date]])</f>
        <v>2025</v>
      </c>
      <c r="O694" t="str">
        <f>IF(Table1[[#This Row],[Age]]&lt;30, "Young Adult", IF(Table1[[#This Row],[Age]]&lt;60, "Adult", "Senior"))</f>
        <v>Adult</v>
      </c>
    </row>
    <row r="695" spans="1:15" x14ac:dyDescent="0.25">
      <c r="A695" t="s">
        <v>722</v>
      </c>
      <c r="B695">
        <v>53</v>
      </c>
      <c r="C695" t="s">
        <v>24</v>
      </c>
      <c r="D695" t="s">
        <v>34</v>
      </c>
      <c r="E695" s="4">
        <v>45927</v>
      </c>
      <c r="F695" s="4">
        <v>45941</v>
      </c>
      <c r="G695" s="8">
        <v>14</v>
      </c>
      <c r="H695" t="s">
        <v>20</v>
      </c>
      <c r="I695">
        <v>0</v>
      </c>
      <c r="J695" t="s">
        <v>16</v>
      </c>
      <c r="K695" t="s">
        <v>17</v>
      </c>
      <c r="L695" s="6">
        <v>13403.77</v>
      </c>
      <c r="M695" t="str">
        <f>TEXT(Table1[[#This Row],[Admission_Date]], "mmm")</f>
        <v>Sep</v>
      </c>
      <c r="N695">
        <f>YEAR(Table1[[#This Row],[Admission_Date]])</f>
        <v>2025</v>
      </c>
      <c r="O695" t="str">
        <f>IF(Table1[[#This Row],[Age]]&lt;30, "Young Adult", IF(Table1[[#This Row],[Age]]&lt;60, "Adult", "Senior"))</f>
        <v>Adult</v>
      </c>
    </row>
    <row r="696" spans="1:15" x14ac:dyDescent="0.25">
      <c r="A696" t="s">
        <v>723</v>
      </c>
      <c r="B696">
        <v>27</v>
      </c>
      <c r="C696" t="s">
        <v>24</v>
      </c>
      <c r="D696" t="s">
        <v>34</v>
      </c>
      <c r="E696" s="4">
        <v>45703</v>
      </c>
      <c r="F696" s="4">
        <v>45707</v>
      </c>
      <c r="G696" s="8">
        <v>4</v>
      </c>
      <c r="H696" t="s">
        <v>20</v>
      </c>
      <c r="I696">
        <v>0</v>
      </c>
      <c r="J696" t="s">
        <v>16</v>
      </c>
      <c r="K696" t="s">
        <v>47</v>
      </c>
      <c r="L696" s="6">
        <v>8257.98</v>
      </c>
      <c r="M696" t="str">
        <f>TEXT(Table1[[#This Row],[Admission_Date]], "mmm")</f>
        <v>Feb</v>
      </c>
      <c r="N696">
        <f>YEAR(Table1[[#This Row],[Admission_Date]])</f>
        <v>2025</v>
      </c>
      <c r="O696" t="str">
        <f>IF(Table1[[#This Row],[Age]]&lt;30, "Young Adult", IF(Table1[[#This Row],[Age]]&lt;60, "Adult", "Senior"))</f>
        <v>Young Adult</v>
      </c>
    </row>
    <row r="697" spans="1:15" x14ac:dyDescent="0.25">
      <c r="A697" t="s">
        <v>724</v>
      </c>
      <c r="B697">
        <v>78</v>
      </c>
      <c r="C697" t="s">
        <v>24</v>
      </c>
      <c r="D697" t="s">
        <v>40</v>
      </c>
      <c r="E697" s="4">
        <v>45663</v>
      </c>
      <c r="F697" s="4">
        <v>45671</v>
      </c>
      <c r="G697" s="8">
        <v>8</v>
      </c>
      <c r="H697" t="s">
        <v>20</v>
      </c>
      <c r="I697">
        <v>0</v>
      </c>
      <c r="J697" t="s">
        <v>25</v>
      </c>
      <c r="K697" t="s">
        <v>47</v>
      </c>
      <c r="L697" s="6">
        <v>4693.5200000000004</v>
      </c>
      <c r="M697" t="str">
        <f>TEXT(Table1[[#This Row],[Admission_Date]], "mmm")</f>
        <v>Jan</v>
      </c>
      <c r="N697">
        <f>YEAR(Table1[[#This Row],[Admission_Date]])</f>
        <v>2025</v>
      </c>
      <c r="O697" t="str">
        <f>IF(Table1[[#This Row],[Age]]&lt;30, "Young Adult", IF(Table1[[#This Row],[Age]]&lt;60, "Adult", "Senior"))</f>
        <v>Senior</v>
      </c>
    </row>
    <row r="698" spans="1:15" x14ac:dyDescent="0.25">
      <c r="A698" t="s">
        <v>725</v>
      </c>
      <c r="B698">
        <v>56</v>
      </c>
      <c r="C698" t="s">
        <v>24</v>
      </c>
      <c r="D698" t="s">
        <v>19</v>
      </c>
      <c r="E698" s="4">
        <v>45676</v>
      </c>
      <c r="F698" s="4">
        <v>45688</v>
      </c>
      <c r="G698" s="8">
        <v>12</v>
      </c>
      <c r="H698" t="s">
        <v>20</v>
      </c>
      <c r="I698">
        <v>0</v>
      </c>
      <c r="J698" t="s">
        <v>29</v>
      </c>
      <c r="K698" t="s">
        <v>17</v>
      </c>
      <c r="L698" s="6">
        <v>2951.65</v>
      </c>
      <c r="M698" t="str">
        <f>TEXT(Table1[[#This Row],[Admission_Date]], "mmm")</f>
        <v>Jan</v>
      </c>
      <c r="N698">
        <f>YEAR(Table1[[#This Row],[Admission_Date]])</f>
        <v>2025</v>
      </c>
      <c r="O698" t="str">
        <f>IF(Table1[[#This Row],[Age]]&lt;30, "Young Adult", IF(Table1[[#This Row],[Age]]&lt;60, "Adult", "Senior"))</f>
        <v>Adult</v>
      </c>
    </row>
    <row r="699" spans="1:15" x14ac:dyDescent="0.25">
      <c r="A699" t="s">
        <v>726</v>
      </c>
      <c r="B699">
        <v>21</v>
      </c>
      <c r="C699" t="s">
        <v>24</v>
      </c>
      <c r="D699" t="s">
        <v>40</v>
      </c>
      <c r="E699" s="4">
        <v>45684</v>
      </c>
      <c r="F699" s="4">
        <v>45695</v>
      </c>
      <c r="G699" s="8">
        <v>11</v>
      </c>
      <c r="H699" t="s">
        <v>20</v>
      </c>
      <c r="I699">
        <v>0</v>
      </c>
      <c r="J699" t="s">
        <v>16</v>
      </c>
      <c r="K699" t="s">
        <v>22</v>
      </c>
      <c r="L699" s="6">
        <v>7831.14</v>
      </c>
      <c r="M699" t="str">
        <f>TEXT(Table1[[#This Row],[Admission_Date]], "mmm")</f>
        <v>Jan</v>
      </c>
      <c r="N699">
        <f>YEAR(Table1[[#This Row],[Admission_Date]])</f>
        <v>2025</v>
      </c>
      <c r="O699" t="str">
        <f>IF(Table1[[#This Row],[Age]]&lt;30, "Young Adult", IF(Table1[[#This Row],[Age]]&lt;60, "Adult", "Senior"))</f>
        <v>Young Adult</v>
      </c>
    </row>
    <row r="700" spans="1:15" x14ac:dyDescent="0.25">
      <c r="A700" t="s">
        <v>727</v>
      </c>
      <c r="B700">
        <v>53</v>
      </c>
      <c r="C700" t="s">
        <v>24</v>
      </c>
      <c r="D700" t="s">
        <v>32</v>
      </c>
      <c r="E700" s="4">
        <v>45800</v>
      </c>
      <c r="F700" s="4">
        <v>45805</v>
      </c>
      <c r="G700" s="8">
        <v>5</v>
      </c>
      <c r="H700" t="s">
        <v>15</v>
      </c>
      <c r="I700">
        <v>1</v>
      </c>
      <c r="J700" t="s">
        <v>16</v>
      </c>
      <c r="K700" t="s">
        <v>17</v>
      </c>
      <c r="L700" s="6">
        <v>3031.9</v>
      </c>
      <c r="M700" t="str">
        <f>TEXT(Table1[[#This Row],[Admission_Date]], "mmm")</f>
        <v>May</v>
      </c>
      <c r="N700">
        <f>YEAR(Table1[[#This Row],[Admission_Date]])</f>
        <v>2025</v>
      </c>
      <c r="O700" t="str">
        <f>IF(Table1[[#This Row],[Age]]&lt;30, "Young Adult", IF(Table1[[#This Row],[Age]]&lt;60, "Adult", "Senior"))</f>
        <v>Adult</v>
      </c>
    </row>
    <row r="701" spans="1:15" x14ac:dyDescent="0.25">
      <c r="A701" t="s">
        <v>728</v>
      </c>
      <c r="B701">
        <v>75</v>
      </c>
      <c r="C701" t="s">
        <v>24</v>
      </c>
      <c r="D701" t="s">
        <v>14</v>
      </c>
      <c r="E701" s="4">
        <v>45960</v>
      </c>
      <c r="F701" s="4">
        <v>45972</v>
      </c>
      <c r="G701" s="8">
        <v>12</v>
      </c>
      <c r="H701" t="s">
        <v>15</v>
      </c>
      <c r="I701">
        <v>9</v>
      </c>
      <c r="J701" t="s">
        <v>21</v>
      </c>
      <c r="K701" t="s">
        <v>47</v>
      </c>
      <c r="L701" s="6">
        <v>3121.73</v>
      </c>
      <c r="M701" t="str">
        <f>TEXT(Table1[[#This Row],[Admission_Date]], "mmm")</f>
        <v>Oct</v>
      </c>
      <c r="N701">
        <f>YEAR(Table1[[#This Row],[Admission_Date]])</f>
        <v>2025</v>
      </c>
      <c r="O701" t="str">
        <f>IF(Table1[[#This Row],[Age]]&lt;30, "Young Adult", IF(Table1[[#This Row],[Age]]&lt;60, "Adult", "Senior"))</f>
        <v>Senior</v>
      </c>
    </row>
    <row r="702" spans="1:15" x14ac:dyDescent="0.25">
      <c r="A702" t="s">
        <v>729</v>
      </c>
      <c r="B702">
        <v>28</v>
      </c>
      <c r="C702" t="s">
        <v>13</v>
      </c>
      <c r="D702" t="s">
        <v>34</v>
      </c>
      <c r="E702" s="4">
        <v>45928</v>
      </c>
      <c r="F702" s="4">
        <v>45942</v>
      </c>
      <c r="G702" s="8">
        <v>14</v>
      </c>
      <c r="H702" t="s">
        <v>15</v>
      </c>
      <c r="I702">
        <v>30</v>
      </c>
      <c r="J702" t="s">
        <v>21</v>
      </c>
      <c r="K702" t="s">
        <v>47</v>
      </c>
      <c r="L702" s="6">
        <v>11415.04</v>
      </c>
      <c r="M702" t="str">
        <f>TEXT(Table1[[#This Row],[Admission_Date]], "mmm")</f>
        <v>Sep</v>
      </c>
      <c r="N702">
        <f>YEAR(Table1[[#This Row],[Admission_Date]])</f>
        <v>2025</v>
      </c>
      <c r="O702" t="str">
        <f>IF(Table1[[#This Row],[Age]]&lt;30, "Young Adult", IF(Table1[[#This Row],[Age]]&lt;60, "Adult", "Senior"))</f>
        <v>Young Adult</v>
      </c>
    </row>
    <row r="703" spans="1:15" x14ac:dyDescent="0.25">
      <c r="A703" t="s">
        <v>730</v>
      </c>
      <c r="B703">
        <v>74</v>
      </c>
      <c r="C703" t="s">
        <v>13</v>
      </c>
      <c r="D703" t="s">
        <v>14</v>
      </c>
      <c r="E703" s="4">
        <v>45869</v>
      </c>
      <c r="F703" s="4">
        <v>45882</v>
      </c>
      <c r="G703" s="8">
        <v>13</v>
      </c>
      <c r="H703" t="s">
        <v>20</v>
      </c>
      <c r="I703">
        <v>0</v>
      </c>
      <c r="J703" t="s">
        <v>25</v>
      </c>
      <c r="K703" t="s">
        <v>22</v>
      </c>
      <c r="L703" s="6">
        <v>9812.7900000000009</v>
      </c>
      <c r="M703" t="str">
        <f>TEXT(Table1[[#This Row],[Admission_Date]], "mmm")</f>
        <v>Jul</v>
      </c>
      <c r="N703">
        <f>YEAR(Table1[[#This Row],[Admission_Date]])</f>
        <v>2025</v>
      </c>
      <c r="O703" t="str">
        <f>IF(Table1[[#This Row],[Age]]&lt;30, "Young Adult", IF(Table1[[#This Row],[Age]]&lt;60, "Adult", "Senior"))</f>
        <v>Senior</v>
      </c>
    </row>
    <row r="704" spans="1:15" x14ac:dyDescent="0.25">
      <c r="A704" t="s">
        <v>731</v>
      </c>
      <c r="B704">
        <v>69</v>
      </c>
      <c r="C704" t="s">
        <v>24</v>
      </c>
      <c r="D704" t="s">
        <v>32</v>
      </c>
      <c r="E704" s="4">
        <v>45717</v>
      </c>
      <c r="F704" s="4">
        <v>45718</v>
      </c>
      <c r="G704" s="8">
        <v>1</v>
      </c>
      <c r="H704" t="s">
        <v>15</v>
      </c>
      <c r="I704">
        <v>16</v>
      </c>
      <c r="J704" t="s">
        <v>21</v>
      </c>
      <c r="K704" t="s">
        <v>47</v>
      </c>
      <c r="L704" s="6">
        <v>10410.89</v>
      </c>
      <c r="M704" t="str">
        <f>TEXT(Table1[[#This Row],[Admission_Date]], "mmm")</f>
        <v>Mar</v>
      </c>
      <c r="N704">
        <f>YEAR(Table1[[#This Row],[Admission_Date]])</f>
        <v>2025</v>
      </c>
      <c r="O704" t="str">
        <f>IF(Table1[[#This Row],[Age]]&lt;30, "Young Adult", IF(Table1[[#This Row],[Age]]&lt;60, "Adult", "Senior"))</f>
        <v>Senior</v>
      </c>
    </row>
    <row r="705" spans="1:15" x14ac:dyDescent="0.25">
      <c r="A705" t="s">
        <v>732</v>
      </c>
      <c r="B705">
        <v>85</v>
      </c>
      <c r="C705" t="s">
        <v>24</v>
      </c>
      <c r="D705" t="s">
        <v>19</v>
      </c>
      <c r="E705" s="4">
        <v>45857</v>
      </c>
      <c r="F705" s="4">
        <v>45865</v>
      </c>
      <c r="G705" s="8">
        <v>8</v>
      </c>
      <c r="H705" t="s">
        <v>15</v>
      </c>
      <c r="I705">
        <v>10</v>
      </c>
      <c r="J705" t="s">
        <v>29</v>
      </c>
      <c r="K705" t="s">
        <v>47</v>
      </c>
      <c r="L705" s="6">
        <v>10338.15</v>
      </c>
      <c r="M705" t="str">
        <f>TEXT(Table1[[#This Row],[Admission_Date]], "mmm")</f>
        <v>Jul</v>
      </c>
      <c r="N705">
        <f>YEAR(Table1[[#This Row],[Admission_Date]])</f>
        <v>2025</v>
      </c>
      <c r="O705" t="str">
        <f>IF(Table1[[#This Row],[Age]]&lt;30, "Young Adult", IF(Table1[[#This Row],[Age]]&lt;60, "Adult", "Senior"))</f>
        <v>Senior</v>
      </c>
    </row>
    <row r="706" spans="1:15" x14ac:dyDescent="0.25">
      <c r="A706" t="s">
        <v>733</v>
      </c>
      <c r="B706">
        <v>30</v>
      </c>
      <c r="C706" t="s">
        <v>24</v>
      </c>
      <c r="D706" t="s">
        <v>40</v>
      </c>
      <c r="E706" s="4">
        <v>45929</v>
      </c>
      <c r="F706" s="4">
        <v>45940</v>
      </c>
      <c r="G706" s="8">
        <v>11</v>
      </c>
      <c r="H706" t="s">
        <v>20</v>
      </c>
      <c r="I706">
        <v>0</v>
      </c>
      <c r="J706" t="s">
        <v>25</v>
      </c>
      <c r="K706" t="s">
        <v>47</v>
      </c>
      <c r="L706" s="6">
        <v>4419.7299999999996</v>
      </c>
      <c r="M706" t="str">
        <f>TEXT(Table1[[#This Row],[Admission_Date]], "mmm")</f>
        <v>Sep</v>
      </c>
      <c r="N706">
        <f>YEAR(Table1[[#This Row],[Admission_Date]])</f>
        <v>2025</v>
      </c>
      <c r="O706" t="str">
        <f>IF(Table1[[#This Row],[Age]]&lt;30, "Young Adult", IF(Table1[[#This Row],[Age]]&lt;60, "Adult", "Senior"))</f>
        <v>Adult</v>
      </c>
    </row>
    <row r="707" spans="1:15" x14ac:dyDescent="0.25">
      <c r="A707" t="s">
        <v>734</v>
      </c>
      <c r="B707">
        <v>68</v>
      </c>
      <c r="C707" t="s">
        <v>24</v>
      </c>
      <c r="D707" t="s">
        <v>28</v>
      </c>
      <c r="E707" s="4">
        <v>45708</v>
      </c>
      <c r="F707" s="4">
        <v>45713</v>
      </c>
      <c r="G707" s="8">
        <v>5</v>
      </c>
      <c r="H707" t="s">
        <v>20</v>
      </c>
      <c r="I707">
        <v>0</v>
      </c>
      <c r="J707" t="s">
        <v>21</v>
      </c>
      <c r="K707" t="s">
        <v>17</v>
      </c>
      <c r="L707" s="6">
        <v>10242.4</v>
      </c>
      <c r="M707" t="str">
        <f>TEXT(Table1[[#This Row],[Admission_Date]], "mmm")</f>
        <v>Feb</v>
      </c>
      <c r="N707">
        <f>YEAR(Table1[[#This Row],[Admission_Date]])</f>
        <v>2025</v>
      </c>
      <c r="O707" t="str">
        <f>IF(Table1[[#This Row],[Age]]&lt;30, "Young Adult", IF(Table1[[#This Row],[Age]]&lt;60, "Adult", "Senior"))</f>
        <v>Senior</v>
      </c>
    </row>
    <row r="708" spans="1:15" x14ac:dyDescent="0.25">
      <c r="A708" t="s">
        <v>735</v>
      </c>
      <c r="B708">
        <v>41</v>
      </c>
      <c r="C708" t="s">
        <v>24</v>
      </c>
      <c r="D708" t="s">
        <v>34</v>
      </c>
      <c r="E708" s="4">
        <v>45757</v>
      </c>
      <c r="F708" s="4">
        <v>45766</v>
      </c>
      <c r="G708" s="8">
        <v>9</v>
      </c>
      <c r="H708" t="s">
        <v>20</v>
      </c>
      <c r="I708">
        <v>0</v>
      </c>
      <c r="J708" t="s">
        <v>16</v>
      </c>
      <c r="K708" t="s">
        <v>17</v>
      </c>
      <c r="L708" s="6">
        <v>622.9</v>
      </c>
      <c r="M708" t="str">
        <f>TEXT(Table1[[#This Row],[Admission_Date]], "mmm")</f>
        <v>Apr</v>
      </c>
      <c r="N708">
        <f>YEAR(Table1[[#This Row],[Admission_Date]])</f>
        <v>2025</v>
      </c>
      <c r="O708" t="str">
        <f>IF(Table1[[#This Row],[Age]]&lt;30, "Young Adult", IF(Table1[[#This Row],[Age]]&lt;60, "Adult", "Senior"))</f>
        <v>Adult</v>
      </c>
    </row>
    <row r="709" spans="1:15" x14ac:dyDescent="0.25">
      <c r="A709" t="s">
        <v>736</v>
      </c>
      <c r="B709">
        <v>85</v>
      </c>
      <c r="C709" t="s">
        <v>13</v>
      </c>
      <c r="D709" t="s">
        <v>28</v>
      </c>
      <c r="E709" s="4">
        <v>45692</v>
      </c>
      <c r="F709" s="4">
        <v>45693</v>
      </c>
      <c r="G709" s="8">
        <v>1</v>
      </c>
      <c r="H709" t="s">
        <v>20</v>
      </c>
      <c r="I709">
        <v>0</v>
      </c>
      <c r="J709" t="s">
        <v>29</v>
      </c>
      <c r="K709" t="s">
        <v>47</v>
      </c>
      <c r="L709" s="6">
        <v>3681.54</v>
      </c>
      <c r="M709" t="str">
        <f>TEXT(Table1[[#This Row],[Admission_Date]], "mmm")</f>
        <v>Feb</v>
      </c>
      <c r="N709">
        <f>YEAR(Table1[[#This Row],[Admission_Date]])</f>
        <v>2025</v>
      </c>
      <c r="O709" t="str">
        <f>IF(Table1[[#This Row],[Age]]&lt;30, "Young Adult", IF(Table1[[#This Row],[Age]]&lt;60, "Adult", "Senior"))</f>
        <v>Senior</v>
      </c>
    </row>
    <row r="710" spans="1:15" x14ac:dyDescent="0.25">
      <c r="A710" t="s">
        <v>737</v>
      </c>
      <c r="B710">
        <v>21</v>
      </c>
      <c r="C710" t="s">
        <v>13</v>
      </c>
      <c r="D710" t="s">
        <v>19</v>
      </c>
      <c r="E710" s="4">
        <v>45803</v>
      </c>
      <c r="F710" s="4">
        <v>45808</v>
      </c>
      <c r="G710" s="8">
        <v>5</v>
      </c>
      <c r="H710" t="s">
        <v>15</v>
      </c>
      <c r="I710">
        <v>20</v>
      </c>
      <c r="J710" t="s">
        <v>21</v>
      </c>
      <c r="K710" t="s">
        <v>17</v>
      </c>
      <c r="L710" s="6">
        <v>9752.2000000000007</v>
      </c>
      <c r="M710" t="str">
        <f>TEXT(Table1[[#This Row],[Admission_Date]], "mmm")</f>
        <v>May</v>
      </c>
      <c r="N710">
        <f>YEAR(Table1[[#This Row],[Admission_Date]])</f>
        <v>2025</v>
      </c>
      <c r="O710" t="str">
        <f>IF(Table1[[#This Row],[Age]]&lt;30, "Young Adult", IF(Table1[[#This Row],[Age]]&lt;60, "Adult", "Senior"))</f>
        <v>Young Adult</v>
      </c>
    </row>
    <row r="711" spans="1:15" x14ac:dyDescent="0.25">
      <c r="A711" t="s">
        <v>738</v>
      </c>
      <c r="B711">
        <v>34</v>
      </c>
      <c r="C711" t="s">
        <v>24</v>
      </c>
      <c r="D711" t="s">
        <v>28</v>
      </c>
      <c r="E711" s="4">
        <v>46020</v>
      </c>
      <c r="F711" s="4">
        <v>46022</v>
      </c>
      <c r="G711" s="8">
        <v>2</v>
      </c>
      <c r="H711" t="s">
        <v>15</v>
      </c>
      <c r="I711">
        <v>25</v>
      </c>
      <c r="J711" t="s">
        <v>21</v>
      </c>
      <c r="K711" t="s">
        <v>22</v>
      </c>
      <c r="L711" s="6">
        <v>10586.98</v>
      </c>
      <c r="M711" t="str">
        <f>TEXT(Table1[[#This Row],[Admission_Date]], "mmm")</f>
        <v>Dec</v>
      </c>
      <c r="N711">
        <f>YEAR(Table1[[#This Row],[Admission_Date]])</f>
        <v>2025</v>
      </c>
      <c r="O711" t="str">
        <f>IF(Table1[[#This Row],[Age]]&lt;30, "Young Adult", IF(Table1[[#This Row],[Age]]&lt;60, "Adult", "Senior"))</f>
        <v>Adult</v>
      </c>
    </row>
    <row r="712" spans="1:15" x14ac:dyDescent="0.25">
      <c r="A712" t="s">
        <v>739</v>
      </c>
      <c r="B712">
        <v>27</v>
      </c>
      <c r="C712" t="s">
        <v>24</v>
      </c>
      <c r="D712" t="s">
        <v>32</v>
      </c>
      <c r="E712" s="4">
        <v>45787</v>
      </c>
      <c r="F712" s="4">
        <v>45792</v>
      </c>
      <c r="G712" s="8">
        <v>5</v>
      </c>
      <c r="H712" t="s">
        <v>20</v>
      </c>
      <c r="I712">
        <v>0</v>
      </c>
      <c r="J712" t="s">
        <v>29</v>
      </c>
      <c r="K712" t="s">
        <v>17</v>
      </c>
      <c r="L712" s="6">
        <v>13599.18</v>
      </c>
      <c r="M712" t="str">
        <f>TEXT(Table1[[#This Row],[Admission_Date]], "mmm")</f>
        <v>May</v>
      </c>
      <c r="N712">
        <f>YEAR(Table1[[#This Row],[Admission_Date]])</f>
        <v>2025</v>
      </c>
      <c r="O712" t="str">
        <f>IF(Table1[[#This Row],[Age]]&lt;30, "Young Adult", IF(Table1[[#This Row],[Age]]&lt;60, "Adult", "Senior"))</f>
        <v>Young Adult</v>
      </c>
    </row>
    <row r="713" spans="1:15" x14ac:dyDescent="0.25">
      <c r="A713" t="s">
        <v>740</v>
      </c>
      <c r="B713">
        <v>27</v>
      </c>
      <c r="C713" t="s">
        <v>24</v>
      </c>
      <c r="D713" t="s">
        <v>19</v>
      </c>
      <c r="E713" s="4">
        <v>45823</v>
      </c>
      <c r="F713" s="4">
        <v>45828</v>
      </c>
      <c r="G713" s="8">
        <v>5</v>
      </c>
      <c r="H713" t="s">
        <v>15</v>
      </c>
      <c r="I713">
        <v>13</v>
      </c>
      <c r="J713" t="s">
        <v>29</v>
      </c>
      <c r="K713" t="s">
        <v>47</v>
      </c>
      <c r="L713" s="6">
        <v>14941.4</v>
      </c>
      <c r="M713" t="str">
        <f>TEXT(Table1[[#This Row],[Admission_Date]], "mmm")</f>
        <v>Jun</v>
      </c>
      <c r="N713">
        <f>YEAR(Table1[[#This Row],[Admission_Date]])</f>
        <v>2025</v>
      </c>
      <c r="O713" t="str">
        <f>IF(Table1[[#This Row],[Age]]&lt;30, "Young Adult", IF(Table1[[#This Row],[Age]]&lt;60, "Adult", "Senior"))</f>
        <v>Young Adult</v>
      </c>
    </row>
    <row r="714" spans="1:15" x14ac:dyDescent="0.25">
      <c r="A714" t="s">
        <v>741</v>
      </c>
      <c r="B714">
        <v>74</v>
      </c>
      <c r="C714" t="s">
        <v>13</v>
      </c>
      <c r="D714" t="s">
        <v>40</v>
      </c>
      <c r="E714" s="4">
        <v>45790</v>
      </c>
      <c r="F714" s="4">
        <v>45804</v>
      </c>
      <c r="G714" s="8">
        <v>14</v>
      </c>
      <c r="H714" t="s">
        <v>15</v>
      </c>
      <c r="I714">
        <v>30</v>
      </c>
      <c r="J714" t="s">
        <v>21</v>
      </c>
      <c r="K714" t="s">
        <v>17</v>
      </c>
      <c r="L714" s="6">
        <v>6193.2</v>
      </c>
      <c r="M714" t="str">
        <f>TEXT(Table1[[#This Row],[Admission_Date]], "mmm")</f>
        <v>May</v>
      </c>
      <c r="N714">
        <f>YEAR(Table1[[#This Row],[Admission_Date]])</f>
        <v>2025</v>
      </c>
      <c r="O714" t="str">
        <f>IF(Table1[[#This Row],[Age]]&lt;30, "Young Adult", IF(Table1[[#This Row],[Age]]&lt;60, "Adult", "Senior"))</f>
        <v>Senior</v>
      </c>
    </row>
    <row r="715" spans="1:15" x14ac:dyDescent="0.25">
      <c r="A715" t="s">
        <v>742</v>
      </c>
      <c r="B715">
        <v>87</v>
      </c>
      <c r="C715" t="s">
        <v>24</v>
      </c>
      <c r="D715" t="s">
        <v>14</v>
      </c>
      <c r="E715" s="4">
        <v>45988</v>
      </c>
      <c r="F715" s="4">
        <v>45996</v>
      </c>
      <c r="G715" s="8">
        <v>8</v>
      </c>
      <c r="H715" t="s">
        <v>15</v>
      </c>
      <c r="I715">
        <v>20</v>
      </c>
      <c r="J715" t="s">
        <v>16</v>
      </c>
      <c r="K715" t="s">
        <v>47</v>
      </c>
      <c r="L715" s="6">
        <v>10873.3</v>
      </c>
      <c r="M715" t="str">
        <f>TEXT(Table1[[#This Row],[Admission_Date]], "mmm")</f>
        <v>Nov</v>
      </c>
      <c r="N715">
        <f>YEAR(Table1[[#This Row],[Admission_Date]])</f>
        <v>2025</v>
      </c>
      <c r="O715" t="str">
        <f>IF(Table1[[#This Row],[Age]]&lt;30, "Young Adult", IF(Table1[[#This Row],[Age]]&lt;60, "Adult", "Senior"))</f>
        <v>Senior</v>
      </c>
    </row>
    <row r="716" spans="1:15" x14ac:dyDescent="0.25">
      <c r="A716" t="s">
        <v>743</v>
      </c>
      <c r="B716">
        <v>50</v>
      </c>
      <c r="C716" t="s">
        <v>24</v>
      </c>
      <c r="D716" t="s">
        <v>19</v>
      </c>
      <c r="E716" s="4">
        <v>45710</v>
      </c>
      <c r="F716" s="4">
        <v>45711</v>
      </c>
      <c r="G716" s="8">
        <v>1</v>
      </c>
      <c r="H716" t="s">
        <v>15</v>
      </c>
      <c r="I716">
        <v>29</v>
      </c>
      <c r="J716" t="s">
        <v>29</v>
      </c>
      <c r="K716" t="s">
        <v>22</v>
      </c>
      <c r="L716" s="6">
        <v>9966.5499999999993</v>
      </c>
      <c r="M716" t="str">
        <f>TEXT(Table1[[#This Row],[Admission_Date]], "mmm")</f>
        <v>Feb</v>
      </c>
      <c r="N716">
        <f>YEAR(Table1[[#This Row],[Admission_Date]])</f>
        <v>2025</v>
      </c>
      <c r="O716" t="str">
        <f>IF(Table1[[#This Row],[Age]]&lt;30, "Young Adult", IF(Table1[[#This Row],[Age]]&lt;60, "Adult", "Senior"))</f>
        <v>Adult</v>
      </c>
    </row>
    <row r="717" spans="1:15" x14ac:dyDescent="0.25">
      <c r="A717" t="s">
        <v>744</v>
      </c>
      <c r="B717">
        <v>52</v>
      </c>
      <c r="C717" t="s">
        <v>13</v>
      </c>
      <c r="D717" t="s">
        <v>28</v>
      </c>
      <c r="E717" s="4">
        <v>45658</v>
      </c>
      <c r="F717" s="4">
        <v>45659</v>
      </c>
      <c r="G717" s="8">
        <v>1</v>
      </c>
      <c r="H717" t="s">
        <v>20</v>
      </c>
      <c r="I717">
        <v>0</v>
      </c>
      <c r="J717" t="s">
        <v>25</v>
      </c>
      <c r="K717" t="s">
        <v>47</v>
      </c>
      <c r="L717" s="6">
        <v>8832.2800000000007</v>
      </c>
      <c r="M717" t="str">
        <f>TEXT(Table1[[#This Row],[Admission_Date]], "mmm")</f>
        <v>Jan</v>
      </c>
      <c r="N717">
        <f>YEAR(Table1[[#This Row],[Admission_Date]])</f>
        <v>2025</v>
      </c>
      <c r="O717" t="str">
        <f>IF(Table1[[#This Row],[Age]]&lt;30, "Young Adult", IF(Table1[[#This Row],[Age]]&lt;60, "Adult", "Senior"))</f>
        <v>Adult</v>
      </c>
    </row>
    <row r="718" spans="1:15" x14ac:dyDescent="0.25">
      <c r="A718" t="s">
        <v>745</v>
      </c>
      <c r="B718">
        <v>80</v>
      </c>
      <c r="C718" t="s">
        <v>24</v>
      </c>
      <c r="D718" t="s">
        <v>40</v>
      </c>
      <c r="E718" s="4">
        <v>45921</v>
      </c>
      <c r="F718" s="4">
        <v>45933</v>
      </c>
      <c r="G718" s="8">
        <v>12</v>
      </c>
      <c r="H718" t="s">
        <v>20</v>
      </c>
      <c r="I718">
        <v>0</v>
      </c>
      <c r="J718" t="s">
        <v>29</v>
      </c>
      <c r="K718" t="s">
        <v>17</v>
      </c>
      <c r="L718" s="6">
        <v>11823.59</v>
      </c>
      <c r="M718" t="str">
        <f>TEXT(Table1[[#This Row],[Admission_Date]], "mmm")</f>
        <v>Sep</v>
      </c>
      <c r="N718">
        <f>YEAR(Table1[[#This Row],[Admission_Date]])</f>
        <v>2025</v>
      </c>
      <c r="O718" t="str">
        <f>IF(Table1[[#This Row],[Age]]&lt;30, "Young Adult", IF(Table1[[#This Row],[Age]]&lt;60, "Adult", "Senior"))</f>
        <v>Senior</v>
      </c>
    </row>
    <row r="719" spans="1:15" x14ac:dyDescent="0.25">
      <c r="A719" t="s">
        <v>746</v>
      </c>
      <c r="B719">
        <v>67</v>
      </c>
      <c r="C719" t="s">
        <v>24</v>
      </c>
      <c r="D719" t="s">
        <v>19</v>
      </c>
      <c r="E719" s="4">
        <v>45693</v>
      </c>
      <c r="F719" s="4">
        <v>45702</v>
      </c>
      <c r="G719" s="8">
        <v>9</v>
      </c>
      <c r="H719" t="s">
        <v>15</v>
      </c>
      <c r="I719">
        <v>19</v>
      </c>
      <c r="J719" t="s">
        <v>25</v>
      </c>
      <c r="K719" t="s">
        <v>47</v>
      </c>
      <c r="L719" s="6">
        <v>10386.620000000001</v>
      </c>
      <c r="M719" t="str">
        <f>TEXT(Table1[[#This Row],[Admission_Date]], "mmm")</f>
        <v>Feb</v>
      </c>
      <c r="N719">
        <f>YEAR(Table1[[#This Row],[Admission_Date]])</f>
        <v>2025</v>
      </c>
      <c r="O719" t="str">
        <f>IF(Table1[[#This Row],[Age]]&lt;30, "Young Adult", IF(Table1[[#This Row],[Age]]&lt;60, "Adult", "Senior"))</f>
        <v>Senior</v>
      </c>
    </row>
    <row r="720" spans="1:15" x14ac:dyDescent="0.25">
      <c r="A720" t="s">
        <v>747</v>
      </c>
      <c r="B720">
        <v>29</v>
      </c>
      <c r="C720" t="s">
        <v>24</v>
      </c>
      <c r="D720" t="s">
        <v>34</v>
      </c>
      <c r="E720" s="4">
        <v>45863</v>
      </c>
      <c r="F720" s="4">
        <v>45864</v>
      </c>
      <c r="G720" s="8">
        <v>1</v>
      </c>
      <c r="H720" t="s">
        <v>20</v>
      </c>
      <c r="I720">
        <v>0</v>
      </c>
      <c r="J720" t="s">
        <v>25</v>
      </c>
      <c r="K720" t="s">
        <v>22</v>
      </c>
      <c r="L720" s="6">
        <v>12697.13</v>
      </c>
      <c r="M720" t="str">
        <f>TEXT(Table1[[#This Row],[Admission_Date]], "mmm")</f>
        <v>Jul</v>
      </c>
      <c r="N720">
        <f>YEAR(Table1[[#This Row],[Admission_Date]])</f>
        <v>2025</v>
      </c>
      <c r="O720" t="str">
        <f>IF(Table1[[#This Row],[Age]]&lt;30, "Young Adult", IF(Table1[[#This Row],[Age]]&lt;60, "Adult", "Senior"))</f>
        <v>Young Adult</v>
      </c>
    </row>
    <row r="721" spans="1:15" x14ac:dyDescent="0.25">
      <c r="A721" t="s">
        <v>748</v>
      </c>
      <c r="B721">
        <v>88</v>
      </c>
      <c r="C721" t="s">
        <v>13</v>
      </c>
      <c r="D721" t="s">
        <v>40</v>
      </c>
      <c r="E721" s="4">
        <v>45806</v>
      </c>
      <c r="F721" s="4">
        <v>45817</v>
      </c>
      <c r="G721" s="8">
        <v>11</v>
      </c>
      <c r="H721" t="s">
        <v>15</v>
      </c>
      <c r="I721">
        <v>22</v>
      </c>
      <c r="J721" t="s">
        <v>21</v>
      </c>
      <c r="K721" t="s">
        <v>47</v>
      </c>
      <c r="L721" s="6">
        <v>10590.29</v>
      </c>
      <c r="M721" t="str">
        <f>TEXT(Table1[[#This Row],[Admission_Date]], "mmm")</f>
        <v>May</v>
      </c>
      <c r="N721">
        <f>YEAR(Table1[[#This Row],[Admission_Date]])</f>
        <v>2025</v>
      </c>
      <c r="O721" t="str">
        <f>IF(Table1[[#This Row],[Age]]&lt;30, "Young Adult", IF(Table1[[#This Row],[Age]]&lt;60, "Adult", "Senior"))</f>
        <v>Senior</v>
      </c>
    </row>
    <row r="722" spans="1:15" x14ac:dyDescent="0.25">
      <c r="A722" t="s">
        <v>749</v>
      </c>
      <c r="B722">
        <v>80</v>
      </c>
      <c r="C722" t="s">
        <v>13</v>
      </c>
      <c r="D722" t="s">
        <v>28</v>
      </c>
      <c r="E722" s="4">
        <v>45712</v>
      </c>
      <c r="F722" s="4">
        <v>45723</v>
      </c>
      <c r="G722" s="8">
        <v>11</v>
      </c>
      <c r="H722" t="s">
        <v>20</v>
      </c>
      <c r="I722">
        <v>0</v>
      </c>
      <c r="J722" t="s">
        <v>29</v>
      </c>
      <c r="K722" t="s">
        <v>17</v>
      </c>
      <c r="L722" s="6">
        <v>3247.24</v>
      </c>
      <c r="M722" t="str">
        <f>TEXT(Table1[[#This Row],[Admission_Date]], "mmm")</f>
        <v>Feb</v>
      </c>
      <c r="N722">
        <f>YEAR(Table1[[#This Row],[Admission_Date]])</f>
        <v>2025</v>
      </c>
      <c r="O722" t="str">
        <f>IF(Table1[[#This Row],[Age]]&lt;30, "Young Adult", IF(Table1[[#This Row],[Age]]&lt;60, "Adult", "Senior"))</f>
        <v>Senior</v>
      </c>
    </row>
    <row r="723" spans="1:15" x14ac:dyDescent="0.25">
      <c r="A723" t="s">
        <v>750</v>
      </c>
      <c r="B723">
        <v>48</v>
      </c>
      <c r="C723" t="s">
        <v>24</v>
      </c>
      <c r="D723" t="s">
        <v>40</v>
      </c>
      <c r="E723" s="4">
        <v>45676</v>
      </c>
      <c r="F723" s="4">
        <v>45680</v>
      </c>
      <c r="G723" s="8">
        <v>4</v>
      </c>
      <c r="H723" t="s">
        <v>15</v>
      </c>
      <c r="I723">
        <v>3</v>
      </c>
      <c r="J723" t="s">
        <v>25</v>
      </c>
      <c r="K723" t="s">
        <v>47</v>
      </c>
      <c r="L723" s="6">
        <v>8242.1299999999992</v>
      </c>
      <c r="M723" t="str">
        <f>TEXT(Table1[[#This Row],[Admission_Date]], "mmm")</f>
        <v>Jan</v>
      </c>
      <c r="N723">
        <f>YEAR(Table1[[#This Row],[Admission_Date]])</f>
        <v>2025</v>
      </c>
      <c r="O723" t="str">
        <f>IF(Table1[[#This Row],[Age]]&lt;30, "Young Adult", IF(Table1[[#This Row],[Age]]&lt;60, "Adult", "Senior"))</f>
        <v>Adult</v>
      </c>
    </row>
    <row r="724" spans="1:15" x14ac:dyDescent="0.25">
      <c r="A724" t="s">
        <v>751</v>
      </c>
      <c r="B724">
        <v>25</v>
      </c>
      <c r="C724" t="s">
        <v>24</v>
      </c>
      <c r="D724" t="s">
        <v>28</v>
      </c>
      <c r="E724" s="4">
        <v>45888</v>
      </c>
      <c r="F724" s="4">
        <v>45889</v>
      </c>
      <c r="G724" s="8">
        <v>1</v>
      </c>
      <c r="H724" t="s">
        <v>15</v>
      </c>
      <c r="I724">
        <v>2</v>
      </c>
      <c r="J724" t="s">
        <v>29</v>
      </c>
      <c r="K724" t="s">
        <v>22</v>
      </c>
      <c r="L724" s="6">
        <v>3569.33</v>
      </c>
      <c r="M724" t="str">
        <f>TEXT(Table1[[#This Row],[Admission_Date]], "mmm")</f>
        <v>Aug</v>
      </c>
      <c r="N724">
        <f>YEAR(Table1[[#This Row],[Admission_Date]])</f>
        <v>2025</v>
      </c>
      <c r="O724" t="str">
        <f>IF(Table1[[#This Row],[Age]]&lt;30, "Young Adult", IF(Table1[[#This Row],[Age]]&lt;60, "Adult", "Senior"))</f>
        <v>Young Adult</v>
      </c>
    </row>
    <row r="725" spans="1:15" x14ac:dyDescent="0.25">
      <c r="A725" t="s">
        <v>752</v>
      </c>
      <c r="B725">
        <v>86</v>
      </c>
      <c r="C725" t="s">
        <v>13</v>
      </c>
      <c r="D725" t="s">
        <v>28</v>
      </c>
      <c r="E725" s="4">
        <v>45992</v>
      </c>
      <c r="F725" s="4">
        <v>46003</v>
      </c>
      <c r="G725" s="8">
        <v>11</v>
      </c>
      <c r="H725" t="s">
        <v>20</v>
      </c>
      <c r="I725">
        <v>0</v>
      </c>
      <c r="J725" t="s">
        <v>21</v>
      </c>
      <c r="K725" t="s">
        <v>22</v>
      </c>
      <c r="L725" s="6">
        <v>1034.73</v>
      </c>
      <c r="M725" t="str">
        <f>TEXT(Table1[[#This Row],[Admission_Date]], "mmm")</f>
        <v>Dec</v>
      </c>
      <c r="N725">
        <f>YEAR(Table1[[#This Row],[Admission_Date]])</f>
        <v>2025</v>
      </c>
      <c r="O725" t="str">
        <f>IF(Table1[[#This Row],[Age]]&lt;30, "Young Adult", IF(Table1[[#This Row],[Age]]&lt;60, "Adult", "Senior"))</f>
        <v>Senior</v>
      </c>
    </row>
    <row r="726" spans="1:15" x14ac:dyDescent="0.25">
      <c r="A726" t="s">
        <v>753</v>
      </c>
      <c r="B726">
        <v>78</v>
      </c>
      <c r="C726" t="s">
        <v>13</v>
      </c>
      <c r="D726" t="s">
        <v>14</v>
      </c>
      <c r="E726" s="4">
        <v>45730</v>
      </c>
      <c r="F726" s="4">
        <v>45738</v>
      </c>
      <c r="G726" s="8">
        <v>8</v>
      </c>
      <c r="H726" t="s">
        <v>20</v>
      </c>
      <c r="I726">
        <v>0</v>
      </c>
      <c r="J726" t="s">
        <v>21</v>
      </c>
      <c r="K726" t="s">
        <v>22</v>
      </c>
      <c r="L726" s="6">
        <v>2997.61</v>
      </c>
      <c r="M726" t="str">
        <f>TEXT(Table1[[#This Row],[Admission_Date]], "mmm")</f>
        <v>Mar</v>
      </c>
      <c r="N726">
        <f>YEAR(Table1[[#This Row],[Admission_Date]])</f>
        <v>2025</v>
      </c>
      <c r="O726" t="str">
        <f>IF(Table1[[#This Row],[Age]]&lt;30, "Young Adult", IF(Table1[[#This Row],[Age]]&lt;60, "Adult", "Senior"))</f>
        <v>Senior</v>
      </c>
    </row>
    <row r="727" spans="1:15" x14ac:dyDescent="0.25">
      <c r="A727" t="s">
        <v>754</v>
      </c>
      <c r="B727">
        <v>30</v>
      </c>
      <c r="C727" t="s">
        <v>24</v>
      </c>
      <c r="D727" t="s">
        <v>34</v>
      </c>
      <c r="E727" s="4">
        <v>45683</v>
      </c>
      <c r="F727" s="4">
        <v>45688</v>
      </c>
      <c r="G727" s="8">
        <v>5</v>
      </c>
      <c r="H727" t="s">
        <v>20</v>
      </c>
      <c r="I727">
        <v>0</v>
      </c>
      <c r="J727" t="s">
        <v>21</v>
      </c>
      <c r="K727" t="s">
        <v>17</v>
      </c>
      <c r="L727" s="6">
        <v>1427.39</v>
      </c>
      <c r="M727" t="str">
        <f>TEXT(Table1[[#This Row],[Admission_Date]], "mmm")</f>
        <v>Jan</v>
      </c>
      <c r="N727">
        <f>YEAR(Table1[[#This Row],[Admission_Date]])</f>
        <v>2025</v>
      </c>
      <c r="O727" t="str">
        <f>IF(Table1[[#This Row],[Age]]&lt;30, "Young Adult", IF(Table1[[#This Row],[Age]]&lt;60, "Adult", "Senior"))</f>
        <v>Adult</v>
      </c>
    </row>
    <row r="728" spans="1:15" x14ac:dyDescent="0.25">
      <c r="A728" t="s">
        <v>755</v>
      </c>
      <c r="B728">
        <v>46</v>
      </c>
      <c r="C728" t="s">
        <v>13</v>
      </c>
      <c r="D728" t="s">
        <v>14</v>
      </c>
      <c r="E728" s="4">
        <v>45712</v>
      </c>
      <c r="F728" s="4">
        <v>45714</v>
      </c>
      <c r="G728" s="8">
        <v>2</v>
      </c>
      <c r="H728" t="s">
        <v>20</v>
      </c>
      <c r="I728">
        <v>0</v>
      </c>
      <c r="J728" t="s">
        <v>29</v>
      </c>
      <c r="K728" t="s">
        <v>47</v>
      </c>
      <c r="L728" s="6">
        <v>12267.05</v>
      </c>
      <c r="M728" t="str">
        <f>TEXT(Table1[[#This Row],[Admission_Date]], "mmm")</f>
        <v>Feb</v>
      </c>
      <c r="N728">
        <f>YEAR(Table1[[#This Row],[Admission_Date]])</f>
        <v>2025</v>
      </c>
      <c r="O728" t="str">
        <f>IF(Table1[[#This Row],[Age]]&lt;30, "Young Adult", IF(Table1[[#This Row],[Age]]&lt;60, "Adult", "Senior"))</f>
        <v>Adult</v>
      </c>
    </row>
    <row r="729" spans="1:15" x14ac:dyDescent="0.25">
      <c r="A729" t="s">
        <v>756</v>
      </c>
      <c r="B729">
        <v>87</v>
      </c>
      <c r="C729" t="s">
        <v>13</v>
      </c>
      <c r="D729" t="s">
        <v>32</v>
      </c>
      <c r="E729" s="4">
        <v>46005</v>
      </c>
      <c r="F729" s="4">
        <v>46012</v>
      </c>
      <c r="G729" s="8">
        <v>7</v>
      </c>
      <c r="H729" t="s">
        <v>20</v>
      </c>
      <c r="I729">
        <v>0</v>
      </c>
      <c r="J729" t="s">
        <v>21</v>
      </c>
      <c r="K729" t="s">
        <v>22</v>
      </c>
      <c r="L729" s="6">
        <v>9099.74</v>
      </c>
      <c r="M729" t="str">
        <f>TEXT(Table1[[#This Row],[Admission_Date]], "mmm")</f>
        <v>Dec</v>
      </c>
      <c r="N729">
        <f>YEAR(Table1[[#This Row],[Admission_Date]])</f>
        <v>2025</v>
      </c>
      <c r="O729" t="str">
        <f>IF(Table1[[#This Row],[Age]]&lt;30, "Young Adult", IF(Table1[[#This Row],[Age]]&lt;60, "Adult", "Senior"))</f>
        <v>Senior</v>
      </c>
    </row>
    <row r="730" spans="1:15" x14ac:dyDescent="0.25">
      <c r="A730" t="s">
        <v>757</v>
      </c>
      <c r="B730">
        <v>36</v>
      </c>
      <c r="C730" t="s">
        <v>24</v>
      </c>
      <c r="D730" t="s">
        <v>14</v>
      </c>
      <c r="E730" s="4">
        <v>45829</v>
      </c>
      <c r="F730" s="4">
        <v>45831</v>
      </c>
      <c r="G730" s="8">
        <v>2</v>
      </c>
      <c r="H730" t="s">
        <v>15</v>
      </c>
      <c r="I730">
        <v>23</v>
      </c>
      <c r="J730" t="s">
        <v>25</v>
      </c>
      <c r="K730" t="s">
        <v>17</v>
      </c>
      <c r="L730" s="6">
        <v>2892.59</v>
      </c>
      <c r="M730" t="str">
        <f>TEXT(Table1[[#This Row],[Admission_Date]], "mmm")</f>
        <v>Jun</v>
      </c>
      <c r="N730">
        <f>YEAR(Table1[[#This Row],[Admission_Date]])</f>
        <v>2025</v>
      </c>
      <c r="O730" t="str">
        <f>IF(Table1[[#This Row],[Age]]&lt;30, "Young Adult", IF(Table1[[#This Row],[Age]]&lt;60, "Adult", "Senior"))</f>
        <v>Adult</v>
      </c>
    </row>
    <row r="731" spans="1:15" x14ac:dyDescent="0.25">
      <c r="A731" t="s">
        <v>758</v>
      </c>
      <c r="B731">
        <v>30</v>
      </c>
      <c r="C731" t="s">
        <v>24</v>
      </c>
      <c r="D731" t="s">
        <v>14</v>
      </c>
      <c r="E731" s="4">
        <v>45782</v>
      </c>
      <c r="F731" s="4">
        <v>45792</v>
      </c>
      <c r="G731" s="8">
        <v>10</v>
      </c>
      <c r="H731" t="s">
        <v>15</v>
      </c>
      <c r="I731">
        <v>1</v>
      </c>
      <c r="J731" t="s">
        <v>29</v>
      </c>
      <c r="K731" t="s">
        <v>22</v>
      </c>
      <c r="L731" s="6">
        <v>592.07000000000005</v>
      </c>
      <c r="M731" t="str">
        <f>TEXT(Table1[[#This Row],[Admission_Date]], "mmm")</f>
        <v>May</v>
      </c>
      <c r="N731">
        <f>YEAR(Table1[[#This Row],[Admission_Date]])</f>
        <v>2025</v>
      </c>
      <c r="O731" t="str">
        <f>IF(Table1[[#This Row],[Age]]&lt;30, "Young Adult", IF(Table1[[#This Row],[Age]]&lt;60, "Adult", "Senior"))</f>
        <v>Adult</v>
      </c>
    </row>
    <row r="732" spans="1:15" x14ac:dyDescent="0.25">
      <c r="A732" t="s">
        <v>759</v>
      </c>
      <c r="B732">
        <v>54</v>
      </c>
      <c r="C732" t="s">
        <v>24</v>
      </c>
      <c r="D732" t="s">
        <v>28</v>
      </c>
      <c r="E732" s="4">
        <v>45749</v>
      </c>
      <c r="F732" s="4">
        <v>45751</v>
      </c>
      <c r="G732" s="8">
        <v>2</v>
      </c>
      <c r="H732" t="s">
        <v>20</v>
      </c>
      <c r="I732">
        <v>0</v>
      </c>
      <c r="J732" t="s">
        <v>29</v>
      </c>
      <c r="K732" t="s">
        <v>17</v>
      </c>
      <c r="L732" s="6">
        <v>2339.94</v>
      </c>
      <c r="M732" t="str">
        <f>TEXT(Table1[[#This Row],[Admission_Date]], "mmm")</f>
        <v>Apr</v>
      </c>
      <c r="N732">
        <f>YEAR(Table1[[#This Row],[Admission_Date]])</f>
        <v>2025</v>
      </c>
      <c r="O732" t="str">
        <f>IF(Table1[[#This Row],[Age]]&lt;30, "Young Adult", IF(Table1[[#This Row],[Age]]&lt;60, "Adult", "Senior"))</f>
        <v>Adult</v>
      </c>
    </row>
    <row r="733" spans="1:15" x14ac:dyDescent="0.25">
      <c r="A733" t="s">
        <v>760</v>
      </c>
      <c r="B733">
        <v>75</v>
      </c>
      <c r="C733" t="s">
        <v>24</v>
      </c>
      <c r="D733" t="s">
        <v>14</v>
      </c>
      <c r="E733" s="4">
        <v>45731</v>
      </c>
      <c r="F733" s="4">
        <v>45742</v>
      </c>
      <c r="G733" s="8">
        <v>11</v>
      </c>
      <c r="H733" t="s">
        <v>15</v>
      </c>
      <c r="I733">
        <v>6</v>
      </c>
      <c r="J733" t="s">
        <v>16</v>
      </c>
      <c r="K733" t="s">
        <v>17</v>
      </c>
      <c r="L733" s="6">
        <v>3110.01</v>
      </c>
      <c r="M733" t="str">
        <f>TEXT(Table1[[#This Row],[Admission_Date]], "mmm")</f>
        <v>Mar</v>
      </c>
      <c r="N733">
        <f>YEAR(Table1[[#This Row],[Admission_Date]])</f>
        <v>2025</v>
      </c>
      <c r="O733" t="str">
        <f>IF(Table1[[#This Row],[Age]]&lt;30, "Young Adult", IF(Table1[[#This Row],[Age]]&lt;60, "Adult", "Senior"))</f>
        <v>Senior</v>
      </c>
    </row>
    <row r="734" spans="1:15" x14ac:dyDescent="0.25">
      <c r="A734" t="s">
        <v>761</v>
      </c>
      <c r="B734">
        <v>56</v>
      </c>
      <c r="C734" t="s">
        <v>24</v>
      </c>
      <c r="D734" t="s">
        <v>40</v>
      </c>
      <c r="E734" s="4">
        <v>45913</v>
      </c>
      <c r="F734" s="4">
        <v>45923</v>
      </c>
      <c r="G734" s="8">
        <v>10</v>
      </c>
      <c r="H734" t="s">
        <v>20</v>
      </c>
      <c r="I734">
        <v>0</v>
      </c>
      <c r="J734" t="s">
        <v>16</v>
      </c>
      <c r="K734" t="s">
        <v>17</v>
      </c>
      <c r="L734" s="6">
        <v>3916.77</v>
      </c>
      <c r="M734" t="str">
        <f>TEXT(Table1[[#This Row],[Admission_Date]], "mmm")</f>
        <v>Sep</v>
      </c>
      <c r="N734">
        <f>YEAR(Table1[[#This Row],[Admission_Date]])</f>
        <v>2025</v>
      </c>
      <c r="O734" t="str">
        <f>IF(Table1[[#This Row],[Age]]&lt;30, "Young Adult", IF(Table1[[#This Row],[Age]]&lt;60, "Adult", "Senior"))</f>
        <v>Adult</v>
      </c>
    </row>
    <row r="735" spans="1:15" x14ac:dyDescent="0.25">
      <c r="A735" t="s">
        <v>762</v>
      </c>
      <c r="B735">
        <v>64</v>
      </c>
      <c r="C735" t="s">
        <v>13</v>
      </c>
      <c r="D735" t="s">
        <v>40</v>
      </c>
      <c r="E735" s="4">
        <v>45718</v>
      </c>
      <c r="F735" s="4">
        <v>45727</v>
      </c>
      <c r="G735" s="8">
        <v>9</v>
      </c>
      <c r="H735" t="s">
        <v>20</v>
      </c>
      <c r="I735">
        <v>0</v>
      </c>
      <c r="J735" t="s">
        <v>21</v>
      </c>
      <c r="K735" t="s">
        <v>47</v>
      </c>
      <c r="L735" s="6">
        <v>1269.5</v>
      </c>
      <c r="M735" t="str">
        <f>TEXT(Table1[[#This Row],[Admission_Date]], "mmm")</f>
        <v>Mar</v>
      </c>
      <c r="N735">
        <f>YEAR(Table1[[#This Row],[Admission_Date]])</f>
        <v>2025</v>
      </c>
      <c r="O735" t="str">
        <f>IF(Table1[[#This Row],[Age]]&lt;30, "Young Adult", IF(Table1[[#This Row],[Age]]&lt;60, "Adult", "Senior"))</f>
        <v>Senior</v>
      </c>
    </row>
    <row r="736" spans="1:15" x14ac:dyDescent="0.25">
      <c r="A736" t="s">
        <v>763</v>
      </c>
      <c r="B736">
        <v>78</v>
      </c>
      <c r="C736" t="s">
        <v>24</v>
      </c>
      <c r="D736" t="s">
        <v>14</v>
      </c>
      <c r="E736" s="4">
        <v>45715</v>
      </c>
      <c r="F736" s="4">
        <v>45728</v>
      </c>
      <c r="G736" s="8">
        <v>13</v>
      </c>
      <c r="H736" t="s">
        <v>15</v>
      </c>
      <c r="I736">
        <v>6</v>
      </c>
      <c r="J736" t="s">
        <v>16</v>
      </c>
      <c r="K736" t="s">
        <v>22</v>
      </c>
      <c r="L736" s="6">
        <v>9850.48</v>
      </c>
      <c r="M736" t="str">
        <f>TEXT(Table1[[#This Row],[Admission_Date]], "mmm")</f>
        <v>Feb</v>
      </c>
      <c r="N736">
        <f>YEAR(Table1[[#This Row],[Admission_Date]])</f>
        <v>2025</v>
      </c>
      <c r="O736" t="str">
        <f>IF(Table1[[#This Row],[Age]]&lt;30, "Young Adult", IF(Table1[[#This Row],[Age]]&lt;60, "Adult", "Senior"))</f>
        <v>Senior</v>
      </c>
    </row>
    <row r="737" spans="1:15" x14ac:dyDescent="0.25">
      <c r="A737" t="s">
        <v>764</v>
      </c>
      <c r="B737">
        <v>60</v>
      </c>
      <c r="C737" t="s">
        <v>24</v>
      </c>
      <c r="D737" t="s">
        <v>19</v>
      </c>
      <c r="E737" s="4">
        <v>45803</v>
      </c>
      <c r="F737" s="4">
        <v>45807</v>
      </c>
      <c r="G737" s="8">
        <v>4</v>
      </c>
      <c r="H737" t="s">
        <v>20</v>
      </c>
      <c r="I737">
        <v>0</v>
      </c>
      <c r="J737" t="s">
        <v>16</v>
      </c>
      <c r="K737" t="s">
        <v>17</v>
      </c>
      <c r="L737" s="6">
        <v>1260.6199999999999</v>
      </c>
      <c r="M737" t="str">
        <f>TEXT(Table1[[#This Row],[Admission_Date]], "mmm")</f>
        <v>May</v>
      </c>
      <c r="N737">
        <f>YEAR(Table1[[#This Row],[Admission_Date]])</f>
        <v>2025</v>
      </c>
      <c r="O737" t="str">
        <f>IF(Table1[[#This Row],[Age]]&lt;30, "Young Adult", IF(Table1[[#This Row],[Age]]&lt;60, "Adult", "Senior"))</f>
        <v>Senior</v>
      </c>
    </row>
    <row r="738" spans="1:15" x14ac:dyDescent="0.25">
      <c r="A738" t="s">
        <v>765</v>
      </c>
      <c r="B738">
        <v>21</v>
      </c>
      <c r="C738" t="s">
        <v>24</v>
      </c>
      <c r="D738" t="s">
        <v>34</v>
      </c>
      <c r="E738" s="4">
        <v>45933</v>
      </c>
      <c r="F738" s="4">
        <v>45936</v>
      </c>
      <c r="G738" s="8">
        <v>3</v>
      </c>
      <c r="H738" t="s">
        <v>15</v>
      </c>
      <c r="I738">
        <v>4</v>
      </c>
      <c r="J738" t="s">
        <v>16</v>
      </c>
      <c r="K738" t="s">
        <v>22</v>
      </c>
      <c r="L738" s="6">
        <v>10960.34</v>
      </c>
      <c r="M738" t="str">
        <f>TEXT(Table1[[#This Row],[Admission_Date]], "mmm")</f>
        <v>Oct</v>
      </c>
      <c r="N738">
        <f>YEAR(Table1[[#This Row],[Admission_Date]])</f>
        <v>2025</v>
      </c>
      <c r="O738" t="str">
        <f>IF(Table1[[#This Row],[Age]]&lt;30, "Young Adult", IF(Table1[[#This Row],[Age]]&lt;60, "Adult", "Senior"))</f>
        <v>Young Adult</v>
      </c>
    </row>
    <row r="739" spans="1:15" x14ac:dyDescent="0.25">
      <c r="A739" t="s">
        <v>766</v>
      </c>
      <c r="B739">
        <v>43</v>
      </c>
      <c r="C739" t="s">
        <v>24</v>
      </c>
      <c r="D739" t="s">
        <v>14</v>
      </c>
      <c r="E739" s="4">
        <v>45961</v>
      </c>
      <c r="F739" s="4">
        <v>45971</v>
      </c>
      <c r="G739" s="8">
        <v>10</v>
      </c>
      <c r="H739" t="s">
        <v>20</v>
      </c>
      <c r="I739">
        <v>0</v>
      </c>
      <c r="J739" t="s">
        <v>16</v>
      </c>
      <c r="K739" t="s">
        <v>47</v>
      </c>
      <c r="L739" s="6">
        <v>3802.84</v>
      </c>
      <c r="M739" t="str">
        <f>TEXT(Table1[[#This Row],[Admission_Date]], "mmm")</f>
        <v>Oct</v>
      </c>
      <c r="N739">
        <f>YEAR(Table1[[#This Row],[Admission_Date]])</f>
        <v>2025</v>
      </c>
      <c r="O739" t="str">
        <f>IF(Table1[[#This Row],[Age]]&lt;30, "Young Adult", IF(Table1[[#This Row],[Age]]&lt;60, "Adult", "Senior"))</f>
        <v>Adult</v>
      </c>
    </row>
    <row r="740" spans="1:15" x14ac:dyDescent="0.25">
      <c r="A740" t="s">
        <v>767</v>
      </c>
      <c r="B740">
        <v>43</v>
      </c>
      <c r="C740" t="s">
        <v>24</v>
      </c>
      <c r="D740" t="s">
        <v>14</v>
      </c>
      <c r="E740" s="4">
        <v>45779</v>
      </c>
      <c r="F740" s="4">
        <v>45791</v>
      </c>
      <c r="G740" s="8">
        <v>12</v>
      </c>
      <c r="H740" t="s">
        <v>20</v>
      </c>
      <c r="I740">
        <v>0</v>
      </c>
      <c r="J740" t="s">
        <v>16</v>
      </c>
      <c r="K740" t="s">
        <v>47</v>
      </c>
      <c r="L740" s="6">
        <v>8983.84</v>
      </c>
      <c r="M740" t="str">
        <f>TEXT(Table1[[#This Row],[Admission_Date]], "mmm")</f>
        <v>May</v>
      </c>
      <c r="N740">
        <f>YEAR(Table1[[#This Row],[Admission_Date]])</f>
        <v>2025</v>
      </c>
      <c r="O740" t="str">
        <f>IF(Table1[[#This Row],[Age]]&lt;30, "Young Adult", IF(Table1[[#This Row],[Age]]&lt;60, "Adult", "Senior"))</f>
        <v>Adult</v>
      </c>
    </row>
    <row r="741" spans="1:15" x14ac:dyDescent="0.25">
      <c r="A741" t="s">
        <v>768</v>
      </c>
      <c r="B741">
        <v>76</v>
      </c>
      <c r="C741" t="s">
        <v>13</v>
      </c>
      <c r="D741" t="s">
        <v>40</v>
      </c>
      <c r="E741" s="4">
        <v>45685</v>
      </c>
      <c r="F741" s="4">
        <v>45692</v>
      </c>
      <c r="G741" s="8">
        <v>7</v>
      </c>
      <c r="H741" t="s">
        <v>15</v>
      </c>
      <c r="I741">
        <v>12</v>
      </c>
      <c r="J741" t="s">
        <v>21</v>
      </c>
      <c r="K741" t="s">
        <v>47</v>
      </c>
      <c r="L741" s="6">
        <v>10937.41</v>
      </c>
      <c r="M741" t="str">
        <f>TEXT(Table1[[#This Row],[Admission_Date]], "mmm")</f>
        <v>Jan</v>
      </c>
      <c r="N741">
        <f>YEAR(Table1[[#This Row],[Admission_Date]])</f>
        <v>2025</v>
      </c>
      <c r="O741" t="str">
        <f>IF(Table1[[#This Row],[Age]]&lt;30, "Young Adult", IF(Table1[[#This Row],[Age]]&lt;60, "Adult", "Senior"))</f>
        <v>Senior</v>
      </c>
    </row>
    <row r="742" spans="1:15" x14ac:dyDescent="0.25">
      <c r="A742" t="s">
        <v>769</v>
      </c>
      <c r="B742">
        <v>43</v>
      </c>
      <c r="C742" t="s">
        <v>24</v>
      </c>
      <c r="D742" t="s">
        <v>14</v>
      </c>
      <c r="E742" s="4">
        <v>45981</v>
      </c>
      <c r="F742" s="4">
        <v>45987</v>
      </c>
      <c r="G742" s="8">
        <v>6</v>
      </c>
      <c r="H742" t="s">
        <v>20</v>
      </c>
      <c r="I742">
        <v>0</v>
      </c>
      <c r="J742" t="s">
        <v>16</v>
      </c>
      <c r="K742" t="s">
        <v>17</v>
      </c>
      <c r="L742" s="6">
        <v>8745.65</v>
      </c>
      <c r="M742" t="str">
        <f>TEXT(Table1[[#This Row],[Admission_Date]], "mmm")</f>
        <v>Nov</v>
      </c>
      <c r="N742">
        <f>YEAR(Table1[[#This Row],[Admission_Date]])</f>
        <v>2025</v>
      </c>
      <c r="O742" t="str">
        <f>IF(Table1[[#This Row],[Age]]&lt;30, "Young Adult", IF(Table1[[#This Row],[Age]]&lt;60, "Adult", "Senior"))</f>
        <v>Adult</v>
      </c>
    </row>
    <row r="743" spans="1:15" x14ac:dyDescent="0.25">
      <c r="A743" t="s">
        <v>770</v>
      </c>
      <c r="B743">
        <v>77</v>
      </c>
      <c r="C743" t="s">
        <v>24</v>
      </c>
      <c r="D743" t="s">
        <v>40</v>
      </c>
      <c r="E743" s="4">
        <v>45801</v>
      </c>
      <c r="F743" s="4">
        <v>45804</v>
      </c>
      <c r="G743" s="8">
        <v>3</v>
      </c>
      <c r="H743" t="s">
        <v>15</v>
      </c>
      <c r="I743">
        <v>6</v>
      </c>
      <c r="J743" t="s">
        <v>25</v>
      </c>
      <c r="K743" t="s">
        <v>22</v>
      </c>
      <c r="L743" s="6">
        <v>13352.93</v>
      </c>
      <c r="M743" t="str">
        <f>TEXT(Table1[[#This Row],[Admission_Date]], "mmm")</f>
        <v>May</v>
      </c>
      <c r="N743">
        <f>YEAR(Table1[[#This Row],[Admission_Date]])</f>
        <v>2025</v>
      </c>
      <c r="O743" t="str">
        <f>IF(Table1[[#This Row],[Age]]&lt;30, "Young Adult", IF(Table1[[#This Row],[Age]]&lt;60, "Adult", "Senior"))</f>
        <v>Senior</v>
      </c>
    </row>
    <row r="744" spans="1:15" x14ac:dyDescent="0.25">
      <c r="A744" t="s">
        <v>771</v>
      </c>
      <c r="B744">
        <v>39</v>
      </c>
      <c r="C744" t="s">
        <v>13</v>
      </c>
      <c r="D744" t="s">
        <v>19</v>
      </c>
      <c r="E744" s="4">
        <v>45967</v>
      </c>
      <c r="F744" s="4">
        <v>45970</v>
      </c>
      <c r="G744" s="8">
        <v>3</v>
      </c>
      <c r="H744" t="s">
        <v>20</v>
      </c>
      <c r="I744">
        <v>0</v>
      </c>
      <c r="J744" t="s">
        <v>29</v>
      </c>
      <c r="K744" t="s">
        <v>17</v>
      </c>
      <c r="L744" s="6">
        <v>7593.59</v>
      </c>
      <c r="M744" t="str">
        <f>TEXT(Table1[[#This Row],[Admission_Date]], "mmm")</f>
        <v>Nov</v>
      </c>
      <c r="N744">
        <f>YEAR(Table1[[#This Row],[Admission_Date]])</f>
        <v>2025</v>
      </c>
      <c r="O744" t="str">
        <f>IF(Table1[[#This Row],[Age]]&lt;30, "Young Adult", IF(Table1[[#This Row],[Age]]&lt;60, "Adult", "Senior"))</f>
        <v>Adult</v>
      </c>
    </row>
    <row r="745" spans="1:15" x14ac:dyDescent="0.25">
      <c r="A745" t="s">
        <v>772</v>
      </c>
      <c r="B745">
        <v>77</v>
      </c>
      <c r="C745" t="s">
        <v>24</v>
      </c>
      <c r="D745" t="s">
        <v>19</v>
      </c>
      <c r="E745" s="4">
        <v>45768</v>
      </c>
      <c r="F745" s="4">
        <v>45778</v>
      </c>
      <c r="G745" s="8">
        <v>10</v>
      </c>
      <c r="H745" t="s">
        <v>20</v>
      </c>
      <c r="I745">
        <v>0</v>
      </c>
      <c r="J745" t="s">
        <v>29</v>
      </c>
      <c r="K745" t="s">
        <v>17</v>
      </c>
      <c r="L745" s="6">
        <v>13152.68</v>
      </c>
      <c r="M745" t="str">
        <f>TEXT(Table1[[#This Row],[Admission_Date]], "mmm")</f>
        <v>Apr</v>
      </c>
      <c r="N745">
        <f>YEAR(Table1[[#This Row],[Admission_Date]])</f>
        <v>2025</v>
      </c>
      <c r="O745" t="str">
        <f>IF(Table1[[#This Row],[Age]]&lt;30, "Young Adult", IF(Table1[[#This Row],[Age]]&lt;60, "Adult", "Senior"))</f>
        <v>Senior</v>
      </c>
    </row>
    <row r="746" spans="1:15" x14ac:dyDescent="0.25">
      <c r="A746" t="s">
        <v>773</v>
      </c>
      <c r="B746">
        <v>46</v>
      </c>
      <c r="C746" t="s">
        <v>13</v>
      </c>
      <c r="D746" t="s">
        <v>34</v>
      </c>
      <c r="E746" s="4">
        <v>45784</v>
      </c>
      <c r="F746" s="4">
        <v>45790</v>
      </c>
      <c r="G746" s="8">
        <v>6</v>
      </c>
      <c r="H746" t="s">
        <v>20</v>
      </c>
      <c r="I746">
        <v>0</v>
      </c>
      <c r="J746" t="s">
        <v>16</v>
      </c>
      <c r="K746" t="s">
        <v>47</v>
      </c>
      <c r="L746" s="6">
        <v>14712.67</v>
      </c>
      <c r="M746" t="str">
        <f>TEXT(Table1[[#This Row],[Admission_Date]], "mmm")</f>
        <v>May</v>
      </c>
      <c r="N746">
        <f>YEAR(Table1[[#This Row],[Admission_Date]])</f>
        <v>2025</v>
      </c>
      <c r="O746" t="str">
        <f>IF(Table1[[#This Row],[Age]]&lt;30, "Young Adult", IF(Table1[[#This Row],[Age]]&lt;60, "Adult", "Senior"))</f>
        <v>Adult</v>
      </c>
    </row>
    <row r="747" spans="1:15" x14ac:dyDescent="0.25">
      <c r="A747" t="s">
        <v>774</v>
      </c>
      <c r="B747">
        <v>82</v>
      </c>
      <c r="C747" t="s">
        <v>13</v>
      </c>
      <c r="D747" t="s">
        <v>40</v>
      </c>
      <c r="E747" s="4">
        <v>45678</v>
      </c>
      <c r="F747" s="4">
        <v>45686</v>
      </c>
      <c r="G747" s="8">
        <v>8</v>
      </c>
      <c r="H747" t="s">
        <v>20</v>
      </c>
      <c r="I747">
        <v>0</v>
      </c>
      <c r="J747" t="s">
        <v>29</v>
      </c>
      <c r="K747" t="s">
        <v>47</v>
      </c>
      <c r="L747" s="6">
        <v>12240.89</v>
      </c>
      <c r="M747" t="str">
        <f>TEXT(Table1[[#This Row],[Admission_Date]], "mmm")</f>
        <v>Jan</v>
      </c>
      <c r="N747">
        <f>YEAR(Table1[[#This Row],[Admission_Date]])</f>
        <v>2025</v>
      </c>
      <c r="O747" t="str">
        <f>IF(Table1[[#This Row],[Age]]&lt;30, "Young Adult", IF(Table1[[#This Row],[Age]]&lt;60, "Adult", "Senior"))</f>
        <v>Senior</v>
      </c>
    </row>
    <row r="748" spans="1:15" x14ac:dyDescent="0.25">
      <c r="A748" t="s">
        <v>775</v>
      </c>
      <c r="B748">
        <v>81</v>
      </c>
      <c r="C748" t="s">
        <v>13</v>
      </c>
      <c r="D748" t="s">
        <v>19</v>
      </c>
      <c r="E748" s="4">
        <v>46014</v>
      </c>
      <c r="F748" s="4">
        <v>46028</v>
      </c>
      <c r="G748" s="8">
        <v>14</v>
      </c>
      <c r="H748" t="s">
        <v>15</v>
      </c>
      <c r="I748">
        <v>18</v>
      </c>
      <c r="J748" t="s">
        <v>16</v>
      </c>
      <c r="K748" t="s">
        <v>17</v>
      </c>
      <c r="L748" s="6">
        <v>11110.9</v>
      </c>
      <c r="M748" t="str">
        <f>TEXT(Table1[[#This Row],[Admission_Date]], "mmm")</f>
        <v>Dec</v>
      </c>
      <c r="N748">
        <f>YEAR(Table1[[#This Row],[Admission_Date]])</f>
        <v>2025</v>
      </c>
      <c r="O748" t="str">
        <f>IF(Table1[[#This Row],[Age]]&lt;30, "Young Adult", IF(Table1[[#This Row],[Age]]&lt;60, "Adult", "Senior"))</f>
        <v>Senior</v>
      </c>
    </row>
    <row r="749" spans="1:15" x14ac:dyDescent="0.25">
      <c r="A749" t="s">
        <v>776</v>
      </c>
      <c r="B749">
        <v>48</v>
      </c>
      <c r="C749" t="s">
        <v>13</v>
      </c>
      <c r="D749" t="s">
        <v>19</v>
      </c>
      <c r="E749" s="4">
        <v>45769</v>
      </c>
      <c r="F749" s="4">
        <v>45772</v>
      </c>
      <c r="G749" s="8">
        <v>3</v>
      </c>
      <c r="H749" t="s">
        <v>20</v>
      </c>
      <c r="I749">
        <v>0</v>
      </c>
      <c r="J749" t="s">
        <v>29</v>
      </c>
      <c r="K749" t="s">
        <v>17</v>
      </c>
      <c r="L749" s="6">
        <v>4920.13</v>
      </c>
      <c r="M749" t="str">
        <f>TEXT(Table1[[#This Row],[Admission_Date]], "mmm")</f>
        <v>Apr</v>
      </c>
      <c r="N749">
        <f>YEAR(Table1[[#This Row],[Admission_Date]])</f>
        <v>2025</v>
      </c>
      <c r="O749" t="str">
        <f>IF(Table1[[#This Row],[Age]]&lt;30, "Young Adult", IF(Table1[[#This Row],[Age]]&lt;60, "Adult", "Senior"))</f>
        <v>Adult</v>
      </c>
    </row>
    <row r="750" spans="1:15" x14ac:dyDescent="0.25">
      <c r="A750" t="s">
        <v>777</v>
      </c>
      <c r="B750">
        <v>21</v>
      </c>
      <c r="C750" t="s">
        <v>24</v>
      </c>
      <c r="D750" t="s">
        <v>40</v>
      </c>
      <c r="E750" s="4">
        <v>46018</v>
      </c>
      <c r="F750" s="4">
        <v>46026</v>
      </c>
      <c r="G750" s="8">
        <v>8</v>
      </c>
      <c r="H750" t="s">
        <v>20</v>
      </c>
      <c r="I750">
        <v>0</v>
      </c>
      <c r="J750" t="s">
        <v>21</v>
      </c>
      <c r="K750" t="s">
        <v>17</v>
      </c>
      <c r="L750" s="6">
        <v>6377.73</v>
      </c>
      <c r="M750" t="str">
        <f>TEXT(Table1[[#This Row],[Admission_Date]], "mmm")</f>
        <v>Dec</v>
      </c>
      <c r="N750">
        <f>YEAR(Table1[[#This Row],[Admission_Date]])</f>
        <v>2025</v>
      </c>
      <c r="O750" t="str">
        <f>IF(Table1[[#This Row],[Age]]&lt;30, "Young Adult", IF(Table1[[#This Row],[Age]]&lt;60, "Adult", "Senior"))</f>
        <v>Young Adult</v>
      </c>
    </row>
    <row r="751" spans="1:15" x14ac:dyDescent="0.25">
      <c r="A751" t="s">
        <v>778</v>
      </c>
      <c r="B751">
        <v>18</v>
      </c>
      <c r="C751" t="s">
        <v>13</v>
      </c>
      <c r="D751" t="s">
        <v>40</v>
      </c>
      <c r="E751" s="4">
        <v>45847</v>
      </c>
      <c r="F751" s="4">
        <v>45858</v>
      </c>
      <c r="G751" s="8">
        <v>11</v>
      </c>
      <c r="H751" t="s">
        <v>20</v>
      </c>
      <c r="I751">
        <v>0</v>
      </c>
      <c r="J751" t="s">
        <v>25</v>
      </c>
      <c r="K751" t="s">
        <v>17</v>
      </c>
      <c r="L751" s="6">
        <v>974.36</v>
      </c>
      <c r="M751" t="str">
        <f>TEXT(Table1[[#This Row],[Admission_Date]], "mmm")</f>
        <v>Jul</v>
      </c>
      <c r="N751">
        <f>YEAR(Table1[[#This Row],[Admission_Date]])</f>
        <v>2025</v>
      </c>
      <c r="O751" t="str">
        <f>IF(Table1[[#This Row],[Age]]&lt;30, "Young Adult", IF(Table1[[#This Row],[Age]]&lt;60, "Adult", "Senior"))</f>
        <v>Young Adult</v>
      </c>
    </row>
    <row r="752" spans="1:15" x14ac:dyDescent="0.25">
      <c r="A752" t="s">
        <v>779</v>
      </c>
      <c r="B752">
        <v>87</v>
      </c>
      <c r="C752" t="s">
        <v>13</v>
      </c>
      <c r="D752" t="s">
        <v>28</v>
      </c>
      <c r="E752" s="4">
        <v>45876</v>
      </c>
      <c r="F752" s="4">
        <v>45889</v>
      </c>
      <c r="G752" s="8">
        <v>13</v>
      </c>
      <c r="H752" t="s">
        <v>15</v>
      </c>
      <c r="I752">
        <v>3</v>
      </c>
      <c r="J752" t="s">
        <v>25</v>
      </c>
      <c r="K752" t="s">
        <v>17</v>
      </c>
      <c r="L752" s="6">
        <v>14017.53</v>
      </c>
      <c r="M752" t="str">
        <f>TEXT(Table1[[#This Row],[Admission_Date]], "mmm")</f>
        <v>Aug</v>
      </c>
      <c r="N752">
        <f>YEAR(Table1[[#This Row],[Admission_Date]])</f>
        <v>2025</v>
      </c>
      <c r="O752" t="str">
        <f>IF(Table1[[#This Row],[Age]]&lt;30, "Young Adult", IF(Table1[[#This Row],[Age]]&lt;60, "Adult", "Senior"))</f>
        <v>Senior</v>
      </c>
    </row>
    <row r="753" spans="1:15" x14ac:dyDescent="0.25">
      <c r="A753" t="s">
        <v>780</v>
      </c>
      <c r="B753">
        <v>24</v>
      </c>
      <c r="C753" t="s">
        <v>13</v>
      </c>
      <c r="D753" t="s">
        <v>40</v>
      </c>
      <c r="E753" s="4">
        <v>45921</v>
      </c>
      <c r="F753" s="4">
        <v>45932</v>
      </c>
      <c r="G753" s="8">
        <v>11</v>
      </c>
      <c r="H753" t="s">
        <v>20</v>
      </c>
      <c r="I753">
        <v>0</v>
      </c>
      <c r="J753" t="s">
        <v>25</v>
      </c>
      <c r="K753" t="s">
        <v>47</v>
      </c>
      <c r="L753" s="6">
        <v>9477.44</v>
      </c>
      <c r="M753" t="str">
        <f>TEXT(Table1[[#This Row],[Admission_Date]], "mmm")</f>
        <v>Sep</v>
      </c>
      <c r="N753">
        <f>YEAR(Table1[[#This Row],[Admission_Date]])</f>
        <v>2025</v>
      </c>
      <c r="O753" t="str">
        <f>IF(Table1[[#This Row],[Age]]&lt;30, "Young Adult", IF(Table1[[#This Row],[Age]]&lt;60, "Adult", "Senior"))</f>
        <v>Young Adult</v>
      </c>
    </row>
    <row r="754" spans="1:15" x14ac:dyDescent="0.25">
      <c r="A754" t="s">
        <v>781</v>
      </c>
      <c r="B754">
        <v>89</v>
      </c>
      <c r="C754" t="s">
        <v>13</v>
      </c>
      <c r="D754" t="s">
        <v>34</v>
      </c>
      <c r="E754" s="4">
        <v>45845</v>
      </c>
      <c r="F754" s="4">
        <v>45851</v>
      </c>
      <c r="G754" s="8">
        <v>6</v>
      </c>
      <c r="H754" t="s">
        <v>15</v>
      </c>
      <c r="I754">
        <v>23</v>
      </c>
      <c r="J754" t="s">
        <v>21</v>
      </c>
      <c r="K754" t="s">
        <v>22</v>
      </c>
      <c r="L754" s="6">
        <v>14728.15</v>
      </c>
      <c r="M754" t="str">
        <f>TEXT(Table1[[#This Row],[Admission_Date]], "mmm")</f>
        <v>Jul</v>
      </c>
      <c r="N754">
        <f>YEAR(Table1[[#This Row],[Admission_Date]])</f>
        <v>2025</v>
      </c>
      <c r="O754" t="str">
        <f>IF(Table1[[#This Row],[Age]]&lt;30, "Young Adult", IF(Table1[[#This Row],[Age]]&lt;60, "Adult", "Senior"))</f>
        <v>Senior</v>
      </c>
    </row>
    <row r="755" spans="1:15" x14ac:dyDescent="0.25">
      <c r="A755" t="s">
        <v>782</v>
      </c>
      <c r="B755">
        <v>79</v>
      </c>
      <c r="C755" t="s">
        <v>13</v>
      </c>
      <c r="D755" t="s">
        <v>28</v>
      </c>
      <c r="E755" s="4">
        <v>45780</v>
      </c>
      <c r="F755" s="4">
        <v>45789</v>
      </c>
      <c r="G755" s="8">
        <v>9</v>
      </c>
      <c r="H755" t="s">
        <v>15</v>
      </c>
      <c r="I755">
        <v>25</v>
      </c>
      <c r="J755" t="s">
        <v>21</v>
      </c>
      <c r="K755" t="s">
        <v>47</v>
      </c>
      <c r="L755" s="6">
        <v>5614.32</v>
      </c>
      <c r="M755" t="str">
        <f>TEXT(Table1[[#This Row],[Admission_Date]], "mmm")</f>
        <v>May</v>
      </c>
      <c r="N755">
        <f>YEAR(Table1[[#This Row],[Admission_Date]])</f>
        <v>2025</v>
      </c>
      <c r="O755" t="str">
        <f>IF(Table1[[#This Row],[Age]]&lt;30, "Young Adult", IF(Table1[[#This Row],[Age]]&lt;60, "Adult", "Senior"))</f>
        <v>Senior</v>
      </c>
    </row>
    <row r="756" spans="1:15" x14ac:dyDescent="0.25">
      <c r="A756" t="s">
        <v>783</v>
      </c>
      <c r="B756">
        <v>53</v>
      </c>
      <c r="C756" t="s">
        <v>13</v>
      </c>
      <c r="D756" t="s">
        <v>19</v>
      </c>
      <c r="E756" s="4">
        <v>45794</v>
      </c>
      <c r="F756" s="4">
        <v>45803</v>
      </c>
      <c r="G756" s="8">
        <v>9</v>
      </c>
      <c r="H756" t="s">
        <v>20</v>
      </c>
      <c r="I756">
        <v>0</v>
      </c>
      <c r="J756" t="s">
        <v>25</v>
      </c>
      <c r="K756" t="s">
        <v>47</v>
      </c>
      <c r="L756" s="6">
        <v>7059.95</v>
      </c>
      <c r="M756" t="str">
        <f>TEXT(Table1[[#This Row],[Admission_Date]], "mmm")</f>
        <v>May</v>
      </c>
      <c r="N756">
        <f>YEAR(Table1[[#This Row],[Admission_Date]])</f>
        <v>2025</v>
      </c>
      <c r="O756" t="str">
        <f>IF(Table1[[#This Row],[Age]]&lt;30, "Young Adult", IF(Table1[[#This Row],[Age]]&lt;60, "Adult", "Senior"))</f>
        <v>Adult</v>
      </c>
    </row>
    <row r="757" spans="1:15" x14ac:dyDescent="0.25">
      <c r="A757" t="s">
        <v>784</v>
      </c>
      <c r="B757">
        <v>78</v>
      </c>
      <c r="C757" t="s">
        <v>24</v>
      </c>
      <c r="D757" t="s">
        <v>40</v>
      </c>
      <c r="E757" s="4">
        <v>45914</v>
      </c>
      <c r="F757" s="4">
        <v>45923</v>
      </c>
      <c r="G757" s="8">
        <v>9</v>
      </c>
      <c r="H757" t="s">
        <v>20</v>
      </c>
      <c r="I757">
        <v>0</v>
      </c>
      <c r="J757" t="s">
        <v>25</v>
      </c>
      <c r="K757" t="s">
        <v>17</v>
      </c>
      <c r="L757" s="6">
        <v>14207.8</v>
      </c>
      <c r="M757" t="str">
        <f>TEXT(Table1[[#This Row],[Admission_Date]], "mmm")</f>
        <v>Sep</v>
      </c>
      <c r="N757">
        <f>YEAR(Table1[[#This Row],[Admission_Date]])</f>
        <v>2025</v>
      </c>
      <c r="O757" t="str">
        <f>IF(Table1[[#This Row],[Age]]&lt;30, "Young Adult", IF(Table1[[#This Row],[Age]]&lt;60, "Adult", "Senior"))</f>
        <v>Senior</v>
      </c>
    </row>
    <row r="758" spans="1:15" x14ac:dyDescent="0.25">
      <c r="A758" t="s">
        <v>785</v>
      </c>
      <c r="B758">
        <v>76</v>
      </c>
      <c r="C758" t="s">
        <v>13</v>
      </c>
      <c r="D758" t="s">
        <v>19</v>
      </c>
      <c r="E758" s="4">
        <v>45691</v>
      </c>
      <c r="F758" s="4">
        <v>45695</v>
      </c>
      <c r="G758" s="8">
        <v>4</v>
      </c>
      <c r="H758" t="s">
        <v>20</v>
      </c>
      <c r="I758">
        <v>0</v>
      </c>
      <c r="J758" t="s">
        <v>29</v>
      </c>
      <c r="K758" t="s">
        <v>22</v>
      </c>
      <c r="L758" s="6">
        <v>4681.3999999999996</v>
      </c>
      <c r="M758" t="str">
        <f>TEXT(Table1[[#This Row],[Admission_Date]], "mmm")</f>
        <v>Feb</v>
      </c>
      <c r="N758">
        <f>YEAR(Table1[[#This Row],[Admission_Date]])</f>
        <v>2025</v>
      </c>
      <c r="O758" t="str">
        <f>IF(Table1[[#This Row],[Age]]&lt;30, "Young Adult", IF(Table1[[#This Row],[Age]]&lt;60, "Adult", "Senior"))</f>
        <v>Senior</v>
      </c>
    </row>
    <row r="759" spans="1:15" x14ac:dyDescent="0.25">
      <c r="A759" t="s">
        <v>786</v>
      </c>
      <c r="B759">
        <v>32</v>
      </c>
      <c r="C759" t="s">
        <v>13</v>
      </c>
      <c r="D759" t="s">
        <v>40</v>
      </c>
      <c r="E759" s="4">
        <v>45697</v>
      </c>
      <c r="F759" s="4">
        <v>45699</v>
      </c>
      <c r="G759" s="8">
        <v>2</v>
      </c>
      <c r="H759" t="s">
        <v>15</v>
      </c>
      <c r="I759">
        <v>5</v>
      </c>
      <c r="J759" t="s">
        <v>21</v>
      </c>
      <c r="K759" t="s">
        <v>17</v>
      </c>
      <c r="L759" s="6">
        <v>14305.52</v>
      </c>
      <c r="M759" t="str">
        <f>TEXT(Table1[[#This Row],[Admission_Date]], "mmm")</f>
        <v>Feb</v>
      </c>
      <c r="N759">
        <f>YEAR(Table1[[#This Row],[Admission_Date]])</f>
        <v>2025</v>
      </c>
      <c r="O759" t="str">
        <f>IF(Table1[[#This Row],[Age]]&lt;30, "Young Adult", IF(Table1[[#This Row],[Age]]&lt;60, "Adult", "Senior"))</f>
        <v>Adult</v>
      </c>
    </row>
    <row r="760" spans="1:15" x14ac:dyDescent="0.25">
      <c r="A760" t="s">
        <v>787</v>
      </c>
      <c r="B760">
        <v>87</v>
      </c>
      <c r="C760" t="s">
        <v>13</v>
      </c>
      <c r="D760" t="s">
        <v>40</v>
      </c>
      <c r="E760" s="4">
        <v>45669</v>
      </c>
      <c r="F760" s="4">
        <v>45674</v>
      </c>
      <c r="G760" s="8">
        <v>5</v>
      </c>
      <c r="H760" t="s">
        <v>20</v>
      </c>
      <c r="I760">
        <v>0</v>
      </c>
      <c r="J760" t="s">
        <v>25</v>
      </c>
      <c r="K760" t="s">
        <v>47</v>
      </c>
      <c r="L760" s="6">
        <v>6935.97</v>
      </c>
      <c r="M760" t="str">
        <f>TEXT(Table1[[#This Row],[Admission_Date]], "mmm")</f>
        <v>Jan</v>
      </c>
      <c r="N760">
        <f>YEAR(Table1[[#This Row],[Admission_Date]])</f>
        <v>2025</v>
      </c>
      <c r="O760" t="str">
        <f>IF(Table1[[#This Row],[Age]]&lt;30, "Young Adult", IF(Table1[[#This Row],[Age]]&lt;60, "Adult", "Senior"))</f>
        <v>Senior</v>
      </c>
    </row>
    <row r="761" spans="1:15" x14ac:dyDescent="0.25">
      <c r="A761" t="s">
        <v>788</v>
      </c>
      <c r="B761">
        <v>26</v>
      </c>
      <c r="C761" t="s">
        <v>13</v>
      </c>
      <c r="D761" t="s">
        <v>14</v>
      </c>
      <c r="E761" s="4">
        <v>45988</v>
      </c>
      <c r="F761" s="4">
        <v>45989</v>
      </c>
      <c r="G761" s="8">
        <v>1</v>
      </c>
      <c r="H761" t="s">
        <v>15</v>
      </c>
      <c r="I761">
        <v>27</v>
      </c>
      <c r="J761" t="s">
        <v>25</v>
      </c>
      <c r="K761" t="s">
        <v>47</v>
      </c>
      <c r="L761" s="6">
        <v>8891.2199999999993</v>
      </c>
      <c r="M761" t="str">
        <f>TEXT(Table1[[#This Row],[Admission_Date]], "mmm")</f>
        <v>Nov</v>
      </c>
      <c r="N761">
        <f>YEAR(Table1[[#This Row],[Admission_Date]])</f>
        <v>2025</v>
      </c>
      <c r="O761" t="str">
        <f>IF(Table1[[#This Row],[Age]]&lt;30, "Young Adult", IF(Table1[[#This Row],[Age]]&lt;60, "Adult", "Senior"))</f>
        <v>Young Adult</v>
      </c>
    </row>
    <row r="762" spans="1:15" x14ac:dyDescent="0.25">
      <c r="A762" t="s">
        <v>789</v>
      </c>
      <c r="B762">
        <v>80</v>
      </c>
      <c r="C762" t="s">
        <v>24</v>
      </c>
      <c r="D762" t="s">
        <v>40</v>
      </c>
      <c r="E762" s="4">
        <v>45993</v>
      </c>
      <c r="F762" s="4">
        <v>46004</v>
      </c>
      <c r="G762" s="8">
        <v>11</v>
      </c>
      <c r="H762" t="s">
        <v>20</v>
      </c>
      <c r="I762">
        <v>0</v>
      </c>
      <c r="J762" t="s">
        <v>25</v>
      </c>
      <c r="K762" t="s">
        <v>17</v>
      </c>
      <c r="L762" s="6">
        <v>2413.34</v>
      </c>
      <c r="M762" t="str">
        <f>TEXT(Table1[[#This Row],[Admission_Date]], "mmm")</f>
        <v>Dec</v>
      </c>
      <c r="N762">
        <f>YEAR(Table1[[#This Row],[Admission_Date]])</f>
        <v>2025</v>
      </c>
      <c r="O762" t="str">
        <f>IF(Table1[[#This Row],[Age]]&lt;30, "Young Adult", IF(Table1[[#This Row],[Age]]&lt;60, "Adult", "Senior"))</f>
        <v>Senior</v>
      </c>
    </row>
    <row r="763" spans="1:15" x14ac:dyDescent="0.25">
      <c r="A763" t="s">
        <v>790</v>
      </c>
      <c r="B763">
        <v>47</v>
      </c>
      <c r="C763" t="s">
        <v>24</v>
      </c>
      <c r="D763" t="s">
        <v>32</v>
      </c>
      <c r="E763" s="4">
        <v>45814</v>
      </c>
      <c r="F763" s="4">
        <v>45817</v>
      </c>
      <c r="G763" s="8">
        <v>3</v>
      </c>
      <c r="H763" t="s">
        <v>20</v>
      </c>
      <c r="I763">
        <v>0</v>
      </c>
      <c r="J763" t="s">
        <v>25</v>
      </c>
      <c r="K763" t="s">
        <v>22</v>
      </c>
      <c r="L763" s="6">
        <v>2650.91</v>
      </c>
      <c r="M763" t="str">
        <f>TEXT(Table1[[#This Row],[Admission_Date]], "mmm")</f>
        <v>Jun</v>
      </c>
      <c r="N763">
        <f>YEAR(Table1[[#This Row],[Admission_Date]])</f>
        <v>2025</v>
      </c>
      <c r="O763" t="str">
        <f>IF(Table1[[#This Row],[Age]]&lt;30, "Young Adult", IF(Table1[[#This Row],[Age]]&lt;60, "Adult", "Senior"))</f>
        <v>Adult</v>
      </c>
    </row>
    <row r="764" spans="1:15" x14ac:dyDescent="0.25">
      <c r="A764" t="s">
        <v>791</v>
      </c>
      <c r="B764">
        <v>38</v>
      </c>
      <c r="C764" t="s">
        <v>24</v>
      </c>
      <c r="D764" t="s">
        <v>14</v>
      </c>
      <c r="E764" s="4">
        <v>45803</v>
      </c>
      <c r="F764" s="4">
        <v>45811</v>
      </c>
      <c r="G764" s="8">
        <v>8</v>
      </c>
      <c r="H764" t="s">
        <v>20</v>
      </c>
      <c r="I764">
        <v>0</v>
      </c>
      <c r="J764" t="s">
        <v>21</v>
      </c>
      <c r="K764" t="s">
        <v>17</v>
      </c>
      <c r="L764" s="6">
        <v>10546.46</v>
      </c>
      <c r="M764" t="str">
        <f>TEXT(Table1[[#This Row],[Admission_Date]], "mmm")</f>
        <v>May</v>
      </c>
      <c r="N764">
        <f>YEAR(Table1[[#This Row],[Admission_Date]])</f>
        <v>2025</v>
      </c>
      <c r="O764" t="str">
        <f>IF(Table1[[#This Row],[Age]]&lt;30, "Young Adult", IF(Table1[[#This Row],[Age]]&lt;60, "Adult", "Senior"))</f>
        <v>Adult</v>
      </c>
    </row>
    <row r="765" spans="1:15" x14ac:dyDescent="0.25">
      <c r="A765" t="s">
        <v>792</v>
      </c>
      <c r="B765">
        <v>48</v>
      </c>
      <c r="C765" t="s">
        <v>13</v>
      </c>
      <c r="D765" t="s">
        <v>19</v>
      </c>
      <c r="E765" s="4">
        <v>45999</v>
      </c>
      <c r="F765" s="4">
        <v>46012</v>
      </c>
      <c r="G765" s="8">
        <v>13</v>
      </c>
      <c r="H765" t="s">
        <v>15</v>
      </c>
      <c r="I765">
        <v>11</v>
      </c>
      <c r="J765" t="s">
        <v>21</v>
      </c>
      <c r="K765" t="s">
        <v>47</v>
      </c>
      <c r="L765" s="6">
        <v>4275.8999999999996</v>
      </c>
      <c r="M765" t="str">
        <f>TEXT(Table1[[#This Row],[Admission_Date]], "mmm")</f>
        <v>Dec</v>
      </c>
      <c r="N765">
        <f>YEAR(Table1[[#This Row],[Admission_Date]])</f>
        <v>2025</v>
      </c>
      <c r="O765" t="str">
        <f>IF(Table1[[#This Row],[Age]]&lt;30, "Young Adult", IF(Table1[[#This Row],[Age]]&lt;60, "Adult", "Senior"))</f>
        <v>Adult</v>
      </c>
    </row>
    <row r="766" spans="1:15" x14ac:dyDescent="0.25">
      <c r="A766" t="s">
        <v>793</v>
      </c>
      <c r="B766">
        <v>22</v>
      </c>
      <c r="C766" t="s">
        <v>24</v>
      </c>
      <c r="D766" t="s">
        <v>32</v>
      </c>
      <c r="E766" s="4">
        <v>45752</v>
      </c>
      <c r="F766" s="4">
        <v>45756</v>
      </c>
      <c r="G766" s="8">
        <v>4</v>
      </c>
      <c r="H766" t="s">
        <v>20</v>
      </c>
      <c r="I766">
        <v>0</v>
      </c>
      <c r="J766" t="s">
        <v>21</v>
      </c>
      <c r="K766" t="s">
        <v>47</v>
      </c>
      <c r="L766" s="6">
        <v>7002.22</v>
      </c>
      <c r="M766" t="str">
        <f>TEXT(Table1[[#This Row],[Admission_Date]], "mmm")</f>
        <v>Apr</v>
      </c>
      <c r="N766">
        <f>YEAR(Table1[[#This Row],[Admission_Date]])</f>
        <v>2025</v>
      </c>
      <c r="O766" t="str">
        <f>IF(Table1[[#This Row],[Age]]&lt;30, "Young Adult", IF(Table1[[#This Row],[Age]]&lt;60, "Adult", "Senior"))</f>
        <v>Young Adult</v>
      </c>
    </row>
    <row r="767" spans="1:15" x14ac:dyDescent="0.25">
      <c r="A767" t="s">
        <v>794</v>
      </c>
      <c r="B767">
        <v>21</v>
      </c>
      <c r="C767" t="s">
        <v>24</v>
      </c>
      <c r="D767" t="s">
        <v>40</v>
      </c>
      <c r="E767" s="4">
        <v>45741</v>
      </c>
      <c r="F767" s="4">
        <v>45750</v>
      </c>
      <c r="G767" s="8">
        <v>9</v>
      </c>
      <c r="H767" t="s">
        <v>20</v>
      </c>
      <c r="I767">
        <v>0</v>
      </c>
      <c r="J767" t="s">
        <v>21</v>
      </c>
      <c r="K767" t="s">
        <v>47</v>
      </c>
      <c r="L767" s="6">
        <v>13953.26</v>
      </c>
      <c r="M767" t="str">
        <f>TEXT(Table1[[#This Row],[Admission_Date]], "mmm")</f>
        <v>Mar</v>
      </c>
      <c r="N767">
        <f>YEAR(Table1[[#This Row],[Admission_Date]])</f>
        <v>2025</v>
      </c>
      <c r="O767" t="str">
        <f>IF(Table1[[#This Row],[Age]]&lt;30, "Young Adult", IF(Table1[[#This Row],[Age]]&lt;60, "Adult", "Senior"))</f>
        <v>Young Adult</v>
      </c>
    </row>
    <row r="768" spans="1:15" x14ac:dyDescent="0.25">
      <c r="A768" t="s">
        <v>795</v>
      </c>
      <c r="B768">
        <v>87</v>
      </c>
      <c r="C768" t="s">
        <v>24</v>
      </c>
      <c r="D768" t="s">
        <v>28</v>
      </c>
      <c r="E768" s="4">
        <v>45737</v>
      </c>
      <c r="F768" s="4">
        <v>45738</v>
      </c>
      <c r="G768" s="8">
        <v>1</v>
      </c>
      <c r="H768" t="s">
        <v>20</v>
      </c>
      <c r="I768">
        <v>0</v>
      </c>
      <c r="J768" t="s">
        <v>25</v>
      </c>
      <c r="K768" t="s">
        <v>47</v>
      </c>
      <c r="L768" s="6">
        <v>13491.67</v>
      </c>
      <c r="M768" t="str">
        <f>TEXT(Table1[[#This Row],[Admission_Date]], "mmm")</f>
        <v>Mar</v>
      </c>
      <c r="N768">
        <f>YEAR(Table1[[#This Row],[Admission_Date]])</f>
        <v>2025</v>
      </c>
      <c r="O768" t="str">
        <f>IF(Table1[[#This Row],[Age]]&lt;30, "Young Adult", IF(Table1[[#This Row],[Age]]&lt;60, "Adult", "Senior"))</f>
        <v>Senior</v>
      </c>
    </row>
    <row r="769" spans="1:15" x14ac:dyDescent="0.25">
      <c r="A769" t="s">
        <v>796</v>
      </c>
      <c r="B769">
        <v>90</v>
      </c>
      <c r="C769" t="s">
        <v>24</v>
      </c>
      <c r="D769" t="s">
        <v>32</v>
      </c>
      <c r="E769" s="4">
        <v>45951</v>
      </c>
      <c r="F769" s="4">
        <v>45962</v>
      </c>
      <c r="G769" s="8">
        <v>11</v>
      </c>
      <c r="H769" t="s">
        <v>15</v>
      </c>
      <c r="I769">
        <v>23</v>
      </c>
      <c r="J769" t="s">
        <v>16</v>
      </c>
      <c r="K769" t="s">
        <v>17</v>
      </c>
      <c r="L769" s="6">
        <v>7445.23</v>
      </c>
      <c r="M769" t="str">
        <f>TEXT(Table1[[#This Row],[Admission_Date]], "mmm")</f>
        <v>Oct</v>
      </c>
      <c r="N769">
        <f>YEAR(Table1[[#This Row],[Admission_Date]])</f>
        <v>2025</v>
      </c>
      <c r="O769" t="str">
        <f>IF(Table1[[#This Row],[Age]]&lt;30, "Young Adult", IF(Table1[[#This Row],[Age]]&lt;60, "Adult", "Senior"))</f>
        <v>Senior</v>
      </c>
    </row>
    <row r="770" spans="1:15" x14ac:dyDescent="0.25">
      <c r="A770" t="s">
        <v>797</v>
      </c>
      <c r="B770">
        <v>32</v>
      </c>
      <c r="C770" t="s">
        <v>24</v>
      </c>
      <c r="D770" t="s">
        <v>19</v>
      </c>
      <c r="E770" s="4">
        <v>45678</v>
      </c>
      <c r="F770" s="4">
        <v>45681</v>
      </c>
      <c r="G770" s="8">
        <v>3</v>
      </c>
      <c r="H770" t="s">
        <v>20</v>
      </c>
      <c r="I770">
        <v>0</v>
      </c>
      <c r="J770" t="s">
        <v>29</v>
      </c>
      <c r="K770" t="s">
        <v>17</v>
      </c>
      <c r="L770" s="6">
        <v>12692.72</v>
      </c>
      <c r="M770" t="str">
        <f>TEXT(Table1[[#This Row],[Admission_Date]], "mmm")</f>
        <v>Jan</v>
      </c>
      <c r="N770">
        <f>YEAR(Table1[[#This Row],[Admission_Date]])</f>
        <v>2025</v>
      </c>
      <c r="O770" t="str">
        <f>IF(Table1[[#This Row],[Age]]&lt;30, "Young Adult", IF(Table1[[#This Row],[Age]]&lt;60, "Adult", "Senior"))</f>
        <v>Adult</v>
      </c>
    </row>
    <row r="771" spans="1:15" x14ac:dyDescent="0.25">
      <c r="A771" t="s">
        <v>798</v>
      </c>
      <c r="B771">
        <v>25</v>
      </c>
      <c r="C771" t="s">
        <v>13</v>
      </c>
      <c r="D771" t="s">
        <v>34</v>
      </c>
      <c r="E771" s="4">
        <v>45886</v>
      </c>
      <c r="F771" s="4">
        <v>45892</v>
      </c>
      <c r="G771" s="8">
        <v>6</v>
      </c>
      <c r="H771" t="s">
        <v>15</v>
      </c>
      <c r="I771">
        <v>17</v>
      </c>
      <c r="J771" t="s">
        <v>21</v>
      </c>
      <c r="K771" t="s">
        <v>47</v>
      </c>
      <c r="L771" s="6">
        <v>3337.88</v>
      </c>
      <c r="M771" t="str">
        <f>TEXT(Table1[[#This Row],[Admission_Date]], "mmm")</f>
        <v>Aug</v>
      </c>
      <c r="N771">
        <f>YEAR(Table1[[#This Row],[Admission_Date]])</f>
        <v>2025</v>
      </c>
      <c r="O771" t="str">
        <f>IF(Table1[[#This Row],[Age]]&lt;30, "Young Adult", IF(Table1[[#This Row],[Age]]&lt;60, "Adult", "Senior"))</f>
        <v>Young Adult</v>
      </c>
    </row>
    <row r="772" spans="1:15" x14ac:dyDescent="0.25">
      <c r="A772" t="s">
        <v>799</v>
      </c>
      <c r="B772">
        <v>29</v>
      </c>
      <c r="C772" t="s">
        <v>24</v>
      </c>
      <c r="D772" t="s">
        <v>14</v>
      </c>
      <c r="E772" s="4">
        <v>45700</v>
      </c>
      <c r="F772" s="4">
        <v>45709</v>
      </c>
      <c r="G772" s="8">
        <v>9</v>
      </c>
      <c r="H772" t="s">
        <v>20</v>
      </c>
      <c r="I772">
        <v>0</v>
      </c>
      <c r="J772" t="s">
        <v>29</v>
      </c>
      <c r="K772" t="s">
        <v>47</v>
      </c>
      <c r="L772" s="6">
        <v>9245.99</v>
      </c>
      <c r="M772" t="str">
        <f>TEXT(Table1[[#This Row],[Admission_Date]], "mmm")</f>
        <v>Feb</v>
      </c>
      <c r="N772">
        <f>YEAR(Table1[[#This Row],[Admission_Date]])</f>
        <v>2025</v>
      </c>
      <c r="O772" t="str">
        <f>IF(Table1[[#This Row],[Age]]&lt;30, "Young Adult", IF(Table1[[#This Row],[Age]]&lt;60, "Adult", "Senior"))</f>
        <v>Young Adult</v>
      </c>
    </row>
    <row r="773" spans="1:15" x14ac:dyDescent="0.25">
      <c r="A773" t="s">
        <v>800</v>
      </c>
      <c r="B773">
        <v>64</v>
      </c>
      <c r="C773" t="s">
        <v>24</v>
      </c>
      <c r="D773" t="s">
        <v>14</v>
      </c>
      <c r="E773" s="4">
        <v>45919</v>
      </c>
      <c r="F773" s="4">
        <v>45920</v>
      </c>
      <c r="G773" s="8">
        <v>1</v>
      </c>
      <c r="H773" t="s">
        <v>20</v>
      </c>
      <c r="I773">
        <v>0</v>
      </c>
      <c r="J773" t="s">
        <v>29</v>
      </c>
      <c r="K773" t="s">
        <v>47</v>
      </c>
      <c r="L773" s="6">
        <v>6098.63</v>
      </c>
      <c r="M773" t="str">
        <f>TEXT(Table1[[#This Row],[Admission_Date]], "mmm")</f>
        <v>Sep</v>
      </c>
      <c r="N773">
        <f>YEAR(Table1[[#This Row],[Admission_Date]])</f>
        <v>2025</v>
      </c>
      <c r="O773" t="str">
        <f>IF(Table1[[#This Row],[Age]]&lt;30, "Young Adult", IF(Table1[[#This Row],[Age]]&lt;60, "Adult", "Senior"))</f>
        <v>Senior</v>
      </c>
    </row>
    <row r="774" spans="1:15" x14ac:dyDescent="0.25">
      <c r="A774" t="s">
        <v>801</v>
      </c>
      <c r="B774">
        <v>57</v>
      </c>
      <c r="C774" t="s">
        <v>24</v>
      </c>
      <c r="D774" t="s">
        <v>34</v>
      </c>
      <c r="E774" s="4">
        <v>45664</v>
      </c>
      <c r="F774" s="4">
        <v>45669</v>
      </c>
      <c r="G774" s="8">
        <v>5</v>
      </c>
      <c r="H774" t="s">
        <v>20</v>
      </c>
      <c r="I774">
        <v>0</v>
      </c>
      <c r="J774" t="s">
        <v>16</v>
      </c>
      <c r="K774" t="s">
        <v>22</v>
      </c>
      <c r="L774" s="6">
        <v>11053.87</v>
      </c>
      <c r="M774" t="str">
        <f>TEXT(Table1[[#This Row],[Admission_Date]], "mmm")</f>
        <v>Jan</v>
      </c>
      <c r="N774">
        <f>YEAR(Table1[[#This Row],[Admission_Date]])</f>
        <v>2025</v>
      </c>
      <c r="O774" t="str">
        <f>IF(Table1[[#This Row],[Age]]&lt;30, "Young Adult", IF(Table1[[#This Row],[Age]]&lt;60, "Adult", "Senior"))</f>
        <v>Adult</v>
      </c>
    </row>
    <row r="775" spans="1:15" x14ac:dyDescent="0.25">
      <c r="A775" t="s">
        <v>802</v>
      </c>
      <c r="B775">
        <v>74</v>
      </c>
      <c r="C775" t="s">
        <v>24</v>
      </c>
      <c r="D775" t="s">
        <v>14</v>
      </c>
      <c r="E775" s="4">
        <v>45885</v>
      </c>
      <c r="F775" s="4">
        <v>45897</v>
      </c>
      <c r="G775" s="8">
        <v>12</v>
      </c>
      <c r="H775" t="s">
        <v>20</v>
      </c>
      <c r="I775">
        <v>0</v>
      </c>
      <c r="J775" t="s">
        <v>29</v>
      </c>
      <c r="K775" t="s">
        <v>17</v>
      </c>
      <c r="L775" s="6">
        <v>13498.22</v>
      </c>
      <c r="M775" t="str">
        <f>TEXT(Table1[[#This Row],[Admission_Date]], "mmm")</f>
        <v>Aug</v>
      </c>
      <c r="N775">
        <f>YEAR(Table1[[#This Row],[Admission_Date]])</f>
        <v>2025</v>
      </c>
      <c r="O775" t="str">
        <f>IF(Table1[[#This Row],[Age]]&lt;30, "Young Adult", IF(Table1[[#This Row],[Age]]&lt;60, "Adult", "Senior"))</f>
        <v>Senior</v>
      </c>
    </row>
    <row r="776" spans="1:15" x14ac:dyDescent="0.25">
      <c r="A776" t="s">
        <v>803</v>
      </c>
      <c r="B776">
        <v>29</v>
      </c>
      <c r="C776" t="s">
        <v>13</v>
      </c>
      <c r="D776" t="s">
        <v>14</v>
      </c>
      <c r="E776" s="4">
        <v>45729</v>
      </c>
      <c r="F776" s="4">
        <v>45743</v>
      </c>
      <c r="G776" s="8">
        <v>14</v>
      </c>
      <c r="H776" t="s">
        <v>20</v>
      </c>
      <c r="I776">
        <v>0</v>
      </c>
      <c r="J776" t="s">
        <v>25</v>
      </c>
      <c r="K776" t="s">
        <v>47</v>
      </c>
      <c r="L776" s="6">
        <v>14831.55</v>
      </c>
      <c r="M776" t="str">
        <f>TEXT(Table1[[#This Row],[Admission_Date]], "mmm")</f>
        <v>Mar</v>
      </c>
      <c r="N776">
        <f>YEAR(Table1[[#This Row],[Admission_Date]])</f>
        <v>2025</v>
      </c>
      <c r="O776" t="str">
        <f>IF(Table1[[#This Row],[Age]]&lt;30, "Young Adult", IF(Table1[[#This Row],[Age]]&lt;60, "Adult", "Senior"))</f>
        <v>Young Adult</v>
      </c>
    </row>
    <row r="777" spans="1:15" x14ac:dyDescent="0.25">
      <c r="A777" t="s">
        <v>804</v>
      </c>
      <c r="B777">
        <v>66</v>
      </c>
      <c r="C777" t="s">
        <v>13</v>
      </c>
      <c r="D777" t="s">
        <v>19</v>
      </c>
      <c r="E777" s="4">
        <v>45926</v>
      </c>
      <c r="F777" s="4">
        <v>45932</v>
      </c>
      <c r="G777" s="8">
        <v>6</v>
      </c>
      <c r="H777" t="s">
        <v>15</v>
      </c>
      <c r="I777">
        <v>14</v>
      </c>
      <c r="J777" t="s">
        <v>25</v>
      </c>
      <c r="K777" t="s">
        <v>47</v>
      </c>
      <c r="L777" s="6">
        <v>3035.95</v>
      </c>
      <c r="M777" t="str">
        <f>TEXT(Table1[[#This Row],[Admission_Date]], "mmm")</f>
        <v>Sep</v>
      </c>
      <c r="N777">
        <f>YEAR(Table1[[#This Row],[Admission_Date]])</f>
        <v>2025</v>
      </c>
      <c r="O777" t="str">
        <f>IF(Table1[[#This Row],[Age]]&lt;30, "Young Adult", IF(Table1[[#This Row],[Age]]&lt;60, "Adult", "Senior"))</f>
        <v>Senior</v>
      </c>
    </row>
    <row r="778" spans="1:15" x14ac:dyDescent="0.25">
      <c r="A778" t="s">
        <v>805</v>
      </c>
      <c r="B778">
        <v>35</v>
      </c>
      <c r="C778" t="s">
        <v>13</v>
      </c>
      <c r="D778" t="s">
        <v>14</v>
      </c>
      <c r="E778" s="4">
        <v>45894</v>
      </c>
      <c r="F778" s="4">
        <v>45906</v>
      </c>
      <c r="G778" s="8">
        <v>12</v>
      </c>
      <c r="H778" t="s">
        <v>20</v>
      </c>
      <c r="I778">
        <v>0</v>
      </c>
      <c r="J778" t="s">
        <v>29</v>
      </c>
      <c r="K778" t="s">
        <v>47</v>
      </c>
      <c r="L778" s="6">
        <v>8531.07</v>
      </c>
      <c r="M778" t="str">
        <f>TEXT(Table1[[#This Row],[Admission_Date]], "mmm")</f>
        <v>Aug</v>
      </c>
      <c r="N778">
        <f>YEAR(Table1[[#This Row],[Admission_Date]])</f>
        <v>2025</v>
      </c>
      <c r="O778" t="str">
        <f>IF(Table1[[#This Row],[Age]]&lt;30, "Young Adult", IF(Table1[[#This Row],[Age]]&lt;60, "Adult", "Senior"))</f>
        <v>Adult</v>
      </c>
    </row>
    <row r="779" spans="1:15" x14ac:dyDescent="0.25">
      <c r="A779" t="s">
        <v>806</v>
      </c>
      <c r="B779">
        <v>56</v>
      </c>
      <c r="C779" t="s">
        <v>24</v>
      </c>
      <c r="D779" t="s">
        <v>34</v>
      </c>
      <c r="E779" s="4">
        <v>45679</v>
      </c>
      <c r="F779" s="4">
        <v>45693</v>
      </c>
      <c r="G779" s="8">
        <v>14</v>
      </c>
      <c r="H779" t="s">
        <v>20</v>
      </c>
      <c r="I779">
        <v>0</v>
      </c>
      <c r="J779" t="s">
        <v>29</v>
      </c>
      <c r="K779" t="s">
        <v>22</v>
      </c>
      <c r="L779" s="6">
        <v>889.18</v>
      </c>
      <c r="M779" t="str">
        <f>TEXT(Table1[[#This Row],[Admission_Date]], "mmm")</f>
        <v>Jan</v>
      </c>
      <c r="N779">
        <f>YEAR(Table1[[#This Row],[Admission_Date]])</f>
        <v>2025</v>
      </c>
      <c r="O779" t="str">
        <f>IF(Table1[[#This Row],[Age]]&lt;30, "Young Adult", IF(Table1[[#This Row],[Age]]&lt;60, "Adult", "Senior"))</f>
        <v>Adult</v>
      </c>
    </row>
    <row r="780" spans="1:15" x14ac:dyDescent="0.25">
      <c r="A780" t="s">
        <v>807</v>
      </c>
      <c r="B780">
        <v>78</v>
      </c>
      <c r="C780" t="s">
        <v>13</v>
      </c>
      <c r="D780" t="s">
        <v>28</v>
      </c>
      <c r="E780" s="4">
        <v>45659</v>
      </c>
      <c r="F780" s="4">
        <v>45662</v>
      </c>
      <c r="G780" s="8">
        <v>3</v>
      </c>
      <c r="H780" t="s">
        <v>15</v>
      </c>
      <c r="I780">
        <v>22</v>
      </c>
      <c r="J780" t="s">
        <v>25</v>
      </c>
      <c r="K780" t="s">
        <v>47</v>
      </c>
      <c r="L780" s="6">
        <v>3100.9</v>
      </c>
      <c r="M780" t="str">
        <f>TEXT(Table1[[#This Row],[Admission_Date]], "mmm")</f>
        <v>Jan</v>
      </c>
      <c r="N780">
        <f>YEAR(Table1[[#This Row],[Admission_Date]])</f>
        <v>2025</v>
      </c>
      <c r="O780" t="str">
        <f>IF(Table1[[#This Row],[Age]]&lt;30, "Young Adult", IF(Table1[[#This Row],[Age]]&lt;60, "Adult", "Senior"))</f>
        <v>Senior</v>
      </c>
    </row>
    <row r="781" spans="1:15" x14ac:dyDescent="0.25">
      <c r="A781" t="s">
        <v>808</v>
      </c>
      <c r="B781">
        <v>33</v>
      </c>
      <c r="C781" t="s">
        <v>24</v>
      </c>
      <c r="D781" t="s">
        <v>40</v>
      </c>
      <c r="E781" s="4">
        <v>46010</v>
      </c>
      <c r="F781" s="4">
        <v>46021</v>
      </c>
      <c r="G781" s="8">
        <v>11</v>
      </c>
      <c r="H781" t="s">
        <v>15</v>
      </c>
      <c r="I781">
        <v>3</v>
      </c>
      <c r="J781" t="s">
        <v>25</v>
      </c>
      <c r="K781" t="s">
        <v>17</v>
      </c>
      <c r="L781" s="6">
        <v>7467.05</v>
      </c>
      <c r="M781" t="str">
        <f>TEXT(Table1[[#This Row],[Admission_Date]], "mmm")</f>
        <v>Dec</v>
      </c>
      <c r="N781">
        <f>YEAR(Table1[[#This Row],[Admission_Date]])</f>
        <v>2025</v>
      </c>
      <c r="O781" t="str">
        <f>IF(Table1[[#This Row],[Age]]&lt;30, "Young Adult", IF(Table1[[#This Row],[Age]]&lt;60, "Adult", "Senior"))</f>
        <v>Adult</v>
      </c>
    </row>
    <row r="782" spans="1:15" x14ac:dyDescent="0.25">
      <c r="A782" t="s">
        <v>809</v>
      </c>
      <c r="B782">
        <v>78</v>
      </c>
      <c r="C782" t="s">
        <v>13</v>
      </c>
      <c r="D782" t="s">
        <v>32</v>
      </c>
      <c r="E782" s="4">
        <v>45881</v>
      </c>
      <c r="F782" s="4">
        <v>45895</v>
      </c>
      <c r="G782" s="8">
        <v>14</v>
      </c>
      <c r="H782" t="s">
        <v>15</v>
      </c>
      <c r="I782">
        <v>17</v>
      </c>
      <c r="J782" t="s">
        <v>16</v>
      </c>
      <c r="K782" t="s">
        <v>47</v>
      </c>
      <c r="L782" s="6">
        <v>2861.28</v>
      </c>
      <c r="M782" t="str">
        <f>TEXT(Table1[[#This Row],[Admission_Date]], "mmm")</f>
        <v>Aug</v>
      </c>
      <c r="N782">
        <f>YEAR(Table1[[#This Row],[Admission_Date]])</f>
        <v>2025</v>
      </c>
      <c r="O782" t="str">
        <f>IF(Table1[[#This Row],[Age]]&lt;30, "Young Adult", IF(Table1[[#This Row],[Age]]&lt;60, "Adult", "Senior"))</f>
        <v>Senior</v>
      </c>
    </row>
    <row r="783" spans="1:15" x14ac:dyDescent="0.25">
      <c r="A783" t="s">
        <v>810</v>
      </c>
      <c r="B783">
        <v>35</v>
      </c>
      <c r="C783" t="s">
        <v>24</v>
      </c>
      <c r="D783" t="s">
        <v>14</v>
      </c>
      <c r="E783" s="4">
        <v>45687</v>
      </c>
      <c r="F783" s="4">
        <v>45690</v>
      </c>
      <c r="G783" s="8">
        <v>3</v>
      </c>
      <c r="H783" t="s">
        <v>20</v>
      </c>
      <c r="I783">
        <v>0</v>
      </c>
      <c r="J783" t="s">
        <v>16</v>
      </c>
      <c r="K783" t="s">
        <v>47</v>
      </c>
      <c r="L783" s="6">
        <v>5736.87</v>
      </c>
      <c r="M783" t="str">
        <f>TEXT(Table1[[#This Row],[Admission_Date]], "mmm")</f>
        <v>Jan</v>
      </c>
      <c r="N783">
        <f>YEAR(Table1[[#This Row],[Admission_Date]])</f>
        <v>2025</v>
      </c>
      <c r="O783" t="str">
        <f>IF(Table1[[#This Row],[Age]]&lt;30, "Young Adult", IF(Table1[[#This Row],[Age]]&lt;60, "Adult", "Senior"))</f>
        <v>Adult</v>
      </c>
    </row>
    <row r="784" spans="1:15" x14ac:dyDescent="0.25">
      <c r="A784" t="s">
        <v>811</v>
      </c>
      <c r="B784">
        <v>55</v>
      </c>
      <c r="C784" t="s">
        <v>13</v>
      </c>
      <c r="D784" t="s">
        <v>34</v>
      </c>
      <c r="E784" s="4">
        <v>45983</v>
      </c>
      <c r="F784" s="4">
        <v>45989</v>
      </c>
      <c r="G784" s="8">
        <v>6</v>
      </c>
      <c r="H784" t="s">
        <v>15</v>
      </c>
      <c r="I784">
        <v>7</v>
      </c>
      <c r="J784" t="s">
        <v>21</v>
      </c>
      <c r="K784" t="s">
        <v>22</v>
      </c>
      <c r="L784" s="6">
        <v>9182.06</v>
      </c>
      <c r="M784" t="str">
        <f>TEXT(Table1[[#This Row],[Admission_Date]], "mmm")</f>
        <v>Nov</v>
      </c>
      <c r="N784">
        <f>YEAR(Table1[[#This Row],[Admission_Date]])</f>
        <v>2025</v>
      </c>
      <c r="O784" t="str">
        <f>IF(Table1[[#This Row],[Age]]&lt;30, "Young Adult", IF(Table1[[#This Row],[Age]]&lt;60, "Adult", "Senior"))</f>
        <v>Adult</v>
      </c>
    </row>
    <row r="785" spans="1:15" x14ac:dyDescent="0.25">
      <c r="A785" t="s">
        <v>812</v>
      </c>
      <c r="B785">
        <v>58</v>
      </c>
      <c r="C785" t="s">
        <v>24</v>
      </c>
      <c r="D785" t="s">
        <v>32</v>
      </c>
      <c r="E785" s="4">
        <v>45743</v>
      </c>
      <c r="F785" s="4">
        <v>45752</v>
      </c>
      <c r="G785" s="8">
        <v>9</v>
      </c>
      <c r="H785" t="s">
        <v>20</v>
      </c>
      <c r="I785">
        <v>0</v>
      </c>
      <c r="J785" t="s">
        <v>25</v>
      </c>
      <c r="K785" t="s">
        <v>22</v>
      </c>
      <c r="L785" s="6">
        <v>8249.09</v>
      </c>
      <c r="M785" t="str">
        <f>TEXT(Table1[[#This Row],[Admission_Date]], "mmm")</f>
        <v>Mar</v>
      </c>
      <c r="N785">
        <f>YEAR(Table1[[#This Row],[Admission_Date]])</f>
        <v>2025</v>
      </c>
      <c r="O785" t="str">
        <f>IF(Table1[[#This Row],[Age]]&lt;30, "Young Adult", IF(Table1[[#This Row],[Age]]&lt;60, "Adult", "Senior"))</f>
        <v>Adult</v>
      </c>
    </row>
    <row r="786" spans="1:15" x14ac:dyDescent="0.25">
      <c r="A786" t="s">
        <v>813</v>
      </c>
      <c r="B786">
        <v>35</v>
      </c>
      <c r="C786" t="s">
        <v>24</v>
      </c>
      <c r="D786" t="s">
        <v>32</v>
      </c>
      <c r="E786" s="4">
        <v>45838</v>
      </c>
      <c r="F786" s="4">
        <v>45852</v>
      </c>
      <c r="G786" s="8">
        <v>14</v>
      </c>
      <c r="H786" t="s">
        <v>15</v>
      </c>
      <c r="I786">
        <v>25</v>
      </c>
      <c r="J786" t="s">
        <v>29</v>
      </c>
      <c r="K786" t="s">
        <v>47</v>
      </c>
      <c r="L786" s="6">
        <v>5434.54</v>
      </c>
      <c r="M786" t="str">
        <f>TEXT(Table1[[#This Row],[Admission_Date]], "mmm")</f>
        <v>Jun</v>
      </c>
      <c r="N786">
        <f>YEAR(Table1[[#This Row],[Admission_Date]])</f>
        <v>2025</v>
      </c>
      <c r="O786" t="str">
        <f>IF(Table1[[#This Row],[Age]]&lt;30, "Young Adult", IF(Table1[[#This Row],[Age]]&lt;60, "Adult", "Senior"))</f>
        <v>Adult</v>
      </c>
    </row>
    <row r="787" spans="1:15" x14ac:dyDescent="0.25">
      <c r="A787" t="s">
        <v>814</v>
      </c>
      <c r="B787">
        <v>82</v>
      </c>
      <c r="C787" t="s">
        <v>13</v>
      </c>
      <c r="D787" t="s">
        <v>14</v>
      </c>
      <c r="E787" s="4">
        <v>45741</v>
      </c>
      <c r="F787" s="4">
        <v>45743</v>
      </c>
      <c r="G787" s="8">
        <v>2</v>
      </c>
      <c r="H787" t="s">
        <v>15</v>
      </c>
      <c r="I787">
        <v>26</v>
      </c>
      <c r="J787" t="s">
        <v>16</v>
      </c>
      <c r="K787" t="s">
        <v>47</v>
      </c>
      <c r="L787" s="6">
        <v>7177.12</v>
      </c>
      <c r="M787" t="str">
        <f>TEXT(Table1[[#This Row],[Admission_Date]], "mmm")</f>
        <v>Mar</v>
      </c>
      <c r="N787">
        <f>YEAR(Table1[[#This Row],[Admission_Date]])</f>
        <v>2025</v>
      </c>
      <c r="O787" t="str">
        <f>IF(Table1[[#This Row],[Age]]&lt;30, "Young Adult", IF(Table1[[#This Row],[Age]]&lt;60, "Adult", "Senior"))</f>
        <v>Senior</v>
      </c>
    </row>
    <row r="788" spans="1:15" x14ac:dyDescent="0.25">
      <c r="A788" t="s">
        <v>815</v>
      </c>
      <c r="B788">
        <v>20</v>
      </c>
      <c r="C788" t="s">
        <v>24</v>
      </c>
      <c r="D788" t="s">
        <v>32</v>
      </c>
      <c r="E788" s="4">
        <v>45697</v>
      </c>
      <c r="F788" s="4">
        <v>45699</v>
      </c>
      <c r="G788" s="8">
        <v>2</v>
      </c>
      <c r="H788" t="s">
        <v>20</v>
      </c>
      <c r="I788">
        <v>0</v>
      </c>
      <c r="J788" t="s">
        <v>25</v>
      </c>
      <c r="K788" t="s">
        <v>17</v>
      </c>
      <c r="L788" s="6">
        <v>5757.24</v>
      </c>
      <c r="M788" t="str">
        <f>TEXT(Table1[[#This Row],[Admission_Date]], "mmm")</f>
        <v>Feb</v>
      </c>
      <c r="N788">
        <f>YEAR(Table1[[#This Row],[Admission_Date]])</f>
        <v>2025</v>
      </c>
      <c r="O788" t="str">
        <f>IF(Table1[[#This Row],[Age]]&lt;30, "Young Adult", IF(Table1[[#This Row],[Age]]&lt;60, "Adult", "Senior"))</f>
        <v>Young Adult</v>
      </c>
    </row>
    <row r="789" spans="1:15" x14ac:dyDescent="0.25">
      <c r="A789" t="s">
        <v>816</v>
      </c>
      <c r="B789">
        <v>61</v>
      </c>
      <c r="C789" t="s">
        <v>13</v>
      </c>
      <c r="D789" t="s">
        <v>28</v>
      </c>
      <c r="E789" s="4">
        <v>45884</v>
      </c>
      <c r="F789" s="4">
        <v>45894</v>
      </c>
      <c r="G789" s="8">
        <v>10</v>
      </c>
      <c r="H789" t="s">
        <v>20</v>
      </c>
      <c r="I789">
        <v>0</v>
      </c>
      <c r="J789" t="s">
        <v>25</v>
      </c>
      <c r="K789" t="s">
        <v>22</v>
      </c>
      <c r="L789" s="6">
        <v>11294.67</v>
      </c>
      <c r="M789" t="str">
        <f>TEXT(Table1[[#This Row],[Admission_Date]], "mmm")</f>
        <v>Aug</v>
      </c>
      <c r="N789">
        <f>YEAR(Table1[[#This Row],[Admission_Date]])</f>
        <v>2025</v>
      </c>
      <c r="O789" t="str">
        <f>IF(Table1[[#This Row],[Age]]&lt;30, "Young Adult", IF(Table1[[#This Row],[Age]]&lt;60, "Adult", "Senior"))</f>
        <v>Senior</v>
      </c>
    </row>
    <row r="790" spans="1:15" x14ac:dyDescent="0.25">
      <c r="A790" t="s">
        <v>817</v>
      </c>
      <c r="B790">
        <v>36</v>
      </c>
      <c r="C790" t="s">
        <v>13</v>
      </c>
      <c r="D790" t="s">
        <v>32</v>
      </c>
      <c r="E790" s="4">
        <v>45718</v>
      </c>
      <c r="F790" s="4">
        <v>45722</v>
      </c>
      <c r="G790" s="8">
        <v>4</v>
      </c>
      <c r="H790" t="s">
        <v>15</v>
      </c>
      <c r="I790">
        <v>5</v>
      </c>
      <c r="J790" t="s">
        <v>21</v>
      </c>
      <c r="K790" t="s">
        <v>22</v>
      </c>
      <c r="L790" s="6">
        <v>14726.09</v>
      </c>
      <c r="M790" t="str">
        <f>TEXT(Table1[[#This Row],[Admission_Date]], "mmm")</f>
        <v>Mar</v>
      </c>
      <c r="N790">
        <f>YEAR(Table1[[#This Row],[Admission_Date]])</f>
        <v>2025</v>
      </c>
      <c r="O790" t="str">
        <f>IF(Table1[[#This Row],[Age]]&lt;30, "Young Adult", IF(Table1[[#This Row],[Age]]&lt;60, "Adult", "Senior"))</f>
        <v>Adult</v>
      </c>
    </row>
    <row r="791" spans="1:15" x14ac:dyDescent="0.25">
      <c r="A791" t="s">
        <v>818</v>
      </c>
      <c r="B791">
        <v>32</v>
      </c>
      <c r="C791" t="s">
        <v>13</v>
      </c>
      <c r="D791" t="s">
        <v>19</v>
      </c>
      <c r="E791" s="4">
        <v>45875</v>
      </c>
      <c r="F791" s="4">
        <v>45887</v>
      </c>
      <c r="G791" s="8">
        <v>12</v>
      </c>
      <c r="H791" t="s">
        <v>20</v>
      </c>
      <c r="I791">
        <v>0</v>
      </c>
      <c r="J791" t="s">
        <v>29</v>
      </c>
      <c r="K791" t="s">
        <v>47</v>
      </c>
      <c r="L791" s="6">
        <v>1116.5</v>
      </c>
      <c r="M791" t="str">
        <f>TEXT(Table1[[#This Row],[Admission_Date]], "mmm")</f>
        <v>Aug</v>
      </c>
      <c r="N791">
        <f>YEAR(Table1[[#This Row],[Admission_Date]])</f>
        <v>2025</v>
      </c>
      <c r="O791" t="str">
        <f>IF(Table1[[#This Row],[Age]]&lt;30, "Young Adult", IF(Table1[[#This Row],[Age]]&lt;60, "Adult", "Senior"))</f>
        <v>Adult</v>
      </c>
    </row>
    <row r="792" spans="1:15" x14ac:dyDescent="0.25">
      <c r="A792" t="s">
        <v>819</v>
      </c>
      <c r="B792">
        <v>83</v>
      </c>
      <c r="C792" t="s">
        <v>13</v>
      </c>
      <c r="D792" t="s">
        <v>40</v>
      </c>
      <c r="E792" s="4">
        <v>45713</v>
      </c>
      <c r="F792" s="4">
        <v>45714</v>
      </c>
      <c r="G792" s="8">
        <v>1</v>
      </c>
      <c r="H792" t="s">
        <v>20</v>
      </c>
      <c r="I792">
        <v>0</v>
      </c>
      <c r="J792" t="s">
        <v>16</v>
      </c>
      <c r="K792" t="s">
        <v>47</v>
      </c>
      <c r="L792" s="6">
        <v>1127.58</v>
      </c>
      <c r="M792" t="str">
        <f>TEXT(Table1[[#This Row],[Admission_Date]], "mmm")</f>
        <v>Feb</v>
      </c>
      <c r="N792">
        <f>YEAR(Table1[[#This Row],[Admission_Date]])</f>
        <v>2025</v>
      </c>
      <c r="O792" t="str">
        <f>IF(Table1[[#This Row],[Age]]&lt;30, "Young Adult", IF(Table1[[#This Row],[Age]]&lt;60, "Adult", "Senior"))</f>
        <v>Senior</v>
      </c>
    </row>
    <row r="793" spans="1:15" x14ac:dyDescent="0.25">
      <c r="A793" t="s">
        <v>820</v>
      </c>
      <c r="B793">
        <v>30</v>
      </c>
      <c r="C793" t="s">
        <v>13</v>
      </c>
      <c r="D793" t="s">
        <v>34</v>
      </c>
      <c r="E793" s="4">
        <v>45812</v>
      </c>
      <c r="F793" s="4">
        <v>45823</v>
      </c>
      <c r="G793" s="8">
        <v>11</v>
      </c>
      <c r="H793" t="s">
        <v>15</v>
      </c>
      <c r="I793">
        <v>7</v>
      </c>
      <c r="J793" t="s">
        <v>21</v>
      </c>
      <c r="K793" t="s">
        <v>22</v>
      </c>
      <c r="L793" s="6">
        <v>10223.709999999999</v>
      </c>
      <c r="M793" t="str">
        <f>TEXT(Table1[[#This Row],[Admission_Date]], "mmm")</f>
        <v>Jun</v>
      </c>
      <c r="N793">
        <f>YEAR(Table1[[#This Row],[Admission_Date]])</f>
        <v>2025</v>
      </c>
      <c r="O793" t="str">
        <f>IF(Table1[[#This Row],[Age]]&lt;30, "Young Adult", IF(Table1[[#This Row],[Age]]&lt;60, "Adult", "Senior"))</f>
        <v>Adult</v>
      </c>
    </row>
    <row r="794" spans="1:15" x14ac:dyDescent="0.25">
      <c r="A794" t="s">
        <v>821</v>
      </c>
      <c r="B794">
        <v>53</v>
      </c>
      <c r="C794" t="s">
        <v>24</v>
      </c>
      <c r="D794" t="s">
        <v>32</v>
      </c>
      <c r="E794" s="4">
        <v>45672</v>
      </c>
      <c r="F794" s="4">
        <v>45674</v>
      </c>
      <c r="G794" s="8">
        <v>2</v>
      </c>
      <c r="H794" t="s">
        <v>15</v>
      </c>
      <c r="I794">
        <v>6</v>
      </c>
      <c r="J794" t="s">
        <v>21</v>
      </c>
      <c r="K794" t="s">
        <v>17</v>
      </c>
      <c r="L794" s="6">
        <v>8768.41</v>
      </c>
      <c r="M794" t="str">
        <f>TEXT(Table1[[#This Row],[Admission_Date]], "mmm")</f>
        <v>Jan</v>
      </c>
      <c r="N794">
        <f>YEAR(Table1[[#This Row],[Admission_Date]])</f>
        <v>2025</v>
      </c>
      <c r="O794" t="str">
        <f>IF(Table1[[#This Row],[Age]]&lt;30, "Young Adult", IF(Table1[[#This Row],[Age]]&lt;60, "Adult", "Senior"))</f>
        <v>Adult</v>
      </c>
    </row>
    <row r="795" spans="1:15" x14ac:dyDescent="0.25">
      <c r="A795" t="s">
        <v>822</v>
      </c>
      <c r="B795">
        <v>19</v>
      </c>
      <c r="C795" t="s">
        <v>13</v>
      </c>
      <c r="D795" t="s">
        <v>28</v>
      </c>
      <c r="E795" s="4">
        <v>45708</v>
      </c>
      <c r="F795" s="4">
        <v>45722</v>
      </c>
      <c r="G795" s="8">
        <v>14</v>
      </c>
      <c r="H795" t="s">
        <v>20</v>
      </c>
      <c r="I795">
        <v>0</v>
      </c>
      <c r="J795" t="s">
        <v>21</v>
      </c>
      <c r="K795" t="s">
        <v>47</v>
      </c>
      <c r="L795" s="6">
        <v>2990.72</v>
      </c>
      <c r="M795" t="str">
        <f>TEXT(Table1[[#This Row],[Admission_Date]], "mmm")</f>
        <v>Feb</v>
      </c>
      <c r="N795">
        <f>YEAR(Table1[[#This Row],[Admission_Date]])</f>
        <v>2025</v>
      </c>
      <c r="O795" t="str">
        <f>IF(Table1[[#This Row],[Age]]&lt;30, "Young Adult", IF(Table1[[#This Row],[Age]]&lt;60, "Adult", "Senior"))</f>
        <v>Young Adult</v>
      </c>
    </row>
    <row r="796" spans="1:15" x14ac:dyDescent="0.25">
      <c r="A796" t="s">
        <v>823</v>
      </c>
      <c r="B796">
        <v>30</v>
      </c>
      <c r="C796" t="s">
        <v>13</v>
      </c>
      <c r="D796" t="s">
        <v>34</v>
      </c>
      <c r="E796" s="4">
        <v>45933</v>
      </c>
      <c r="F796" s="4">
        <v>45934</v>
      </c>
      <c r="G796" s="8">
        <v>1</v>
      </c>
      <c r="H796" t="s">
        <v>20</v>
      </c>
      <c r="I796">
        <v>0</v>
      </c>
      <c r="J796" t="s">
        <v>29</v>
      </c>
      <c r="K796" t="s">
        <v>47</v>
      </c>
      <c r="L796" s="6">
        <v>10622.93</v>
      </c>
      <c r="M796" t="str">
        <f>TEXT(Table1[[#This Row],[Admission_Date]], "mmm")</f>
        <v>Oct</v>
      </c>
      <c r="N796">
        <f>YEAR(Table1[[#This Row],[Admission_Date]])</f>
        <v>2025</v>
      </c>
      <c r="O796" t="str">
        <f>IF(Table1[[#This Row],[Age]]&lt;30, "Young Adult", IF(Table1[[#This Row],[Age]]&lt;60, "Adult", "Senior"))</f>
        <v>Adult</v>
      </c>
    </row>
    <row r="797" spans="1:15" x14ac:dyDescent="0.25">
      <c r="A797" t="s">
        <v>824</v>
      </c>
      <c r="B797">
        <v>31</v>
      </c>
      <c r="C797" t="s">
        <v>13</v>
      </c>
      <c r="D797" t="s">
        <v>32</v>
      </c>
      <c r="E797" s="4">
        <v>45752</v>
      </c>
      <c r="F797" s="4">
        <v>45760</v>
      </c>
      <c r="G797" s="8">
        <v>8</v>
      </c>
      <c r="H797" t="s">
        <v>20</v>
      </c>
      <c r="I797">
        <v>0</v>
      </c>
      <c r="J797" t="s">
        <v>29</v>
      </c>
      <c r="K797" t="s">
        <v>47</v>
      </c>
      <c r="L797" s="6">
        <v>3606.97</v>
      </c>
      <c r="M797" t="str">
        <f>TEXT(Table1[[#This Row],[Admission_Date]], "mmm")</f>
        <v>Apr</v>
      </c>
      <c r="N797">
        <f>YEAR(Table1[[#This Row],[Admission_Date]])</f>
        <v>2025</v>
      </c>
      <c r="O797" t="str">
        <f>IF(Table1[[#This Row],[Age]]&lt;30, "Young Adult", IF(Table1[[#This Row],[Age]]&lt;60, "Adult", "Senior"))</f>
        <v>Adult</v>
      </c>
    </row>
    <row r="798" spans="1:15" x14ac:dyDescent="0.25">
      <c r="A798" t="s">
        <v>825</v>
      </c>
      <c r="B798">
        <v>58</v>
      </c>
      <c r="C798" t="s">
        <v>13</v>
      </c>
      <c r="D798" t="s">
        <v>40</v>
      </c>
      <c r="E798" s="4">
        <v>45774</v>
      </c>
      <c r="F798" s="4">
        <v>45781</v>
      </c>
      <c r="G798" s="8">
        <v>7</v>
      </c>
      <c r="H798" t="s">
        <v>15</v>
      </c>
      <c r="I798">
        <v>4</v>
      </c>
      <c r="J798" t="s">
        <v>21</v>
      </c>
      <c r="K798" t="s">
        <v>47</v>
      </c>
      <c r="L798" s="6">
        <v>11552.97</v>
      </c>
      <c r="M798" t="str">
        <f>TEXT(Table1[[#This Row],[Admission_Date]], "mmm")</f>
        <v>Apr</v>
      </c>
      <c r="N798">
        <f>YEAR(Table1[[#This Row],[Admission_Date]])</f>
        <v>2025</v>
      </c>
      <c r="O798" t="str">
        <f>IF(Table1[[#This Row],[Age]]&lt;30, "Young Adult", IF(Table1[[#This Row],[Age]]&lt;60, "Adult", "Senior"))</f>
        <v>Adult</v>
      </c>
    </row>
    <row r="799" spans="1:15" x14ac:dyDescent="0.25">
      <c r="A799" t="s">
        <v>826</v>
      </c>
      <c r="B799">
        <v>23</v>
      </c>
      <c r="C799" t="s">
        <v>13</v>
      </c>
      <c r="D799" t="s">
        <v>32</v>
      </c>
      <c r="E799" s="4">
        <v>46018</v>
      </c>
      <c r="F799" s="4">
        <v>46023</v>
      </c>
      <c r="G799" s="8">
        <v>5</v>
      </c>
      <c r="H799" t="s">
        <v>20</v>
      </c>
      <c r="I799">
        <v>0</v>
      </c>
      <c r="J799" t="s">
        <v>29</v>
      </c>
      <c r="K799" t="s">
        <v>22</v>
      </c>
      <c r="L799" s="6">
        <v>6079.33</v>
      </c>
      <c r="M799" t="str">
        <f>TEXT(Table1[[#This Row],[Admission_Date]], "mmm")</f>
        <v>Dec</v>
      </c>
      <c r="N799">
        <f>YEAR(Table1[[#This Row],[Admission_Date]])</f>
        <v>2025</v>
      </c>
      <c r="O799" t="str">
        <f>IF(Table1[[#This Row],[Age]]&lt;30, "Young Adult", IF(Table1[[#This Row],[Age]]&lt;60, "Adult", "Senior"))</f>
        <v>Young Adult</v>
      </c>
    </row>
    <row r="800" spans="1:15" x14ac:dyDescent="0.25">
      <c r="A800" t="s">
        <v>827</v>
      </c>
      <c r="B800">
        <v>74</v>
      </c>
      <c r="C800" t="s">
        <v>13</v>
      </c>
      <c r="D800" t="s">
        <v>34</v>
      </c>
      <c r="E800" s="4">
        <v>45891</v>
      </c>
      <c r="F800" s="4">
        <v>45901</v>
      </c>
      <c r="G800" s="8">
        <v>10</v>
      </c>
      <c r="H800" t="s">
        <v>20</v>
      </c>
      <c r="I800">
        <v>0</v>
      </c>
      <c r="J800" t="s">
        <v>29</v>
      </c>
      <c r="K800" t="s">
        <v>47</v>
      </c>
      <c r="L800" s="6">
        <v>14781.95</v>
      </c>
      <c r="M800" t="str">
        <f>TEXT(Table1[[#This Row],[Admission_Date]], "mmm")</f>
        <v>Aug</v>
      </c>
      <c r="N800">
        <f>YEAR(Table1[[#This Row],[Admission_Date]])</f>
        <v>2025</v>
      </c>
      <c r="O800" t="str">
        <f>IF(Table1[[#This Row],[Age]]&lt;30, "Young Adult", IF(Table1[[#This Row],[Age]]&lt;60, "Adult", "Senior"))</f>
        <v>Senior</v>
      </c>
    </row>
    <row r="801" spans="1:15" x14ac:dyDescent="0.25">
      <c r="A801" t="s">
        <v>828</v>
      </c>
      <c r="B801">
        <v>78</v>
      </c>
      <c r="C801" t="s">
        <v>24</v>
      </c>
      <c r="D801" t="s">
        <v>14</v>
      </c>
      <c r="E801" s="4">
        <v>45877</v>
      </c>
      <c r="F801" s="4">
        <v>45881</v>
      </c>
      <c r="G801" s="8">
        <v>4</v>
      </c>
      <c r="H801" t="s">
        <v>20</v>
      </c>
      <c r="I801">
        <v>0</v>
      </c>
      <c r="J801" t="s">
        <v>16</v>
      </c>
      <c r="K801" t="s">
        <v>17</v>
      </c>
      <c r="L801" s="6">
        <v>7628.9</v>
      </c>
      <c r="M801" t="str">
        <f>TEXT(Table1[[#This Row],[Admission_Date]], "mmm")</f>
        <v>Aug</v>
      </c>
      <c r="N801">
        <f>YEAR(Table1[[#This Row],[Admission_Date]])</f>
        <v>2025</v>
      </c>
      <c r="O801" t="str">
        <f>IF(Table1[[#This Row],[Age]]&lt;30, "Young Adult", IF(Table1[[#This Row],[Age]]&lt;60, "Adult", "Senior"))</f>
        <v>Senior</v>
      </c>
    </row>
    <row r="802" spans="1:15" x14ac:dyDescent="0.25">
      <c r="A802" t="s">
        <v>829</v>
      </c>
      <c r="B802">
        <v>28</v>
      </c>
      <c r="C802" t="s">
        <v>13</v>
      </c>
      <c r="D802" t="s">
        <v>14</v>
      </c>
      <c r="E802" s="4">
        <v>45711</v>
      </c>
      <c r="F802" s="4">
        <v>45718</v>
      </c>
      <c r="G802" s="8">
        <v>7</v>
      </c>
      <c r="H802" t="s">
        <v>20</v>
      </c>
      <c r="I802">
        <v>0</v>
      </c>
      <c r="J802" t="s">
        <v>29</v>
      </c>
      <c r="K802" t="s">
        <v>47</v>
      </c>
      <c r="L802" s="6">
        <v>10578.04</v>
      </c>
      <c r="M802" t="str">
        <f>TEXT(Table1[[#This Row],[Admission_Date]], "mmm")</f>
        <v>Feb</v>
      </c>
      <c r="N802">
        <f>YEAR(Table1[[#This Row],[Admission_Date]])</f>
        <v>2025</v>
      </c>
      <c r="O802" t="str">
        <f>IF(Table1[[#This Row],[Age]]&lt;30, "Young Adult", IF(Table1[[#This Row],[Age]]&lt;60, "Adult", "Senior"))</f>
        <v>Young Adult</v>
      </c>
    </row>
    <row r="803" spans="1:15" x14ac:dyDescent="0.25">
      <c r="A803" t="s">
        <v>830</v>
      </c>
      <c r="B803">
        <v>39</v>
      </c>
      <c r="C803" t="s">
        <v>13</v>
      </c>
      <c r="D803" t="s">
        <v>32</v>
      </c>
      <c r="E803" s="4">
        <v>45710</v>
      </c>
      <c r="F803" s="4">
        <v>45722</v>
      </c>
      <c r="G803" s="8">
        <v>12</v>
      </c>
      <c r="H803" t="s">
        <v>20</v>
      </c>
      <c r="I803">
        <v>0</v>
      </c>
      <c r="J803" t="s">
        <v>21</v>
      </c>
      <c r="K803" t="s">
        <v>47</v>
      </c>
      <c r="L803" s="6">
        <v>3403.82</v>
      </c>
      <c r="M803" t="str">
        <f>TEXT(Table1[[#This Row],[Admission_Date]], "mmm")</f>
        <v>Feb</v>
      </c>
      <c r="N803">
        <f>YEAR(Table1[[#This Row],[Admission_Date]])</f>
        <v>2025</v>
      </c>
      <c r="O803" t="str">
        <f>IF(Table1[[#This Row],[Age]]&lt;30, "Young Adult", IF(Table1[[#This Row],[Age]]&lt;60, "Adult", "Senior"))</f>
        <v>Adult</v>
      </c>
    </row>
    <row r="804" spans="1:15" x14ac:dyDescent="0.25">
      <c r="A804" t="s">
        <v>831</v>
      </c>
      <c r="B804">
        <v>72</v>
      </c>
      <c r="C804" t="s">
        <v>24</v>
      </c>
      <c r="D804" t="s">
        <v>32</v>
      </c>
      <c r="E804" s="4">
        <v>45864</v>
      </c>
      <c r="F804" s="4">
        <v>45866</v>
      </c>
      <c r="G804" s="8">
        <v>2</v>
      </c>
      <c r="H804" t="s">
        <v>15</v>
      </c>
      <c r="I804">
        <v>25</v>
      </c>
      <c r="J804" t="s">
        <v>25</v>
      </c>
      <c r="K804" t="s">
        <v>17</v>
      </c>
      <c r="L804" s="6">
        <v>14176.76</v>
      </c>
      <c r="M804" t="str">
        <f>TEXT(Table1[[#This Row],[Admission_Date]], "mmm")</f>
        <v>Jul</v>
      </c>
      <c r="N804">
        <f>YEAR(Table1[[#This Row],[Admission_Date]])</f>
        <v>2025</v>
      </c>
      <c r="O804" t="str">
        <f>IF(Table1[[#This Row],[Age]]&lt;30, "Young Adult", IF(Table1[[#This Row],[Age]]&lt;60, "Adult", "Senior"))</f>
        <v>Senior</v>
      </c>
    </row>
    <row r="805" spans="1:15" x14ac:dyDescent="0.25">
      <c r="A805" t="s">
        <v>832</v>
      </c>
      <c r="B805">
        <v>69</v>
      </c>
      <c r="C805" t="s">
        <v>24</v>
      </c>
      <c r="D805" t="s">
        <v>34</v>
      </c>
      <c r="E805" s="4">
        <v>45840</v>
      </c>
      <c r="F805" s="4">
        <v>45848</v>
      </c>
      <c r="G805" s="8">
        <v>8</v>
      </c>
      <c r="H805" t="s">
        <v>20</v>
      </c>
      <c r="I805">
        <v>0</v>
      </c>
      <c r="J805" t="s">
        <v>25</v>
      </c>
      <c r="K805" t="s">
        <v>22</v>
      </c>
      <c r="L805" s="6">
        <v>11635.99</v>
      </c>
      <c r="M805" t="str">
        <f>TEXT(Table1[[#This Row],[Admission_Date]], "mmm")</f>
        <v>Jul</v>
      </c>
      <c r="N805">
        <f>YEAR(Table1[[#This Row],[Admission_Date]])</f>
        <v>2025</v>
      </c>
      <c r="O805" t="str">
        <f>IF(Table1[[#This Row],[Age]]&lt;30, "Young Adult", IF(Table1[[#This Row],[Age]]&lt;60, "Adult", "Senior"))</f>
        <v>Senior</v>
      </c>
    </row>
    <row r="806" spans="1:15" x14ac:dyDescent="0.25">
      <c r="A806" t="s">
        <v>833</v>
      </c>
      <c r="B806">
        <v>81</v>
      </c>
      <c r="C806" t="s">
        <v>13</v>
      </c>
      <c r="D806" t="s">
        <v>28</v>
      </c>
      <c r="E806" s="4">
        <v>45713</v>
      </c>
      <c r="F806" s="4">
        <v>45715</v>
      </c>
      <c r="G806" s="8">
        <v>2</v>
      </c>
      <c r="H806" t="s">
        <v>15</v>
      </c>
      <c r="I806">
        <v>5</v>
      </c>
      <c r="J806" t="s">
        <v>16</v>
      </c>
      <c r="K806" t="s">
        <v>22</v>
      </c>
      <c r="L806" s="6">
        <v>11198.08</v>
      </c>
      <c r="M806" t="str">
        <f>TEXT(Table1[[#This Row],[Admission_Date]], "mmm")</f>
        <v>Feb</v>
      </c>
      <c r="N806">
        <f>YEAR(Table1[[#This Row],[Admission_Date]])</f>
        <v>2025</v>
      </c>
      <c r="O806" t="str">
        <f>IF(Table1[[#This Row],[Age]]&lt;30, "Young Adult", IF(Table1[[#This Row],[Age]]&lt;60, "Adult", "Senior"))</f>
        <v>Senior</v>
      </c>
    </row>
    <row r="807" spans="1:15" x14ac:dyDescent="0.25">
      <c r="A807" t="s">
        <v>834</v>
      </c>
      <c r="B807">
        <v>40</v>
      </c>
      <c r="C807" t="s">
        <v>24</v>
      </c>
      <c r="D807" t="s">
        <v>34</v>
      </c>
      <c r="E807" s="4">
        <v>45692</v>
      </c>
      <c r="F807" s="4">
        <v>45700</v>
      </c>
      <c r="G807" s="8">
        <v>8</v>
      </c>
      <c r="H807" t="s">
        <v>20</v>
      </c>
      <c r="I807">
        <v>0</v>
      </c>
      <c r="J807" t="s">
        <v>25</v>
      </c>
      <c r="K807" t="s">
        <v>22</v>
      </c>
      <c r="L807" s="6">
        <v>4889.91</v>
      </c>
      <c r="M807" t="str">
        <f>TEXT(Table1[[#This Row],[Admission_Date]], "mmm")</f>
        <v>Feb</v>
      </c>
      <c r="N807">
        <f>YEAR(Table1[[#This Row],[Admission_Date]])</f>
        <v>2025</v>
      </c>
      <c r="O807" t="str">
        <f>IF(Table1[[#This Row],[Age]]&lt;30, "Young Adult", IF(Table1[[#This Row],[Age]]&lt;60, "Adult", "Senior"))</f>
        <v>Adult</v>
      </c>
    </row>
    <row r="808" spans="1:15" x14ac:dyDescent="0.25">
      <c r="A808" t="s">
        <v>835</v>
      </c>
      <c r="B808">
        <v>84</v>
      </c>
      <c r="C808" t="s">
        <v>24</v>
      </c>
      <c r="D808" t="s">
        <v>40</v>
      </c>
      <c r="E808" s="4">
        <v>45977</v>
      </c>
      <c r="F808" s="4">
        <v>45979</v>
      </c>
      <c r="G808" s="8">
        <v>2</v>
      </c>
      <c r="H808" t="s">
        <v>20</v>
      </c>
      <c r="I808">
        <v>0</v>
      </c>
      <c r="J808" t="s">
        <v>21</v>
      </c>
      <c r="K808" t="s">
        <v>47</v>
      </c>
      <c r="L808" s="6">
        <v>10100.35</v>
      </c>
      <c r="M808" t="str">
        <f>TEXT(Table1[[#This Row],[Admission_Date]], "mmm")</f>
        <v>Nov</v>
      </c>
      <c r="N808">
        <f>YEAR(Table1[[#This Row],[Admission_Date]])</f>
        <v>2025</v>
      </c>
      <c r="O808" t="str">
        <f>IF(Table1[[#This Row],[Age]]&lt;30, "Young Adult", IF(Table1[[#This Row],[Age]]&lt;60, "Adult", "Senior"))</f>
        <v>Senior</v>
      </c>
    </row>
    <row r="809" spans="1:15" x14ac:dyDescent="0.25">
      <c r="A809" t="s">
        <v>836</v>
      </c>
      <c r="B809">
        <v>61</v>
      </c>
      <c r="C809" t="s">
        <v>13</v>
      </c>
      <c r="D809" t="s">
        <v>19</v>
      </c>
      <c r="E809" s="4">
        <v>45909</v>
      </c>
      <c r="F809" s="4">
        <v>45918</v>
      </c>
      <c r="G809" s="8">
        <v>9</v>
      </c>
      <c r="H809" t="s">
        <v>15</v>
      </c>
      <c r="I809">
        <v>14</v>
      </c>
      <c r="J809" t="s">
        <v>16</v>
      </c>
      <c r="K809" t="s">
        <v>47</v>
      </c>
      <c r="L809" s="6">
        <v>7026.68</v>
      </c>
      <c r="M809" t="str">
        <f>TEXT(Table1[[#This Row],[Admission_Date]], "mmm")</f>
        <v>Sep</v>
      </c>
      <c r="N809">
        <f>YEAR(Table1[[#This Row],[Admission_Date]])</f>
        <v>2025</v>
      </c>
      <c r="O809" t="str">
        <f>IF(Table1[[#This Row],[Age]]&lt;30, "Young Adult", IF(Table1[[#This Row],[Age]]&lt;60, "Adult", "Senior"))</f>
        <v>Senior</v>
      </c>
    </row>
    <row r="810" spans="1:15" x14ac:dyDescent="0.25">
      <c r="A810" t="s">
        <v>837</v>
      </c>
      <c r="B810">
        <v>22</v>
      </c>
      <c r="C810" t="s">
        <v>13</v>
      </c>
      <c r="D810" t="s">
        <v>34</v>
      </c>
      <c r="E810" s="4">
        <v>45850</v>
      </c>
      <c r="F810" s="4">
        <v>45858</v>
      </c>
      <c r="G810" s="8">
        <v>8</v>
      </c>
      <c r="H810" t="s">
        <v>20</v>
      </c>
      <c r="I810">
        <v>0</v>
      </c>
      <c r="J810" t="s">
        <v>25</v>
      </c>
      <c r="K810" t="s">
        <v>17</v>
      </c>
      <c r="L810" s="6">
        <v>2880.09</v>
      </c>
      <c r="M810" t="str">
        <f>TEXT(Table1[[#This Row],[Admission_Date]], "mmm")</f>
        <v>Jul</v>
      </c>
      <c r="N810">
        <f>YEAR(Table1[[#This Row],[Admission_Date]])</f>
        <v>2025</v>
      </c>
      <c r="O810" t="str">
        <f>IF(Table1[[#This Row],[Age]]&lt;30, "Young Adult", IF(Table1[[#This Row],[Age]]&lt;60, "Adult", "Senior"))</f>
        <v>Young Adult</v>
      </c>
    </row>
    <row r="811" spans="1:15" x14ac:dyDescent="0.25">
      <c r="A811" t="s">
        <v>838</v>
      </c>
      <c r="B811">
        <v>67</v>
      </c>
      <c r="C811" t="s">
        <v>24</v>
      </c>
      <c r="D811" t="s">
        <v>19</v>
      </c>
      <c r="E811" s="4">
        <v>45878</v>
      </c>
      <c r="F811" s="4">
        <v>45881</v>
      </c>
      <c r="G811" s="8">
        <v>3</v>
      </c>
      <c r="H811" t="s">
        <v>20</v>
      </c>
      <c r="I811">
        <v>0</v>
      </c>
      <c r="J811" t="s">
        <v>29</v>
      </c>
      <c r="K811" t="s">
        <v>17</v>
      </c>
      <c r="L811" s="6">
        <v>8529.8700000000008</v>
      </c>
      <c r="M811" t="str">
        <f>TEXT(Table1[[#This Row],[Admission_Date]], "mmm")</f>
        <v>Aug</v>
      </c>
      <c r="N811">
        <f>YEAR(Table1[[#This Row],[Admission_Date]])</f>
        <v>2025</v>
      </c>
      <c r="O811" t="str">
        <f>IF(Table1[[#This Row],[Age]]&lt;30, "Young Adult", IF(Table1[[#This Row],[Age]]&lt;60, "Adult", "Senior"))</f>
        <v>Senior</v>
      </c>
    </row>
    <row r="812" spans="1:15" x14ac:dyDescent="0.25">
      <c r="A812" t="s">
        <v>839</v>
      </c>
      <c r="B812">
        <v>89</v>
      </c>
      <c r="C812" t="s">
        <v>13</v>
      </c>
      <c r="D812" t="s">
        <v>34</v>
      </c>
      <c r="E812" s="4">
        <v>45934</v>
      </c>
      <c r="F812" s="4">
        <v>45944</v>
      </c>
      <c r="G812" s="8">
        <v>10</v>
      </c>
      <c r="H812" t="s">
        <v>20</v>
      </c>
      <c r="I812">
        <v>0</v>
      </c>
      <c r="J812" t="s">
        <v>16</v>
      </c>
      <c r="K812" t="s">
        <v>47</v>
      </c>
      <c r="L812" s="6">
        <v>4319.17</v>
      </c>
      <c r="M812" t="str">
        <f>TEXT(Table1[[#This Row],[Admission_Date]], "mmm")</f>
        <v>Oct</v>
      </c>
      <c r="N812">
        <f>YEAR(Table1[[#This Row],[Admission_Date]])</f>
        <v>2025</v>
      </c>
      <c r="O812" t="str">
        <f>IF(Table1[[#This Row],[Age]]&lt;30, "Young Adult", IF(Table1[[#This Row],[Age]]&lt;60, "Adult", "Senior"))</f>
        <v>Senior</v>
      </c>
    </row>
    <row r="813" spans="1:15" x14ac:dyDescent="0.25">
      <c r="A813" t="s">
        <v>840</v>
      </c>
      <c r="B813">
        <v>63</v>
      </c>
      <c r="C813" t="s">
        <v>24</v>
      </c>
      <c r="D813" t="s">
        <v>32</v>
      </c>
      <c r="E813" s="4">
        <v>45960</v>
      </c>
      <c r="F813" s="4">
        <v>45967</v>
      </c>
      <c r="G813" s="8">
        <v>7</v>
      </c>
      <c r="H813" t="s">
        <v>20</v>
      </c>
      <c r="I813">
        <v>0</v>
      </c>
      <c r="J813" t="s">
        <v>16</v>
      </c>
      <c r="K813" t="s">
        <v>22</v>
      </c>
      <c r="L813" s="6">
        <v>9061.7199999999993</v>
      </c>
      <c r="M813" t="str">
        <f>TEXT(Table1[[#This Row],[Admission_Date]], "mmm")</f>
        <v>Oct</v>
      </c>
      <c r="N813">
        <f>YEAR(Table1[[#This Row],[Admission_Date]])</f>
        <v>2025</v>
      </c>
      <c r="O813" t="str">
        <f>IF(Table1[[#This Row],[Age]]&lt;30, "Young Adult", IF(Table1[[#This Row],[Age]]&lt;60, "Adult", "Senior"))</f>
        <v>Senior</v>
      </c>
    </row>
    <row r="814" spans="1:15" x14ac:dyDescent="0.25">
      <c r="A814" t="s">
        <v>841</v>
      </c>
      <c r="B814">
        <v>21</v>
      </c>
      <c r="C814" t="s">
        <v>24</v>
      </c>
      <c r="D814" t="s">
        <v>40</v>
      </c>
      <c r="E814" s="4">
        <v>45723</v>
      </c>
      <c r="F814" s="4">
        <v>45737</v>
      </c>
      <c r="G814" s="8">
        <v>14</v>
      </c>
      <c r="H814" t="s">
        <v>20</v>
      </c>
      <c r="I814">
        <v>0</v>
      </c>
      <c r="J814" t="s">
        <v>16</v>
      </c>
      <c r="K814" t="s">
        <v>47</v>
      </c>
      <c r="L814" s="6">
        <v>5504.57</v>
      </c>
      <c r="M814" t="str">
        <f>TEXT(Table1[[#This Row],[Admission_Date]], "mmm")</f>
        <v>Mar</v>
      </c>
      <c r="N814">
        <f>YEAR(Table1[[#This Row],[Admission_Date]])</f>
        <v>2025</v>
      </c>
      <c r="O814" t="str">
        <f>IF(Table1[[#This Row],[Age]]&lt;30, "Young Adult", IF(Table1[[#This Row],[Age]]&lt;60, "Adult", "Senior"))</f>
        <v>Young Adult</v>
      </c>
    </row>
    <row r="815" spans="1:15" x14ac:dyDescent="0.25">
      <c r="A815" t="s">
        <v>842</v>
      </c>
      <c r="B815">
        <v>49</v>
      </c>
      <c r="C815" t="s">
        <v>13</v>
      </c>
      <c r="D815" t="s">
        <v>14</v>
      </c>
      <c r="E815" s="4">
        <v>45840</v>
      </c>
      <c r="F815" s="4">
        <v>45847</v>
      </c>
      <c r="G815" s="8">
        <v>7</v>
      </c>
      <c r="H815" t="s">
        <v>20</v>
      </c>
      <c r="I815">
        <v>0</v>
      </c>
      <c r="J815" t="s">
        <v>25</v>
      </c>
      <c r="K815" t="s">
        <v>17</v>
      </c>
      <c r="L815" s="6">
        <v>1731.66</v>
      </c>
      <c r="M815" t="str">
        <f>TEXT(Table1[[#This Row],[Admission_Date]], "mmm")</f>
        <v>Jul</v>
      </c>
      <c r="N815">
        <f>YEAR(Table1[[#This Row],[Admission_Date]])</f>
        <v>2025</v>
      </c>
      <c r="O815" t="str">
        <f>IF(Table1[[#This Row],[Age]]&lt;30, "Young Adult", IF(Table1[[#This Row],[Age]]&lt;60, "Adult", "Senior"))</f>
        <v>Adult</v>
      </c>
    </row>
    <row r="816" spans="1:15" x14ac:dyDescent="0.25">
      <c r="A816" t="s">
        <v>843</v>
      </c>
      <c r="B816">
        <v>32</v>
      </c>
      <c r="C816" t="s">
        <v>24</v>
      </c>
      <c r="D816" t="s">
        <v>14</v>
      </c>
      <c r="E816" s="4">
        <v>46010</v>
      </c>
      <c r="F816" s="4">
        <v>46012</v>
      </c>
      <c r="G816" s="8">
        <v>2</v>
      </c>
      <c r="H816" t="s">
        <v>20</v>
      </c>
      <c r="I816">
        <v>0</v>
      </c>
      <c r="J816" t="s">
        <v>16</v>
      </c>
      <c r="K816" t="s">
        <v>17</v>
      </c>
      <c r="L816" s="6">
        <v>5228.6899999999996</v>
      </c>
      <c r="M816" t="str">
        <f>TEXT(Table1[[#This Row],[Admission_Date]], "mmm")</f>
        <v>Dec</v>
      </c>
      <c r="N816">
        <f>YEAR(Table1[[#This Row],[Admission_Date]])</f>
        <v>2025</v>
      </c>
      <c r="O816" t="str">
        <f>IF(Table1[[#This Row],[Age]]&lt;30, "Young Adult", IF(Table1[[#This Row],[Age]]&lt;60, "Adult", "Senior"))</f>
        <v>Adult</v>
      </c>
    </row>
    <row r="817" spans="1:15" x14ac:dyDescent="0.25">
      <c r="A817" t="s">
        <v>844</v>
      </c>
      <c r="B817">
        <v>90</v>
      </c>
      <c r="C817" t="s">
        <v>24</v>
      </c>
      <c r="D817" t="s">
        <v>32</v>
      </c>
      <c r="E817" s="4">
        <v>45893</v>
      </c>
      <c r="F817" s="4">
        <v>45904</v>
      </c>
      <c r="G817" s="8">
        <v>11</v>
      </c>
      <c r="H817" t="s">
        <v>20</v>
      </c>
      <c r="I817">
        <v>0</v>
      </c>
      <c r="J817" t="s">
        <v>16</v>
      </c>
      <c r="K817" t="s">
        <v>17</v>
      </c>
      <c r="L817" s="6">
        <v>7310.65</v>
      </c>
      <c r="M817" t="str">
        <f>TEXT(Table1[[#This Row],[Admission_Date]], "mmm")</f>
        <v>Aug</v>
      </c>
      <c r="N817">
        <f>YEAR(Table1[[#This Row],[Admission_Date]])</f>
        <v>2025</v>
      </c>
      <c r="O817" t="str">
        <f>IF(Table1[[#This Row],[Age]]&lt;30, "Young Adult", IF(Table1[[#This Row],[Age]]&lt;60, "Adult", "Senior"))</f>
        <v>Senior</v>
      </c>
    </row>
    <row r="818" spans="1:15" x14ac:dyDescent="0.25">
      <c r="A818" t="s">
        <v>845</v>
      </c>
      <c r="B818">
        <v>67</v>
      </c>
      <c r="C818" t="s">
        <v>24</v>
      </c>
      <c r="D818" t="s">
        <v>34</v>
      </c>
      <c r="E818" s="4">
        <v>45669</v>
      </c>
      <c r="F818" s="4">
        <v>45675</v>
      </c>
      <c r="G818" s="8">
        <v>6</v>
      </c>
      <c r="H818" t="s">
        <v>20</v>
      </c>
      <c r="I818">
        <v>0</v>
      </c>
      <c r="J818" t="s">
        <v>16</v>
      </c>
      <c r="K818" t="s">
        <v>47</v>
      </c>
      <c r="L818" s="6">
        <v>1950.82</v>
      </c>
      <c r="M818" t="str">
        <f>TEXT(Table1[[#This Row],[Admission_Date]], "mmm")</f>
        <v>Jan</v>
      </c>
      <c r="N818">
        <f>YEAR(Table1[[#This Row],[Admission_Date]])</f>
        <v>2025</v>
      </c>
      <c r="O818" t="str">
        <f>IF(Table1[[#This Row],[Age]]&lt;30, "Young Adult", IF(Table1[[#This Row],[Age]]&lt;60, "Adult", "Senior"))</f>
        <v>Senior</v>
      </c>
    </row>
    <row r="819" spans="1:15" x14ac:dyDescent="0.25">
      <c r="A819" t="s">
        <v>846</v>
      </c>
      <c r="B819">
        <v>82</v>
      </c>
      <c r="C819" t="s">
        <v>24</v>
      </c>
      <c r="D819" t="s">
        <v>14</v>
      </c>
      <c r="E819" s="4">
        <v>46003</v>
      </c>
      <c r="F819" s="4">
        <v>46007</v>
      </c>
      <c r="G819" s="8">
        <v>4</v>
      </c>
      <c r="H819" t="s">
        <v>20</v>
      </c>
      <c r="I819">
        <v>0</v>
      </c>
      <c r="J819" t="s">
        <v>25</v>
      </c>
      <c r="K819" t="s">
        <v>47</v>
      </c>
      <c r="L819" s="6">
        <v>14556.7</v>
      </c>
      <c r="M819" t="str">
        <f>TEXT(Table1[[#This Row],[Admission_Date]], "mmm")</f>
        <v>Dec</v>
      </c>
      <c r="N819">
        <f>YEAR(Table1[[#This Row],[Admission_Date]])</f>
        <v>2025</v>
      </c>
      <c r="O819" t="str">
        <f>IF(Table1[[#This Row],[Age]]&lt;30, "Young Adult", IF(Table1[[#This Row],[Age]]&lt;60, "Adult", "Senior"))</f>
        <v>Senior</v>
      </c>
    </row>
    <row r="820" spans="1:15" x14ac:dyDescent="0.25">
      <c r="A820" t="s">
        <v>847</v>
      </c>
      <c r="B820">
        <v>27</v>
      </c>
      <c r="C820" t="s">
        <v>13</v>
      </c>
      <c r="D820" t="s">
        <v>32</v>
      </c>
      <c r="E820" s="4">
        <v>45761</v>
      </c>
      <c r="F820" s="4">
        <v>45769</v>
      </c>
      <c r="G820" s="8">
        <v>8</v>
      </c>
      <c r="H820" t="s">
        <v>20</v>
      </c>
      <c r="I820">
        <v>0</v>
      </c>
      <c r="J820" t="s">
        <v>25</v>
      </c>
      <c r="K820" t="s">
        <v>22</v>
      </c>
      <c r="L820" s="6">
        <v>4811.1400000000003</v>
      </c>
      <c r="M820" t="str">
        <f>TEXT(Table1[[#This Row],[Admission_Date]], "mmm")</f>
        <v>Apr</v>
      </c>
      <c r="N820">
        <f>YEAR(Table1[[#This Row],[Admission_Date]])</f>
        <v>2025</v>
      </c>
      <c r="O820" t="str">
        <f>IF(Table1[[#This Row],[Age]]&lt;30, "Young Adult", IF(Table1[[#This Row],[Age]]&lt;60, "Adult", "Senior"))</f>
        <v>Young Adult</v>
      </c>
    </row>
    <row r="821" spans="1:15" x14ac:dyDescent="0.25">
      <c r="A821" t="s">
        <v>848</v>
      </c>
      <c r="B821">
        <v>29</v>
      </c>
      <c r="C821" t="s">
        <v>13</v>
      </c>
      <c r="D821" t="s">
        <v>34</v>
      </c>
      <c r="E821" s="4">
        <v>45951</v>
      </c>
      <c r="F821" s="4">
        <v>45958</v>
      </c>
      <c r="G821" s="8">
        <v>7</v>
      </c>
      <c r="H821" t="s">
        <v>20</v>
      </c>
      <c r="I821">
        <v>0</v>
      </c>
      <c r="J821" t="s">
        <v>25</v>
      </c>
      <c r="K821" t="s">
        <v>47</v>
      </c>
      <c r="L821" s="6">
        <v>1475.41</v>
      </c>
      <c r="M821" t="str">
        <f>TEXT(Table1[[#This Row],[Admission_Date]], "mmm")</f>
        <v>Oct</v>
      </c>
      <c r="N821">
        <f>YEAR(Table1[[#This Row],[Admission_Date]])</f>
        <v>2025</v>
      </c>
      <c r="O821" t="str">
        <f>IF(Table1[[#This Row],[Age]]&lt;30, "Young Adult", IF(Table1[[#This Row],[Age]]&lt;60, "Adult", "Senior"))</f>
        <v>Young Adult</v>
      </c>
    </row>
    <row r="822" spans="1:15" x14ac:dyDescent="0.25">
      <c r="A822" t="s">
        <v>849</v>
      </c>
      <c r="B822">
        <v>62</v>
      </c>
      <c r="C822" t="s">
        <v>13</v>
      </c>
      <c r="D822" t="s">
        <v>28</v>
      </c>
      <c r="E822" s="4">
        <v>45929</v>
      </c>
      <c r="F822" s="4">
        <v>45937</v>
      </c>
      <c r="G822" s="8">
        <v>8</v>
      </c>
      <c r="H822" t="s">
        <v>20</v>
      </c>
      <c r="I822">
        <v>0</v>
      </c>
      <c r="J822" t="s">
        <v>25</v>
      </c>
      <c r="K822" t="s">
        <v>17</v>
      </c>
      <c r="L822" s="6">
        <v>12159.84</v>
      </c>
      <c r="M822" t="str">
        <f>TEXT(Table1[[#This Row],[Admission_Date]], "mmm")</f>
        <v>Sep</v>
      </c>
      <c r="N822">
        <f>YEAR(Table1[[#This Row],[Admission_Date]])</f>
        <v>2025</v>
      </c>
      <c r="O822" t="str">
        <f>IF(Table1[[#This Row],[Age]]&lt;30, "Young Adult", IF(Table1[[#This Row],[Age]]&lt;60, "Adult", "Senior"))</f>
        <v>Senior</v>
      </c>
    </row>
    <row r="823" spans="1:15" x14ac:dyDescent="0.25">
      <c r="A823" t="s">
        <v>850</v>
      </c>
      <c r="B823">
        <v>43</v>
      </c>
      <c r="C823" t="s">
        <v>24</v>
      </c>
      <c r="D823" t="s">
        <v>40</v>
      </c>
      <c r="E823" s="4">
        <v>45879</v>
      </c>
      <c r="F823" s="4">
        <v>45890</v>
      </c>
      <c r="G823" s="8">
        <v>11</v>
      </c>
      <c r="H823" t="s">
        <v>20</v>
      </c>
      <c r="I823">
        <v>0</v>
      </c>
      <c r="J823" t="s">
        <v>25</v>
      </c>
      <c r="K823" t="s">
        <v>17</v>
      </c>
      <c r="L823" s="6">
        <v>7972.85</v>
      </c>
      <c r="M823" t="str">
        <f>TEXT(Table1[[#This Row],[Admission_Date]], "mmm")</f>
        <v>Aug</v>
      </c>
      <c r="N823">
        <f>YEAR(Table1[[#This Row],[Admission_Date]])</f>
        <v>2025</v>
      </c>
      <c r="O823" t="str">
        <f>IF(Table1[[#This Row],[Age]]&lt;30, "Young Adult", IF(Table1[[#This Row],[Age]]&lt;60, "Adult", "Senior"))</f>
        <v>Adult</v>
      </c>
    </row>
    <row r="824" spans="1:15" x14ac:dyDescent="0.25">
      <c r="A824" t="s">
        <v>851</v>
      </c>
      <c r="B824">
        <v>20</v>
      </c>
      <c r="C824" t="s">
        <v>13</v>
      </c>
      <c r="D824" t="s">
        <v>34</v>
      </c>
      <c r="E824" s="4">
        <v>46001</v>
      </c>
      <c r="F824" s="4">
        <v>46014</v>
      </c>
      <c r="G824" s="8">
        <v>13</v>
      </c>
      <c r="H824" t="s">
        <v>20</v>
      </c>
      <c r="I824">
        <v>0</v>
      </c>
      <c r="J824" t="s">
        <v>29</v>
      </c>
      <c r="K824" t="s">
        <v>22</v>
      </c>
      <c r="L824" s="6">
        <v>10081.69</v>
      </c>
      <c r="M824" t="str">
        <f>TEXT(Table1[[#This Row],[Admission_Date]], "mmm")</f>
        <v>Dec</v>
      </c>
      <c r="N824">
        <f>YEAR(Table1[[#This Row],[Admission_Date]])</f>
        <v>2025</v>
      </c>
      <c r="O824" t="str">
        <f>IF(Table1[[#This Row],[Age]]&lt;30, "Young Adult", IF(Table1[[#This Row],[Age]]&lt;60, "Adult", "Senior"))</f>
        <v>Young Adult</v>
      </c>
    </row>
    <row r="825" spans="1:15" x14ac:dyDescent="0.25">
      <c r="A825" t="s">
        <v>852</v>
      </c>
      <c r="B825">
        <v>86</v>
      </c>
      <c r="C825" t="s">
        <v>24</v>
      </c>
      <c r="D825" t="s">
        <v>34</v>
      </c>
      <c r="E825" s="4">
        <v>45897</v>
      </c>
      <c r="F825" s="4">
        <v>45902</v>
      </c>
      <c r="G825" s="8">
        <v>5</v>
      </c>
      <c r="H825" t="s">
        <v>20</v>
      </c>
      <c r="I825">
        <v>0</v>
      </c>
      <c r="J825" t="s">
        <v>16</v>
      </c>
      <c r="K825" t="s">
        <v>17</v>
      </c>
      <c r="L825" s="6">
        <v>3409.4</v>
      </c>
      <c r="M825" t="str">
        <f>TEXT(Table1[[#This Row],[Admission_Date]], "mmm")</f>
        <v>Aug</v>
      </c>
      <c r="N825">
        <f>YEAR(Table1[[#This Row],[Admission_Date]])</f>
        <v>2025</v>
      </c>
      <c r="O825" t="str">
        <f>IF(Table1[[#This Row],[Age]]&lt;30, "Young Adult", IF(Table1[[#This Row],[Age]]&lt;60, "Adult", "Senior"))</f>
        <v>Senior</v>
      </c>
    </row>
    <row r="826" spans="1:15" x14ac:dyDescent="0.25">
      <c r="A826" t="s">
        <v>853</v>
      </c>
      <c r="B826">
        <v>56</v>
      </c>
      <c r="C826" t="s">
        <v>24</v>
      </c>
      <c r="D826" t="s">
        <v>40</v>
      </c>
      <c r="E826" s="4">
        <v>45894</v>
      </c>
      <c r="F826" s="4">
        <v>45897</v>
      </c>
      <c r="G826" s="8">
        <v>3</v>
      </c>
      <c r="H826" t="s">
        <v>15</v>
      </c>
      <c r="I826">
        <v>11</v>
      </c>
      <c r="J826" t="s">
        <v>16</v>
      </c>
      <c r="K826" t="s">
        <v>17</v>
      </c>
      <c r="L826" s="6">
        <v>3451.59</v>
      </c>
      <c r="M826" t="str">
        <f>TEXT(Table1[[#This Row],[Admission_Date]], "mmm")</f>
        <v>Aug</v>
      </c>
      <c r="N826">
        <f>YEAR(Table1[[#This Row],[Admission_Date]])</f>
        <v>2025</v>
      </c>
      <c r="O826" t="str">
        <f>IF(Table1[[#This Row],[Age]]&lt;30, "Young Adult", IF(Table1[[#This Row],[Age]]&lt;60, "Adult", "Senior"))</f>
        <v>Adult</v>
      </c>
    </row>
    <row r="827" spans="1:15" x14ac:dyDescent="0.25">
      <c r="A827" t="s">
        <v>854</v>
      </c>
      <c r="B827">
        <v>38</v>
      </c>
      <c r="C827" t="s">
        <v>24</v>
      </c>
      <c r="D827" t="s">
        <v>28</v>
      </c>
      <c r="E827" s="4">
        <v>45869</v>
      </c>
      <c r="F827" s="4">
        <v>45874</v>
      </c>
      <c r="G827" s="8">
        <v>5</v>
      </c>
      <c r="H827" t="s">
        <v>20</v>
      </c>
      <c r="I827">
        <v>0</v>
      </c>
      <c r="J827" t="s">
        <v>21</v>
      </c>
      <c r="K827" t="s">
        <v>47</v>
      </c>
      <c r="L827" s="6">
        <v>3958.01</v>
      </c>
      <c r="M827" t="str">
        <f>TEXT(Table1[[#This Row],[Admission_Date]], "mmm")</f>
        <v>Jul</v>
      </c>
      <c r="N827">
        <f>YEAR(Table1[[#This Row],[Admission_Date]])</f>
        <v>2025</v>
      </c>
      <c r="O827" t="str">
        <f>IF(Table1[[#This Row],[Age]]&lt;30, "Young Adult", IF(Table1[[#This Row],[Age]]&lt;60, "Adult", "Senior"))</f>
        <v>Adult</v>
      </c>
    </row>
    <row r="828" spans="1:15" x14ac:dyDescent="0.25">
      <c r="A828" t="s">
        <v>855</v>
      </c>
      <c r="B828">
        <v>57</v>
      </c>
      <c r="C828" t="s">
        <v>24</v>
      </c>
      <c r="D828" t="s">
        <v>40</v>
      </c>
      <c r="E828" s="4">
        <v>45734</v>
      </c>
      <c r="F828" s="4">
        <v>45738</v>
      </c>
      <c r="G828" s="8">
        <v>4</v>
      </c>
      <c r="H828" t="s">
        <v>15</v>
      </c>
      <c r="I828">
        <v>18</v>
      </c>
      <c r="J828" t="s">
        <v>29</v>
      </c>
      <c r="K828" t="s">
        <v>47</v>
      </c>
      <c r="L828" s="6">
        <v>9880.3700000000008</v>
      </c>
      <c r="M828" t="str">
        <f>TEXT(Table1[[#This Row],[Admission_Date]], "mmm")</f>
        <v>Mar</v>
      </c>
      <c r="N828">
        <f>YEAR(Table1[[#This Row],[Admission_Date]])</f>
        <v>2025</v>
      </c>
      <c r="O828" t="str">
        <f>IF(Table1[[#This Row],[Age]]&lt;30, "Young Adult", IF(Table1[[#This Row],[Age]]&lt;60, "Adult", "Senior"))</f>
        <v>Adult</v>
      </c>
    </row>
    <row r="829" spans="1:15" x14ac:dyDescent="0.25">
      <c r="A829" t="s">
        <v>856</v>
      </c>
      <c r="B829">
        <v>35</v>
      </c>
      <c r="C829" t="s">
        <v>13</v>
      </c>
      <c r="D829" t="s">
        <v>32</v>
      </c>
      <c r="E829" s="4">
        <v>45676</v>
      </c>
      <c r="F829" s="4">
        <v>45680</v>
      </c>
      <c r="G829" s="8">
        <v>4</v>
      </c>
      <c r="H829" t="s">
        <v>15</v>
      </c>
      <c r="I829">
        <v>26</v>
      </c>
      <c r="J829" t="s">
        <v>25</v>
      </c>
      <c r="K829" t="s">
        <v>17</v>
      </c>
      <c r="L829" s="6">
        <v>8485.24</v>
      </c>
      <c r="M829" t="str">
        <f>TEXT(Table1[[#This Row],[Admission_Date]], "mmm")</f>
        <v>Jan</v>
      </c>
      <c r="N829">
        <f>YEAR(Table1[[#This Row],[Admission_Date]])</f>
        <v>2025</v>
      </c>
      <c r="O829" t="str">
        <f>IF(Table1[[#This Row],[Age]]&lt;30, "Young Adult", IF(Table1[[#This Row],[Age]]&lt;60, "Adult", "Senior"))</f>
        <v>Adult</v>
      </c>
    </row>
    <row r="830" spans="1:15" x14ac:dyDescent="0.25">
      <c r="A830" t="s">
        <v>857</v>
      </c>
      <c r="B830">
        <v>80</v>
      </c>
      <c r="C830" t="s">
        <v>13</v>
      </c>
      <c r="D830" t="s">
        <v>19</v>
      </c>
      <c r="E830" s="4">
        <v>45987</v>
      </c>
      <c r="F830" s="4">
        <v>46001</v>
      </c>
      <c r="G830" s="8">
        <v>14</v>
      </c>
      <c r="H830" t="s">
        <v>15</v>
      </c>
      <c r="I830">
        <v>28</v>
      </c>
      <c r="J830" t="s">
        <v>16</v>
      </c>
      <c r="K830" t="s">
        <v>47</v>
      </c>
      <c r="L830" s="6">
        <v>9223.2000000000007</v>
      </c>
      <c r="M830" t="str">
        <f>TEXT(Table1[[#This Row],[Admission_Date]], "mmm")</f>
        <v>Nov</v>
      </c>
      <c r="N830">
        <f>YEAR(Table1[[#This Row],[Admission_Date]])</f>
        <v>2025</v>
      </c>
      <c r="O830" t="str">
        <f>IF(Table1[[#This Row],[Age]]&lt;30, "Young Adult", IF(Table1[[#This Row],[Age]]&lt;60, "Adult", "Senior"))</f>
        <v>Senior</v>
      </c>
    </row>
    <row r="831" spans="1:15" x14ac:dyDescent="0.25">
      <c r="A831" t="s">
        <v>858</v>
      </c>
      <c r="B831">
        <v>29</v>
      </c>
      <c r="C831" t="s">
        <v>24</v>
      </c>
      <c r="D831" t="s">
        <v>28</v>
      </c>
      <c r="E831" s="4">
        <v>45690</v>
      </c>
      <c r="F831" s="4">
        <v>45697</v>
      </c>
      <c r="G831" s="8">
        <v>7</v>
      </c>
      <c r="H831" t="s">
        <v>20</v>
      </c>
      <c r="I831">
        <v>0</v>
      </c>
      <c r="J831" t="s">
        <v>21</v>
      </c>
      <c r="K831" t="s">
        <v>22</v>
      </c>
      <c r="L831" s="6">
        <v>2123.02</v>
      </c>
      <c r="M831" t="str">
        <f>TEXT(Table1[[#This Row],[Admission_Date]], "mmm")</f>
        <v>Feb</v>
      </c>
      <c r="N831">
        <f>YEAR(Table1[[#This Row],[Admission_Date]])</f>
        <v>2025</v>
      </c>
      <c r="O831" t="str">
        <f>IF(Table1[[#This Row],[Age]]&lt;30, "Young Adult", IF(Table1[[#This Row],[Age]]&lt;60, "Adult", "Senior"))</f>
        <v>Young Adult</v>
      </c>
    </row>
    <row r="832" spans="1:15" x14ac:dyDescent="0.25">
      <c r="A832" t="s">
        <v>859</v>
      </c>
      <c r="B832">
        <v>85</v>
      </c>
      <c r="C832" t="s">
        <v>24</v>
      </c>
      <c r="D832" t="s">
        <v>40</v>
      </c>
      <c r="E832" s="4">
        <v>45914</v>
      </c>
      <c r="F832" s="4">
        <v>45916</v>
      </c>
      <c r="G832" s="8">
        <v>2</v>
      </c>
      <c r="H832" t="s">
        <v>20</v>
      </c>
      <c r="I832">
        <v>0</v>
      </c>
      <c r="J832" t="s">
        <v>16</v>
      </c>
      <c r="K832" t="s">
        <v>22</v>
      </c>
      <c r="L832" s="6">
        <v>9197.41</v>
      </c>
      <c r="M832" t="str">
        <f>TEXT(Table1[[#This Row],[Admission_Date]], "mmm")</f>
        <v>Sep</v>
      </c>
      <c r="N832">
        <f>YEAR(Table1[[#This Row],[Admission_Date]])</f>
        <v>2025</v>
      </c>
      <c r="O832" t="str">
        <f>IF(Table1[[#This Row],[Age]]&lt;30, "Young Adult", IF(Table1[[#This Row],[Age]]&lt;60, "Adult", "Senior"))</f>
        <v>Senior</v>
      </c>
    </row>
    <row r="833" spans="1:15" x14ac:dyDescent="0.25">
      <c r="A833" t="s">
        <v>860</v>
      </c>
      <c r="B833">
        <v>67</v>
      </c>
      <c r="C833" t="s">
        <v>13</v>
      </c>
      <c r="D833" t="s">
        <v>40</v>
      </c>
      <c r="E833" s="4">
        <v>45818</v>
      </c>
      <c r="F833" s="4">
        <v>45824</v>
      </c>
      <c r="G833" s="8">
        <v>6</v>
      </c>
      <c r="H833" t="s">
        <v>20</v>
      </c>
      <c r="I833">
        <v>0</v>
      </c>
      <c r="J833" t="s">
        <v>21</v>
      </c>
      <c r="K833" t="s">
        <v>22</v>
      </c>
      <c r="L833" s="6">
        <v>2048.8000000000002</v>
      </c>
      <c r="M833" t="str">
        <f>TEXT(Table1[[#This Row],[Admission_Date]], "mmm")</f>
        <v>Jun</v>
      </c>
      <c r="N833">
        <f>YEAR(Table1[[#This Row],[Admission_Date]])</f>
        <v>2025</v>
      </c>
      <c r="O833" t="str">
        <f>IF(Table1[[#This Row],[Age]]&lt;30, "Young Adult", IF(Table1[[#This Row],[Age]]&lt;60, "Adult", "Senior"))</f>
        <v>Senior</v>
      </c>
    </row>
    <row r="834" spans="1:15" x14ac:dyDescent="0.25">
      <c r="A834" t="s">
        <v>861</v>
      </c>
      <c r="B834">
        <v>50</v>
      </c>
      <c r="C834" t="s">
        <v>13</v>
      </c>
      <c r="D834" t="s">
        <v>40</v>
      </c>
      <c r="E834" s="4">
        <v>45767</v>
      </c>
      <c r="F834" s="4">
        <v>45772</v>
      </c>
      <c r="G834" s="8">
        <v>5</v>
      </c>
      <c r="H834" t="s">
        <v>20</v>
      </c>
      <c r="I834">
        <v>0</v>
      </c>
      <c r="J834" t="s">
        <v>25</v>
      </c>
      <c r="K834" t="s">
        <v>17</v>
      </c>
      <c r="L834" s="6">
        <v>14256.31</v>
      </c>
      <c r="M834" t="str">
        <f>TEXT(Table1[[#This Row],[Admission_Date]], "mmm")</f>
        <v>Apr</v>
      </c>
      <c r="N834">
        <f>YEAR(Table1[[#This Row],[Admission_Date]])</f>
        <v>2025</v>
      </c>
      <c r="O834" t="str">
        <f>IF(Table1[[#This Row],[Age]]&lt;30, "Young Adult", IF(Table1[[#This Row],[Age]]&lt;60, "Adult", "Senior"))</f>
        <v>Adult</v>
      </c>
    </row>
    <row r="835" spans="1:15" x14ac:dyDescent="0.25">
      <c r="A835" t="s">
        <v>862</v>
      </c>
      <c r="B835">
        <v>49</v>
      </c>
      <c r="C835" t="s">
        <v>24</v>
      </c>
      <c r="D835" t="s">
        <v>14</v>
      </c>
      <c r="E835" s="4">
        <v>45820</v>
      </c>
      <c r="F835" s="4">
        <v>45829</v>
      </c>
      <c r="G835" s="8">
        <v>9</v>
      </c>
      <c r="H835" t="s">
        <v>20</v>
      </c>
      <c r="I835">
        <v>0</v>
      </c>
      <c r="J835" t="s">
        <v>25</v>
      </c>
      <c r="K835" t="s">
        <v>47</v>
      </c>
      <c r="L835" s="6">
        <v>10877.23</v>
      </c>
      <c r="M835" t="str">
        <f>TEXT(Table1[[#This Row],[Admission_Date]], "mmm")</f>
        <v>Jun</v>
      </c>
      <c r="N835">
        <f>YEAR(Table1[[#This Row],[Admission_Date]])</f>
        <v>2025</v>
      </c>
      <c r="O835" t="str">
        <f>IF(Table1[[#This Row],[Age]]&lt;30, "Young Adult", IF(Table1[[#This Row],[Age]]&lt;60, "Adult", "Senior"))</f>
        <v>Adult</v>
      </c>
    </row>
    <row r="836" spans="1:15" x14ac:dyDescent="0.25">
      <c r="A836" t="s">
        <v>863</v>
      </c>
      <c r="B836">
        <v>22</v>
      </c>
      <c r="C836" t="s">
        <v>13</v>
      </c>
      <c r="D836" t="s">
        <v>28</v>
      </c>
      <c r="E836" s="4">
        <v>45815</v>
      </c>
      <c r="F836" s="4">
        <v>45816</v>
      </c>
      <c r="G836" s="8">
        <v>1</v>
      </c>
      <c r="H836" t="s">
        <v>20</v>
      </c>
      <c r="I836">
        <v>0</v>
      </c>
      <c r="J836" t="s">
        <v>21</v>
      </c>
      <c r="K836" t="s">
        <v>47</v>
      </c>
      <c r="L836" s="6">
        <v>8514.5499999999993</v>
      </c>
      <c r="M836" t="str">
        <f>TEXT(Table1[[#This Row],[Admission_Date]], "mmm")</f>
        <v>Jun</v>
      </c>
      <c r="N836">
        <f>YEAR(Table1[[#This Row],[Admission_Date]])</f>
        <v>2025</v>
      </c>
      <c r="O836" t="str">
        <f>IF(Table1[[#This Row],[Age]]&lt;30, "Young Adult", IF(Table1[[#This Row],[Age]]&lt;60, "Adult", "Senior"))</f>
        <v>Young Adult</v>
      </c>
    </row>
    <row r="837" spans="1:15" x14ac:dyDescent="0.25">
      <c r="A837" t="s">
        <v>864</v>
      </c>
      <c r="B837">
        <v>64</v>
      </c>
      <c r="C837" t="s">
        <v>13</v>
      </c>
      <c r="D837" t="s">
        <v>34</v>
      </c>
      <c r="E837" s="4">
        <v>45816</v>
      </c>
      <c r="F837" s="4">
        <v>45827</v>
      </c>
      <c r="G837" s="8">
        <v>11</v>
      </c>
      <c r="H837" t="s">
        <v>20</v>
      </c>
      <c r="I837">
        <v>0</v>
      </c>
      <c r="J837" t="s">
        <v>21</v>
      </c>
      <c r="K837" t="s">
        <v>47</v>
      </c>
      <c r="L837" s="6">
        <v>6132.83</v>
      </c>
      <c r="M837" t="str">
        <f>TEXT(Table1[[#This Row],[Admission_Date]], "mmm")</f>
        <v>Jun</v>
      </c>
      <c r="N837">
        <f>YEAR(Table1[[#This Row],[Admission_Date]])</f>
        <v>2025</v>
      </c>
      <c r="O837" t="str">
        <f>IF(Table1[[#This Row],[Age]]&lt;30, "Young Adult", IF(Table1[[#This Row],[Age]]&lt;60, "Adult", "Senior"))</f>
        <v>Senior</v>
      </c>
    </row>
    <row r="838" spans="1:15" x14ac:dyDescent="0.25">
      <c r="A838" t="s">
        <v>865</v>
      </c>
      <c r="B838">
        <v>48</v>
      </c>
      <c r="C838" t="s">
        <v>24</v>
      </c>
      <c r="D838" t="s">
        <v>14</v>
      </c>
      <c r="E838" s="4">
        <v>45859</v>
      </c>
      <c r="F838" s="4">
        <v>45864</v>
      </c>
      <c r="G838" s="8">
        <v>5</v>
      </c>
      <c r="H838" t="s">
        <v>20</v>
      </c>
      <c r="I838">
        <v>0</v>
      </c>
      <c r="J838" t="s">
        <v>21</v>
      </c>
      <c r="K838" t="s">
        <v>47</v>
      </c>
      <c r="L838" s="6">
        <v>9654.61</v>
      </c>
      <c r="M838" t="str">
        <f>TEXT(Table1[[#This Row],[Admission_Date]], "mmm")</f>
        <v>Jul</v>
      </c>
      <c r="N838">
        <f>YEAR(Table1[[#This Row],[Admission_Date]])</f>
        <v>2025</v>
      </c>
      <c r="O838" t="str">
        <f>IF(Table1[[#This Row],[Age]]&lt;30, "Young Adult", IF(Table1[[#This Row],[Age]]&lt;60, "Adult", "Senior"))</f>
        <v>Adult</v>
      </c>
    </row>
    <row r="839" spans="1:15" x14ac:dyDescent="0.25">
      <c r="A839" t="s">
        <v>866</v>
      </c>
      <c r="B839">
        <v>53</v>
      </c>
      <c r="C839" t="s">
        <v>13</v>
      </c>
      <c r="D839" t="s">
        <v>40</v>
      </c>
      <c r="E839" s="4">
        <v>45987</v>
      </c>
      <c r="F839" s="4">
        <v>45994</v>
      </c>
      <c r="G839" s="8">
        <v>7</v>
      </c>
      <c r="H839" t="s">
        <v>20</v>
      </c>
      <c r="I839">
        <v>0</v>
      </c>
      <c r="J839" t="s">
        <v>29</v>
      </c>
      <c r="K839" t="s">
        <v>17</v>
      </c>
      <c r="L839" s="6">
        <v>6487.94</v>
      </c>
      <c r="M839" t="str">
        <f>TEXT(Table1[[#This Row],[Admission_Date]], "mmm")</f>
        <v>Nov</v>
      </c>
      <c r="N839">
        <f>YEAR(Table1[[#This Row],[Admission_Date]])</f>
        <v>2025</v>
      </c>
      <c r="O839" t="str">
        <f>IF(Table1[[#This Row],[Age]]&lt;30, "Young Adult", IF(Table1[[#This Row],[Age]]&lt;60, "Adult", "Senior"))</f>
        <v>Adult</v>
      </c>
    </row>
    <row r="840" spans="1:15" x14ac:dyDescent="0.25">
      <c r="A840" t="s">
        <v>867</v>
      </c>
      <c r="B840">
        <v>30</v>
      </c>
      <c r="C840" t="s">
        <v>13</v>
      </c>
      <c r="D840" t="s">
        <v>28</v>
      </c>
      <c r="E840" s="4">
        <v>45828</v>
      </c>
      <c r="F840" s="4">
        <v>45840</v>
      </c>
      <c r="G840" s="8">
        <v>12</v>
      </c>
      <c r="H840" t="s">
        <v>20</v>
      </c>
      <c r="I840">
        <v>0</v>
      </c>
      <c r="J840" t="s">
        <v>25</v>
      </c>
      <c r="K840" t="s">
        <v>17</v>
      </c>
      <c r="L840" s="6">
        <v>1462.32</v>
      </c>
      <c r="M840" t="str">
        <f>TEXT(Table1[[#This Row],[Admission_Date]], "mmm")</f>
        <v>Jun</v>
      </c>
      <c r="N840">
        <f>YEAR(Table1[[#This Row],[Admission_Date]])</f>
        <v>2025</v>
      </c>
      <c r="O840" t="str">
        <f>IF(Table1[[#This Row],[Age]]&lt;30, "Young Adult", IF(Table1[[#This Row],[Age]]&lt;60, "Adult", "Senior"))</f>
        <v>Adult</v>
      </c>
    </row>
    <row r="841" spans="1:15" x14ac:dyDescent="0.25">
      <c r="A841" t="s">
        <v>868</v>
      </c>
      <c r="B841">
        <v>88</v>
      </c>
      <c r="C841" t="s">
        <v>24</v>
      </c>
      <c r="D841" t="s">
        <v>40</v>
      </c>
      <c r="E841" s="4">
        <v>45873</v>
      </c>
      <c r="F841" s="4">
        <v>45883</v>
      </c>
      <c r="G841" s="8">
        <v>10</v>
      </c>
      <c r="H841" t="s">
        <v>20</v>
      </c>
      <c r="I841">
        <v>0</v>
      </c>
      <c r="J841" t="s">
        <v>16</v>
      </c>
      <c r="K841" t="s">
        <v>22</v>
      </c>
      <c r="L841" s="6">
        <v>9799.91</v>
      </c>
      <c r="M841" t="str">
        <f>TEXT(Table1[[#This Row],[Admission_Date]], "mmm")</f>
        <v>Aug</v>
      </c>
      <c r="N841">
        <f>YEAR(Table1[[#This Row],[Admission_Date]])</f>
        <v>2025</v>
      </c>
      <c r="O841" t="str">
        <f>IF(Table1[[#This Row],[Age]]&lt;30, "Young Adult", IF(Table1[[#This Row],[Age]]&lt;60, "Adult", "Senior"))</f>
        <v>Senior</v>
      </c>
    </row>
    <row r="842" spans="1:15" x14ac:dyDescent="0.25">
      <c r="A842" t="s">
        <v>869</v>
      </c>
      <c r="B842">
        <v>35</v>
      </c>
      <c r="C842" t="s">
        <v>13</v>
      </c>
      <c r="D842" t="s">
        <v>40</v>
      </c>
      <c r="E842" s="4">
        <v>45752</v>
      </c>
      <c r="F842" s="4">
        <v>45763</v>
      </c>
      <c r="G842" s="8">
        <v>11</v>
      </c>
      <c r="H842" t="s">
        <v>20</v>
      </c>
      <c r="I842">
        <v>0</v>
      </c>
      <c r="J842" t="s">
        <v>21</v>
      </c>
      <c r="K842" t="s">
        <v>17</v>
      </c>
      <c r="L842" s="6">
        <v>4930.4399999999996</v>
      </c>
      <c r="M842" t="str">
        <f>TEXT(Table1[[#This Row],[Admission_Date]], "mmm")</f>
        <v>Apr</v>
      </c>
      <c r="N842">
        <f>YEAR(Table1[[#This Row],[Admission_Date]])</f>
        <v>2025</v>
      </c>
      <c r="O842" t="str">
        <f>IF(Table1[[#This Row],[Age]]&lt;30, "Young Adult", IF(Table1[[#This Row],[Age]]&lt;60, "Adult", "Senior"))</f>
        <v>Adult</v>
      </c>
    </row>
    <row r="843" spans="1:15" x14ac:dyDescent="0.25">
      <c r="A843" t="s">
        <v>870</v>
      </c>
      <c r="B843">
        <v>49</v>
      </c>
      <c r="C843" t="s">
        <v>13</v>
      </c>
      <c r="D843" t="s">
        <v>34</v>
      </c>
      <c r="E843" s="4">
        <v>45952</v>
      </c>
      <c r="F843" s="4">
        <v>45954</v>
      </c>
      <c r="G843" s="8">
        <v>2</v>
      </c>
      <c r="H843" t="s">
        <v>15</v>
      </c>
      <c r="I843">
        <v>22</v>
      </c>
      <c r="J843" t="s">
        <v>29</v>
      </c>
      <c r="K843" t="s">
        <v>47</v>
      </c>
      <c r="L843" s="6">
        <v>7046.6</v>
      </c>
      <c r="M843" t="str">
        <f>TEXT(Table1[[#This Row],[Admission_Date]], "mmm")</f>
        <v>Oct</v>
      </c>
      <c r="N843">
        <f>YEAR(Table1[[#This Row],[Admission_Date]])</f>
        <v>2025</v>
      </c>
      <c r="O843" t="str">
        <f>IF(Table1[[#This Row],[Age]]&lt;30, "Young Adult", IF(Table1[[#This Row],[Age]]&lt;60, "Adult", "Senior"))</f>
        <v>Adult</v>
      </c>
    </row>
    <row r="844" spans="1:15" x14ac:dyDescent="0.25">
      <c r="A844" t="s">
        <v>871</v>
      </c>
      <c r="B844">
        <v>59</v>
      </c>
      <c r="C844" t="s">
        <v>24</v>
      </c>
      <c r="D844" t="s">
        <v>14</v>
      </c>
      <c r="E844" s="4">
        <v>45726</v>
      </c>
      <c r="F844" s="4">
        <v>45731</v>
      </c>
      <c r="G844" s="8">
        <v>5</v>
      </c>
      <c r="H844" t="s">
        <v>15</v>
      </c>
      <c r="I844">
        <v>3</v>
      </c>
      <c r="J844" t="s">
        <v>29</v>
      </c>
      <c r="K844" t="s">
        <v>47</v>
      </c>
      <c r="L844" s="6">
        <v>3137.39</v>
      </c>
      <c r="M844" t="str">
        <f>TEXT(Table1[[#This Row],[Admission_Date]], "mmm")</f>
        <v>Mar</v>
      </c>
      <c r="N844">
        <f>YEAR(Table1[[#This Row],[Admission_Date]])</f>
        <v>2025</v>
      </c>
      <c r="O844" t="str">
        <f>IF(Table1[[#This Row],[Age]]&lt;30, "Young Adult", IF(Table1[[#This Row],[Age]]&lt;60, "Adult", "Senior"))</f>
        <v>Adult</v>
      </c>
    </row>
    <row r="845" spans="1:15" x14ac:dyDescent="0.25">
      <c r="A845" t="s">
        <v>872</v>
      </c>
      <c r="B845">
        <v>46</v>
      </c>
      <c r="C845" t="s">
        <v>13</v>
      </c>
      <c r="D845" t="s">
        <v>19</v>
      </c>
      <c r="E845" s="4">
        <v>45851</v>
      </c>
      <c r="F845" s="4">
        <v>45865</v>
      </c>
      <c r="G845" s="8">
        <v>14</v>
      </c>
      <c r="H845" t="s">
        <v>20</v>
      </c>
      <c r="I845">
        <v>0</v>
      </c>
      <c r="J845" t="s">
        <v>21</v>
      </c>
      <c r="K845" t="s">
        <v>22</v>
      </c>
      <c r="L845" s="6">
        <v>14624.85</v>
      </c>
      <c r="M845" t="str">
        <f>TEXT(Table1[[#This Row],[Admission_Date]], "mmm")</f>
        <v>Jul</v>
      </c>
      <c r="N845">
        <f>YEAR(Table1[[#This Row],[Admission_Date]])</f>
        <v>2025</v>
      </c>
      <c r="O845" t="str">
        <f>IF(Table1[[#This Row],[Age]]&lt;30, "Young Adult", IF(Table1[[#This Row],[Age]]&lt;60, "Adult", "Senior"))</f>
        <v>Adult</v>
      </c>
    </row>
    <row r="846" spans="1:15" x14ac:dyDescent="0.25">
      <c r="A846" t="s">
        <v>873</v>
      </c>
      <c r="B846">
        <v>39</v>
      </c>
      <c r="C846" t="s">
        <v>13</v>
      </c>
      <c r="D846" t="s">
        <v>40</v>
      </c>
      <c r="E846" s="4">
        <v>45759</v>
      </c>
      <c r="F846" s="4">
        <v>45764</v>
      </c>
      <c r="G846" s="8">
        <v>5</v>
      </c>
      <c r="H846" t="s">
        <v>20</v>
      </c>
      <c r="I846">
        <v>0</v>
      </c>
      <c r="J846" t="s">
        <v>29</v>
      </c>
      <c r="K846" t="s">
        <v>17</v>
      </c>
      <c r="L846" s="6">
        <v>4272.29</v>
      </c>
      <c r="M846" t="str">
        <f>TEXT(Table1[[#This Row],[Admission_Date]], "mmm")</f>
        <v>Apr</v>
      </c>
      <c r="N846">
        <f>YEAR(Table1[[#This Row],[Admission_Date]])</f>
        <v>2025</v>
      </c>
      <c r="O846" t="str">
        <f>IF(Table1[[#This Row],[Age]]&lt;30, "Young Adult", IF(Table1[[#This Row],[Age]]&lt;60, "Adult", "Senior"))</f>
        <v>Adult</v>
      </c>
    </row>
    <row r="847" spans="1:15" x14ac:dyDescent="0.25">
      <c r="A847" t="s">
        <v>874</v>
      </c>
      <c r="B847">
        <v>90</v>
      </c>
      <c r="C847" t="s">
        <v>13</v>
      </c>
      <c r="D847" t="s">
        <v>19</v>
      </c>
      <c r="E847" s="4">
        <v>45703</v>
      </c>
      <c r="F847" s="4">
        <v>45709</v>
      </c>
      <c r="G847" s="8">
        <v>6</v>
      </c>
      <c r="H847" t="s">
        <v>15</v>
      </c>
      <c r="I847">
        <v>23</v>
      </c>
      <c r="J847" t="s">
        <v>29</v>
      </c>
      <c r="K847" t="s">
        <v>47</v>
      </c>
      <c r="L847" s="6">
        <v>12495.23</v>
      </c>
      <c r="M847" t="str">
        <f>TEXT(Table1[[#This Row],[Admission_Date]], "mmm")</f>
        <v>Feb</v>
      </c>
      <c r="N847">
        <f>YEAR(Table1[[#This Row],[Admission_Date]])</f>
        <v>2025</v>
      </c>
      <c r="O847" t="str">
        <f>IF(Table1[[#This Row],[Age]]&lt;30, "Young Adult", IF(Table1[[#This Row],[Age]]&lt;60, "Adult", "Senior"))</f>
        <v>Senior</v>
      </c>
    </row>
    <row r="848" spans="1:15" x14ac:dyDescent="0.25">
      <c r="A848" t="s">
        <v>875</v>
      </c>
      <c r="B848">
        <v>44</v>
      </c>
      <c r="C848" t="s">
        <v>13</v>
      </c>
      <c r="D848" t="s">
        <v>32</v>
      </c>
      <c r="E848" s="4">
        <v>45911</v>
      </c>
      <c r="F848" s="4">
        <v>45913</v>
      </c>
      <c r="G848" s="8">
        <v>2</v>
      </c>
      <c r="H848" t="s">
        <v>15</v>
      </c>
      <c r="I848">
        <v>10</v>
      </c>
      <c r="J848" t="s">
        <v>29</v>
      </c>
      <c r="K848" t="s">
        <v>47</v>
      </c>
      <c r="L848" s="6">
        <v>2387.89</v>
      </c>
      <c r="M848" t="str">
        <f>TEXT(Table1[[#This Row],[Admission_Date]], "mmm")</f>
        <v>Sep</v>
      </c>
      <c r="N848">
        <f>YEAR(Table1[[#This Row],[Admission_Date]])</f>
        <v>2025</v>
      </c>
      <c r="O848" t="str">
        <f>IF(Table1[[#This Row],[Age]]&lt;30, "Young Adult", IF(Table1[[#This Row],[Age]]&lt;60, "Adult", "Senior"))</f>
        <v>Adult</v>
      </c>
    </row>
    <row r="849" spans="1:15" x14ac:dyDescent="0.25">
      <c r="A849" t="s">
        <v>876</v>
      </c>
      <c r="B849">
        <v>54</v>
      </c>
      <c r="C849" t="s">
        <v>13</v>
      </c>
      <c r="D849" t="s">
        <v>40</v>
      </c>
      <c r="E849" s="4">
        <v>45763</v>
      </c>
      <c r="F849" s="4">
        <v>45773</v>
      </c>
      <c r="G849" s="8">
        <v>10</v>
      </c>
      <c r="H849" t="s">
        <v>15</v>
      </c>
      <c r="I849">
        <v>6</v>
      </c>
      <c r="J849" t="s">
        <v>29</v>
      </c>
      <c r="K849" t="s">
        <v>22</v>
      </c>
      <c r="L849" s="6">
        <v>917.21</v>
      </c>
      <c r="M849" t="str">
        <f>TEXT(Table1[[#This Row],[Admission_Date]], "mmm")</f>
        <v>Apr</v>
      </c>
      <c r="N849">
        <f>YEAR(Table1[[#This Row],[Admission_Date]])</f>
        <v>2025</v>
      </c>
      <c r="O849" t="str">
        <f>IF(Table1[[#This Row],[Age]]&lt;30, "Young Adult", IF(Table1[[#This Row],[Age]]&lt;60, "Adult", "Senior"))</f>
        <v>Adult</v>
      </c>
    </row>
    <row r="850" spans="1:15" x14ac:dyDescent="0.25">
      <c r="A850" t="s">
        <v>877</v>
      </c>
      <c r="B850">
        <v>49</v>
      </c>
      <c r="C850" t="s">
        <v>24</v>
      </c>
      <c r="D850" t="s">
        <v>34</v>
      </c>
      <c r="E850" s="4">
        <v>45792</v>
      </c>
      <c r="F850" s="4">
        <v>45796</v>
      </c>
      <c r="G850" s="8">
        <v>4</v>
      </c>
      <c r="H850" t="s">
        <v>20</v>
      </c>
      <c r="I850">
        <v>0</v>
      </c>
      <c r="J850" t="s">
        <v>29</v>
      </c>
      <c r="K850" t="s">
        <v>22</v>
      </c>
      <c r="L850" s="6">
        <v>649.64</v>
      </c>
      <c r="M850" t="str">
        <f>TEXT(Table1[[#This Row],[Admission_Date]], "mmm")</f>
        <v>May</v>
      </c>
      <c r="N850">
        <f>YEAR(Table1[[#This Row],[Admission_Date]])</f>
        <v>2025</v>
      </c>
      <c r="O850" t="str">
        <f>IF(Table1[[#This Row],[Age]]&lt;30, "Young Adult", IF(Table1[[#This Row],[Age]]&lt;60, "Adult", "Senior"))</f>
        <v>Adult</v>
      </c>
    </row>
    <row r="851" spans="1:15" x14ac:dyDescent="0.25">
      <c r="A851" t="s">
        <v>878</v>
      </c>
      <c r="B851">
        <v>68</v>
      </c>
      <c r="C851" t="s">
        <v>13</v>
      </c>
      <c r="D851" t="s">
        <v>28</v>
      </c>
      <c r="E851" s="4">
        <v>45726</v>
      </c>
      <c r="F851" s="4">
        <v>45740</v>
      </c>
      <c r="G851" s="8">
        <v>14</v>
      </c>
      <c r="H851" t="s">
        <v>20</v>
      </c>
      <c r="I851">
        <v>0</v>
      </c>
      <c r="J851" t="s">
        <v>29</v>
      </c>
      <c r="K851" t="s">
        <v>17</v>
      </c>
      <c r="L851" s="6">
        <v>6637.72</v>
      </c>
      <c r="M851" t="str">
        <f>TEXT(Table1[[#This Row],[Admission_Date]], "mmm")</f>
        <v>Mar</v>
      </c>
      <c r="N851">
        <f>YEAR(Table1[[#This Row],[Admission_Date]])</f>
        <v>2025</v>
      </c>
      <c r="O851" t="str">
        <f>IF(Table1[[#This Row],[Age]]&lt;30, "Young Adult", IF(Table1[[#This Row],[Age]]&lt;60, "Adult", "Senior"))</f>
        <v>Senior</v>
      </c>
    </row>
    <row r="852" spans="1:15" x14ac:dyDescent="0.25">
      <c r="A852" t="s">
        <v>879</v>
      </c>
      <c r="B852">
        <v>89</v>
      </c>
      <c r="C852" t="s">
        <v>13</v>
      </c>
      <c r="D852" t="s">
        <v>19</v>
      </c>
      <c r="E852" s="4">
        <v>45963</v>
      </c>
      <c r="F852" s="4">
        <v>45968</v>
      </c>
      <c r="G852" s="8">
        <v>5</v>
      </c>
      <c r="H852" t="s">
        <v>15</v>
      </c>
      <c r="I852">
        <v>11</v>
      </c>
      <c r="J852" t="s">
        <v>21</v>
      </c>
      <c r="K852" t="s">
        <v>47</v>
      </c>
      <c r="L852" s="6">
        <v>13669.28</v>
      </c>
      <c r="M852" t="str">
        <f>TEXT(Table1[[#This Row],[Admission_Date]], "mmm")</f>
        <v>Nov</v>
      </c>
      <c r="N852">
        <f>YEAR(Table1[[#This Row],[Admission_Date]])</f>
        <v>2025</v>
      </c>
      <c r="O852" t="str">
        <f>IF(Table1[[#This Row],[Age]]&lt;30, "Young Adult", IF(Table1[[#This Row],[Age]]&lt;60, "Adult", "Senior"))</f>
        <v>Senior</v>
      </c>
    </row>
    <row r="853" spans="1:15" x14ac:dyDescent="0.25">
      <c r="A853" t="s">
        <v>880</v>
      </c>
      <c r="B853">
        <v>23</v>
      </c>
      <c r="C853" t="s">
        <v>13</v>
      </c>
      <c r="D853" t="s">
        <v>32</v>
      </c>
      <c r="E853" s="4">
        <v>45968</v>
      </c>
      <c r="F853" s="4">
        <v>45979</v>
      </c>
      <c r="G853" s="8">
        <v>11</v>
      </c>
      <c r="H853" t="s">
        <v>20</v>
      </c>
      <c r="I853">
        <v>0</v>
      </c>
      <c r="J853" t="s">
        <v>29</v>
      </c>
      <c r="K853" t="s">
        <v>47</v>
      </c>
      <c r="L853" s="6">
        <v>14674.1</v>
      </c>
      <c r="M853" t="str">
        <f>TEXT(Table1[[#This Row],[Admission_Date]], "mmm")</f>
        <v>Nov</v>
      </c>
      <c r="N853">
        <f>YEAR(Table1[[#This Row],[Admission_Date]])</f>
        <v>2025</v>
      </c>
      <c r="O853" t="str">
        <f>IF(Table1[[#This Row],[Age]]&lt;30, "Young Adult", IF(Table1[[#This Row],[Age]]&lt;60, "Adult", "Senior"))</f>
        <v>Young Adult</v>
      </c>
    </row>
    <row r="854" spans="1:15" x14ac:dyDescent="0.25">
      <c r="A854" t="s">
        <v>881</v>
      </c>
      <c r="B854">
        <v>89</v>
      </c>
      <c r="C854" t="s">
        <v>13</v>
      </c>
      <c r="D854" t="s">
        <v>34</v>
      </c>
      <c r="E854" s="4">
        <v>46001</v>
      </c>
      <c r="F854" s="4">
        <v>46007</v>
      </c>
      <c r="G854" s="8">
        <v>6</v>
      </c>
      <c r="H854" t="s">
        <v>15</v>
      </c>
      <c r="I854">
        <v>6</v>
      </c>
      <c r="J854" t="s">
        <v>25</v>
      </c>
      <c r="K854" t="s">
        <v>22</v>
      </c>
      <c r="L854" s="6">
        <v>7804.33</v>
      </c>
      <c r="M854" t="str">
        <f>TEXT(Table1[[#This Row],[Admission_Date]], "mmm")</f>
        <v>Dec</v>
      </c>
      <c r="N854">
        <f>YEAR(Table1[[#This Row],[Admission_Date]])</f>
        <v>2025</v>
      </c>
      <c r="O854" t="str">
        <f>IF(Table1[[#This Row],[Age]]&lt;30, "Young Adult", IF(Table1[[#This Row],[Age]]&lt;60, "Adult", "Senior"))</f>
        <v>Senior</v>
      </c>
    </row>
    <row r="855" spans="1:15" x14ac:dyDescent="0.25">
      <c r="A855" t="s">
        <v>882</v>
      </c>
      <c r="B855">
        <v>58</v>
      </c>
      <c r="C855" t="s">
        <v>24</v>
      </c>
      <c r="D855" t="s">
        <v>14</v>
      </c>
      <c r="E855" s="4">
        <v>45831</v>
      </c>
      <c r="F855" s="4">
        <v>45839</v>
      </c>
      <c r="G855" s="8">
        <v>8</v>
      </c>
      <c r="H855" t="s">
        <v>15</v>
      </c>
      <c r="I855">
        <v>9</v>
      </c>
      <c r="J855" t="s">
        <v>16</v>
      </c>
      <c r="K855" t="s">
        <v>47</v>
      </c>
      <c r="L855" s="6">
        <v>1140.3499999999999</v>
      </c>
      <c r="M855" t="str">
        <f>TEXT(Table1[[#This Row],[Admission_Date]], "mmm")</f>
        <v>Jun</v>
      </c>
      <c r="N855">
        <f>YEAR(Table1[[#This Row],[Admission_Date]])</f>
        <v>2025</v>
      </c>
      <c r="O855" t="str">
        <f>IF(Table1[[#This Row],[Age]]&lt;30, "Young Adult", IF(Table1[[#This Row],[Age]]&lt;60, "Adult", "Senior"))</f>
        <v>Adult</v>
      </c>
    </row>
    <row r="856" spans="1:15" x14ac:dyDescent="0.25">
      <c r="A856" t="s">
        <v>883</v>
      </c>
      <c r="B856">
        <v>53</v>
      </c>
      <c r="C856" t="s">
        <v>24</v>
      </c>
      <c r="D856" t="s">
        <v>40</v>
      </c>
      <c r="E856" s="4">
        <v>45723</v>
      </c>
      <c r="F856" s="4">
        <v>45731</v>
      </c>
      <c r="G856" s="8">
        <v>8</v>
      </c>
      <c r="H856" t="s">
        <v>20</v>
      </c>
      <c r="I856">
        <v>0</v>
      </c>
      <c r="J856" t="s">
        <v>25</v>
      </c>
      <c r="K856" t="s">
        <v>47</v>
      </c>
      <c r="L856" s="6">
        <v>9387.51</v>
      </c>
      <c r="M856" t="str">
        <f>TEXT(Table1[[#This Row],[Admission_Date]], "mmm")</f>
        <v>Mar</v>
      </c>
      <c r="N856">
        <f>YEAR(Table1[[#This Row],[Admission_Date]])</f>
        <v>2025</v>
      </c>
      <c r="O856" t="str">
        <f>IF(Table1[[#This Row],[Age]]&lt;30, "Young Adult", IF(Table1[[#This Row],[Age]]&lt;60, "Adult", "Senior"))</f>
        <v>Adult</v>
      </c>
    </row>
    <row r="857" spans="1:15" x14ac:dyDescent="0.25">
      <c r="A857" t="s">
        <v>884</v>
      </c>
      <c r="B857">
        <v>39</v>
      </c>
      <c r="C857" t="s">
        <v>24</v>
      </c>
      <c r="D857" t="s">
        <v>28</v>
      </c>
      <c r="E857" s="4">
        <v>45793</v>
      </c>
      <c r="F857" s="4">
        <v>45802</v>
      </c>
      <c r="G857" s="8">
        <v>9</v>
      </c>
      <c r="H857" t="s">
        <v>20</v>
      </c>
      <c r="I857">
        <v>0</v>
      </c>
      <c r="J857" t="s">
        <v>29</v>
      </c>
      <c r="K857" t="s">
        <v>22</v>
      </c>
      <c r="L857" s="6">
        <v>8557.2800000000007</v>
      </c>
      <c r="M857" t="str">
        <f>TEXT(Table1[[#This Row],[Admission_Date]], "mmm")</f>
        <v>May</v>
      </c>
      <c r="N857">
        <f>YEAR(Table1[[#This Row],[Admission_Date]])</f>
        <v>2025</v>
      </c>
      <c r="O857" t="str">
        <f>IF(Table1[[#This Row],[Age]]&lt;30, "Young Adult", IF(Table1[[#This Row],[Age]]&lt;60, "Adult", "Senior"))</f>
        <v>Adult</v>
      </c>
    </row>
    <row r="858" spans="1:15" x14ac:dyDescent="0.25">
      <c r="A858" t="s">
        <v>885</v>
      </c>
      <c r="B858">
        <v>24</v>
      </c>
      <c r="C858" t="s">
        <v>13</v>
      </c>
      <c r="D858" t="s">
        <v>14</v>
      </c>
      <c r="E858" s="4">
        <v>45994</v>
      </c>
      <c r="F858" s="4">
        <v>46005</v>
      </c>
      <c r="G858" s="8">
        <v>11</v>
      </c>
      <c r="H858" t="s">
        <v>20</v>
      </c>
      <c r="I858">
        <v>0</v>
      </c>
      <c r="J858" t="s">
        <v>16</v>
      </c>
      <c r="K858" t="s">
        <v>22</v>
      </c>
      <c r="L858" s="6">
        <v>3155.55</v>
      </c>
      <c r="M858" t="str">
        <f>TEXT(Table1[[#This Row],[Admission_Date]], "mmm")</f>
        <v>Dec</v>
      </c>
      <c r="N858">
        <f>YEAR(Table1[[#This Row],[Admission_Date]])</f>
        <v>2025</v>
      </c>
      <c r="O858" t="str">
        <f>IF(Table1[[#This Row],[Age]]&lt;30, "Young Adult", IF(Table1[[#This Row],[Age]]&lt;60, "Adult", "Senior"))</f>
        <v>Young Adult</v>
      </c>
    </row>
    <row r="859" spans="1:15" x14ac:dyDescent="0.25">
      <c r="A859" t="s">
        <v>886</v>
      </c>
      <c r="B859">
        <v>77</v>
      </c>
      <c r="C859" t="s">
        <v>24</v>
      </c>
      <c r="D859" t="s">
        <v>19</v>
      </c>
      <c r="E859" s="4">
        <v>45898</v>
      </c>
      <c r="F859" s="4">
        <v>45903</v>
      </c>
      <c r="G859" s="8">
        <v>5</v>
      </c>
      <c r="H859" t="s">
        <v>15</v>
      </c>
      <c r="I859">
        <v>29</v>
      </c>
      <c r="J859" t="s">
        <v>29</v>
      </c>
      <c r="K859" t="s">
        <v>22</v>
      </c>
      <c r="L859" s="6">
        <v>6902.04</v>
      </c>
      <c r="M859" t="str">
        <f>TEXT(Table1[[#This Row],[Admission_Date]], "mmm")</f>
        <v>Aug</v>
      </c>
      <c r="N859">
        <f>YEAR(Table1[[#This Row],[Admission_Date]])</f>
        <v>2025</v>
      </c>
      <c r="O859" t="str">
        <f>IF(Table1[[#This Row],[Age]]&lt;30, "Young Adult", IF(Table1[[#This Row],[Age]]&lt;60, "Adult", "Senior"))</f>
        <v>Senior</v>
      </c>
    </row>
    <row r="860" spans="1:15" x14ac:dyDescent="0.25">
      <c r="A860" t="s">
        <v>887</v>
      </c>
      <c r="B860">
        <v>81</v>
      </c>
      <c r="C860" t="s">
        <v>13</v>
      </c>
      <c r="D860" t="s">
        <v>28</v>
      </c>
      <c r="E860" s="4">
        <v>46021</v>
      </c>
      <c r="F860" s="4">
        <v>46030</v>
      </c>
      <c r="G860" s="8">
        <v>9</v>
      </c>
      <c r="H860" t="s">
        <v>20</v>
      </c>
      <c r="I860">
        <v>0</v>
      </c>
      <c r="J860" t="s">
        <v>21</v>
      </c>
      <c r="K860" t="s">
        <v>22</v>
      </c>
      <c r="L860" s="6">
        <v>5569.26</v>
      </c>
      <c r="M860" t="str">
        <f>TEXT(Table1[[#This Row],[Admission_Date]], "mmm")</f>
        <v>Dec</v>
      </c>
      <c r="N860">
        <f>YEAR(Table1[[#This Row],[Admission_Date]])</f>
        <v>2025</v>
      </c>
      <c r="O860" t="str">
        <f>IF(Table1[[#This Row],[Age]]&lt;30, "Young Adult", IF(Table1[[#This Row],[Age]]&lt;60, "Adult", "Senior"))</f>
        <v>Senior</v>
      </c>
    </row>
    <row r="861" spans="1:15" x14ac:dyDescent="0.25">
      <c r="A861" t="s">
        <v>888</v>
      </c>
      <c r="B861">
        <v>39</v>
      </c>
      <c r="C861" t="s">
        <v>24</v>
      </c>
      <c r="D861" t="s">
        <v>34</v>
      </c>
      <c r="E861" s="4">
        <v>45762</v>
      </c>
      <c r="F861" s="4">
        <v>45776</v>
      </c>
      <c r="G861" s="8">
        <v>14</v>
      </c>
      <c r="H861" t="s">
        <v>15</v>
      </c>
      <c r="I861">
        <v>29</v>
      </c>
      <c r="J861" t="s">
        <v>21</v>
      </c>
      <c r="K861" t="s">
        <v>17</v>
      </c>
      <c r="L861" s="6">
        <v>14971.07</v>
      </c>
      <c r="M861" t="str">
        <f>TEXT(Table1[[#This Row],[Admission_Date]], "mmm")</f>
        <v>Apr</v>
      </c>
      <c r="N861">
        <f>YEAR(Table1[[#This Row],[Admission_Date]])</f>
        <v>2025</v>
      </c>
      <c r="O861" t="str">
        <f>IF(Table1[[#This Row],[Age]]&lt;30, "Young Adult", IF(Table1[[#This Row],[Age]]&lt;60, "Adult", "Senior"))</f>
        <v>Adult</v>
      </c>
    </row>
    <row r="862" spans="1:15" x14ac:dyDescent="0.25">
      <c r="A862" t="s">
        <v>889</v>
      </c>
      <c r="B862">
        <v>41</v>
      </c>
      <c r="C862" t="s">
        <v>24</v>
      </c>
      <c r="D862" t="s">
        <v>19</v>
      </c>
      <c r="E862" s="4">
        <v>45660</v>
      </c>
      <c r="F862" s="4">
        <v>45669</v>
      </c>
      <c r="G862" s="8">
        <v>9</v>
      </c>
      <c r="H862" t="s">
        <v>20</v>
      </c>
      <c r="I862">
        <v>0</v>
      </c>
      <c r="J862" t="s">
        <v>21</v>
      </c>
      <c r="K862" t="s">
        <v>47</v>
      </c>
      <c r="L862" s="6">
        <v>10315.17</v>
      </c>
      <c r="M862" t="str">
        <f>TEXT(Table1[[#This Row],[Admission_Date]], "mmm")</f>
        <v>Jan</v>
      </c>
      <c r="N862">
        <f>YEAR(Table1[[#This Row],[Admission_Date]])</f>
        <v>2025</v>
      </c>
      <c r="O862" t="str">
        <f>IF(Table1[[#This Row],[Age]]&lt;30, "Young Adult", IF(Table1[[#This Row],[Age]]&lt;60, "Adult", "Senior"))</f>
        <v>Adult</v>
      </c>
    </row>
    <row r="863" spans="1:15" x14ac:dyDescent="0.25">
      <c r="A863" t="s">
        <v>890</v>
      </c>
      <c r="B863">
        <v>33</v>
      </c>
      <c r="C863" t="s">
        <v>24</v>
      </c>
      <c r="D863" t="s">
        <v>32</v>
      </c>
      <c r="E863" s="4">
        <v>45826</v>
      </c>
      <c r="F863" s="4">
        <v>45827</v>
      </c>
      <c r="G863" s="8">
        <v>1</v>
      </c>
      <c r="H863" t="s">
        <v>15</v>
      </c>
      <c r="I863">
        <v>19</v>
      </c>
      <c r="J863" t="s">
        <v>16</v>
      </c>
      <c r="K863" t="s">
        <v>47</v>
      </c>
      <c r="L863" s="6">
        <v>2729.74</v>
      </c>
      <c r="M863" t="str">
        <f>TEXT(Table1[[#This Row],[Admission_Date]], "mmm")</f>
        <v>Jun</v>
      </c>
      <c r="N863">
        <f>YEAR(Table1[[#This Row],[Admission_Date]])</f>
        <v>2025</v>
      </c>
      <c r="O863" t="str">
        <f>IF(Table1[[#This Row],[Age]]&lt;30, "Young Adult", IF(Table1[[#This Row],[Age]]&lt;60, "Adult", "Senior"))</f>
        <v>Adult</v>
      </c>
    </row>
    <row r="864" spans="1:15" x14ac:dyDescent="0.25">
      <c r="A864" t="s">
        <v>891</v>
      </c>
      <c r="B864">
        <v>79</v>
      </c>
      <c r="C864" t="s">
        <v>24</v>
      </c>
      <c r="D864" t="s">
        <v>28</v>
      </c>
      <c r="E864" s="4">
        <v>45699</v>
      </c>
      <c r="F864" s="4">
        <v>45707</v>
      </c>
      <c r="G864" s="8">
        <v>8</v>
      </c>
      <c r="H864" t="s">
        <v>20</v>
      </c>
      <c r="I864">
        <v>0</v>
      </c>
      <c r="J864" t="s">
        <v>25</v>
      </c>
      <c r="K864" t="s">
        <v>17</v>
      </c>
      <c r="L864" s="6">
        <v>10041.09</v>
      </c>
      <c r="M864" t="str">
        <f>TEXT(Table1[[#This Row],[Admission_Date]], "mmm")</f>
        <v>Feb</v>
      </c>
      <c r="N864">
        <f>YEAR(Table1[[#This Row],[Admission_Date]])</f>
        <v>2025</v>
      </c>
      <c r="O864" t="str">
        <f>IF(Table1[[#This Row],[Age]]&lt;30, "Young Adult", IF(Table1[[#This Row],[Age]]&lt;60, "Adult", "Senior"))</f>
        <v>Senior</v>
      </c>
    </row>
    <row r="865" spans="1:15" x14ac:dyDescent="0.25">
      <c r="A865" t="s">
        <v>892</v>
      </c>
      <c r="B865">
        <v>75</v>
      </c>
      <c r="C865" t="s">
        <v>24</v>
      </c>
      <c r="D865" t="s">
        <v>28</v>
      </c>
      <c r="E865" s="4">
        <v>45826</v>
      </c>
      <c r="F865" s="4">
        <v>45827</v>
      </c>
      <c r="G865" s="8">
        <v>1</v>
      </c>
      <c r="H865" t="s">
        <v>20</v>
      </c>
      <c r="I865">
        <v>0</v>
      </c>
      <c r="J865" t="s">
        <v>21</v>
      </c>
      <c r="K865" t="s">
        <v>22</v>
      </c>
      <c r="L865" s="6">
        <v>13017.54</v>
      </c>
      <c r="M865" t="str">
        <f>TEXT(Table1[[#This Row],[Admission_Date]], "mmm")</f>
        <v>Jun</v>
      </c>
      <c r="N865">
        <f>YEAR(Table1[[#This Row],[Admission_Date]])</f>
        <v>2025</v>
      </c>
      <c r="O865" t="str">
        <f>IF(Table1[[#This Row],[Age]]&lt;30, "Young Adult", IF(Table1[[#This Row],[Age]]&lt;60, "Adult", "Senior"))</f>
        <v>Senior</v>
      </c>
    </row>
    <row r="866" spans="1:15" x14ac:dyDescent="0.25">
      <c r="A866" t="s">
        <v>893</v>
      </c>
      <c r="B866">
        <v>25</v>
      </c>
      <c r="C866" t="s">
        <v>13</v>
      </c>
      <c r="D866" t="s">
        <v>34</v>
      </c>
      <c r="E866" s="4">
        <v>45987</v>
      </c>
      <c r="F866" s="4">
        <v>45992</v>
      </c>
      <c r="G866" s="8">
        <v>5</v>
      </c>
      <c r="H866" t="s">
        <v>20</v>
      </c>
      <c r="I866">
        <v>0</v>
      </c>
      <c r="J866" t="s">
        <v>29</v>
      </c>
      <c r="K866" t="s">
        <v>22</v>
      </c>
      <c r="L866" s="6">
        <v>6283.45</v>
      </c>
      <c r="M866" t="str">
        <f>TEXT(Table1[[#This Row],[Admission_Date]], "mmm")</f>
        <v>Nov</v>
      </c>
      <c r="N866">
        <f>YEAR(Table1[[#This Row],[Admission_Date]])</f>
        <v>2025</v>
      </c>
      <c r="O866" t="str">
        <f>IF(Table1[[#This Row],[Age]]&lt;30, "Young Adult", IF(Table1[[#This Row],[Age]]&lt;60, "Adult", "Senior"))</f>
        <v>Young Adult</v>
      </c>
    </row>
    <row r="867" spans="1:15" x14ac:dyDescent="0.25">
      <c r="A867" t="s">
        <v>894</v>
      </c>
      <c r="B867">
        <v>69</v>
      </c>
      <c r="C867" t="s">
        <v>13</v>
      </c>
      <c r="D867" t="s">
        <v>19</v>
      </c>
      <c r="E867" s="4">
        <v>45749</v>
      </c>
      <c r="F867" s="4">
        <v>45753</v>
      </c>
      <c r="G867" s="8">
        <v>4</v>
      </c>
      <c r="H867" t="s">
        <v>20</v>
      </c>
      <c r="I867">
        <v>0</v>
      </c>
      <c r="J867" t="s">
        <v>21</v>
      </c>
      <c r="K867" t="s">
        <v>22</v>
      </c>
      <c r="L867" s="6">
        <v>6133.29</v>
      </c>
      <c r="M867" t="str">
        <f>TEXT(Table1[[#This Row],[Admission_Date]], "mmm")</f>
        <v>Apr</v>
      </c>
      <c r="N867">
        <f>YEAR(Table1[[#This Row],[Admission_Date]])</f>
        <v>2025</v>
      </c>
      <c r="O867" t="str">
        <f>IF(Table1[[#This Row],[Age]]&lt;30, "Young Adult", IF(Table1[[#This Row],[Age]]&lt;60, "Adult", "Senior"))</f>
        <v>Senior</v>
      </c>
    </row>
    <row r="868" spans="1:15" x14ac:dyDescent="0.25">
      <c r="A868" t="s">
        <v>895</v>
      </c>
      <c r="B868">
        <v>37</v>
      </c>
      <c r="C868" t="s">
        <v>13</v>
      </c>
      <c r="D868" t="s">
        <v>32</v>
      </c>
      <c r="E868" s="4">
        <v>45864</v>
      </c>
      <c r="F868" s="4">
        <v>45869</v>
      </c>
      <c r="G868" s="8">
        <v>5</v>
      </c>
      <c r="H868" t="s">
        <v>20</v>
      </c>
      <c r="I868">
        <v>0</v>
      </c>
      <c r="J868" t="s">
        <v>29</v>
      </c>
      <c r="K868" t="s">
        <v>47</v>
      </c>
      <c r="L868" s="6">
        <v>11170.39</v>
      </c>
      <c r="M868" t="str">
        <f>TEXT(Table1[[#This Row],[Admission_Date]], "mmm")</f>
        <v>Jul</v>
      </c>
      <c r="N868">
        <f>YEAR(Table1[[#This Row],[Admission_Date]])</f>
        <v>2025</v>
      </c>
      <c r="O868" t="str">
        <f>IF(Table1[[#This Row],[Age]]&lt;30, "Young Adult", IF(Table1[[#This Row],[Age]]&lt;60, "Adult", "Senior"))</f>
        <v>Adult</v>
      </c>
    </row>
    <row r="869" spans="1:15" x14ac:dyDescent="0.25">
      <c r="A869" t="s">
        <v>896</v>
      </c>
      <c r="B869">
        <v>63</v>
      </c>
      <c r="C869" t="s">
        <v>13</v>
      </c>
      <c r="D869" t="s">
        <v>32</v>
      </c>
      <c r="E869" s="4">
        <v>45816</v>
      </c>
      <c r="F869" s="4">
        <v>45827</v>
      </c>
      <c r="G869" s="8">
        <v>11</v>
      </c>
      <c r="H869" t="s">
        <v>20</v>
      </c>
      <c r="I869">
        <v>0</v>
      </c>
      <c r="J869" t="s">
        <v>21</v>
      </c>
      <c r="K869" t="s">
        <v>47</v>
      </c>
      <c r="L869" s="6">
        <v>6958.92</v>
      </c>
      <c r="M869" t="str">
        <f>TEXT(Table1[[#This Row],[Admission_Date]], "mmm")</f>
        <v>Jun</v>
      </c>
      <c r="N869">
        <f>YEAR(Table1[[#This Row],[Admission_Date]])</f>
        <v>2025</v>
      </c>
      <c r="O869" t="str">
        <f>IF(Table1[[#This Row],[Age]]&lt;30, "Young Adult", IF(Table1[[#This Row],[Age]]&lt;60, "Adult", "Senior"))</f>
        <v>Senior</v>
      </c>
    </row>
    <row r="870" spans="1:15" x14ac:dyDescent="0.25">
      <c r="A870" t="s">
        <v>897</v>
      </c>
      <c r="B870">
        <v>72</v>
      </c>
      <c r="C870" t="s">
        <v>13</v>
      </c>
      <c r="D870" t="s">
        <v>40</v>
      </c>
      <c r="E870" s="4">
        <v>45856</v>
      </c>
      <c r="F870" s="4">
        <v>45864</v>
      </c>
      <c r="G870" s="8">
        <v>8</v>
      </c>
      <c r="H870" t="s">
        <v>15</v>
      </c>
      <c r="I870">
        <v>26</v>
      </c>
      <c r="J870" t="s">
        <v>25</v>
      </c>
      <c r="K870" t="s">
        <v>17</v>
      </c>
      <c r="L870" s="6">
        <v>3202.16</v>
      </c>
      <c r="M870" t="str">
        <f>TEXT(Table1[[#This Row],[Admission_Date]], "mmm")</f>
        <v>Jul</v>
      </c>
      <c r="N870">
        <f>YEAR(Table1[[#This Row],[Admission_Date]])</f>
        <v>2025</v>
      </c>
      <c r="O870" t="str">
        <f>IF(Table1[[#This Row],[Age]]&lt;30, "Young Adult", IF(Table1[[#This Row],[Age]]&lt;60, "Adult", "Senior"))</f>
        <v>Senior</v>
      </c>
    </row>
    <row r="871" spans="1:15" x14ac:dyDescent="0.25">
      <c r="A871" t="s">
        <v>898</v>
      </c>
      <c r="B871">
        <v>83</v>
      </c>
      <c r="C871" t="s">
        <v>24</v>
      </c>
      <c r="D871" t="s">
        <v>40</v>
      </c>
      <c r="E871" s="4">
        <v>45980</v>
      </c>
      <c r="F871" s="4">
        <v>45987</v>
      </c>
      <c r="G871" s="8">
        <v>7</v>
      </c>
      <c r="H871" t="s">
        <v>15</v>
      </c>
      <c r="I871">
        <v>22</v>
      </c>
      <c r="J871" t="s">
        <v>21</v>
      </c>
      <c r="K871" t="s">
        <v>17</v>
      </c>
      <c r="L871" s="6">
        <v>10450.43</v>
      </c>
      <c r="M871" t="str">
        <f>TEXT(Table1[[#This Row],[Admission_Date]], "mmm")</f>
        <v>Nov</v>
      </c>
      <c r="N871">
        <f>YEAR(Table1[[#This Row],[Admission_Date]])</f>
        <v>2025</v>
      </c>
      <c r="O871" t="str">
        <f>IF(Table1[[#This Row],[Age]]&lt;30, "Young Adult", IF(Table1[[#This Row],[Age]]&lt;60, "Adult", "Senior"))</f>
        <v>Senior</v>
      </c>
    </row>
    <row r="872" spans="1:15" x14ac:dyDescent="0.25">
      <c r="A872" t="s">
        <v>899</v>
      </c>
      <c r="B872">
        <v>85</v>
      </c>
      <c r="C872" t="s">
        <v>13</v>
      </c>
      <c r="D872" t="s">
        <v>32</v>
      </c>
      <c r="E872" s="4">
        <v>45737</v>
      </c>
      <c r="F872" s="4">
        <v>45745</v>
      </c>
      <c r="G872" s="8">
        <v>8</v>
      </c>
      <c r="H872" t="s">
        <v>20</v>
      </c>
      <c r="I872">
        <v>0</v>
      </c>
      <c r="J872" t="s">
        <v>29</v>
      </c>
      <c r="K872" t="s">
        <v>47</v>
      </c>
      <c r="L872" s="6">
        <v>1648.16</v>
      </c>
      <c r="M872" t="str">
        <f>TEXT(Table1[[#This Row],[Admission_Date]], "mmm")</f>
        <v>Mar</v>
      </c>
      <c r="N872">
        <f>YEAR(Table1[[#This Row],[Admission_Date]])</f>
        <v>2025</v>
      </c>
      <c r="O872" t="str">
        <f>IF(Table1[[#This Row],[Age]]&lt;30, "Young Adult", IF(Table1[[#This Row],[Age]]&lt;60, "Adult", "Senior"))</f>
        <v>Senior</v>
      </c>
    </row>
    <row r="873" spans="1:15" x14ac:dyDescent="0.25">
      <c r="A873" t="s">
        <v>900</v>
      </c>
      <c r="B873">
        <v>34</v>
      </c>
      <c r="C873" t="s">
        <v>24</v>
      </c>
      <c r="D873" t="s">
        <v>14</v>
      </c>
      <c r="E873" s="4">
        <v>45902</v>
      </c>
      <c r="F873" s="4">
        <v>45907</v>
      </c>
      <c r="G873" s="8">
        <v>5</v>
      </c>
      <c r="H873" t="s">
        <v>15</v>
      </c>
      <c r="I873">
        <v>17</v>
      </c>
      <c r="J873" t="s">
        <v>29</v>
      </c>
      <c r="K873" t="s">
        <v>47</v>
      </c>
      <c r="L873" s="6">
        <v>8743.77</v>
      </c>
      <c r="M873" t="str">
        <f>TEXT(Table1[[#This Row],[Admission_Date]], "mmm")</f>
        <v>Sep</v>
      </c>
      <c r="N873">
        <f>YEAR(Table1[[#This Row],[Admission_Date]])</f>
        <v>2025</v>
      </c>
      <c r="O873" t="str">
        <f>IF(Table1[[#This Row],[Age]]&lt;30, "Young Adult", IF(Table1[[#This Row],[Age]]&lt;60, "Adult", "Senior"))</f>
        <v>Adult</v>
      </c>
    </row>
    <row r="874" spans="1:15" x14ac:dyDescent="0.25">
      <c r="A874" t="s">
        <v>901</v>
      </c>
      <c r="B874">
        <v>83</v>
      </c>
      <c r="C874" t="s">
        <v>13</v>
      </c>
      <c r="D874" t="s">
        <v>34</v>
      </c>
      <c r="E874" s="4">
        <v>45940</v>
      </c>
      <c r="F874" s="4">
        <v>45942</v>
      </c>
      <c r="G874" s="8">
        <v>2</v>
      </c>
      <c r="H874" t="s">
        <v>20</v>
      </c>
      <c r="I874">
        <v>0</v>
      </c>
      <c r="J874" t="s">
        <v>29</v>
      </c>
      <c r="K874" t="s">
        <v>47</v>
      </c>
      <c r="L874" s="6">
        <v>1870.02</v>
      </c>
      <c r="M874" t="str">
        <f>TEXT(Table1[[#This Row],[Admission_Date]], "mmm")</f>
        <v>Oct</v>
      </c>
      <c r="N874">
        <f>YEAR(Table1[[#This Row],[Admission_Date]])</f>
        <v>2025</v>
      </c>
      <c r="O874" t="str">
        <f>IF(Table1[[#This Row],[Age]]&lt;30, "Young Adult", IF(Table1[[#This Row],[Age]]&lt;60, "Adult", "Senior"))</f>
        <v>Senior</v>
      </c>
    </row>
    <row r="875" spans="1:15" x14ac:dyDescent="0.25">
      <c r="A875" t="s">
        <v>902</v>
      </c>
      <c r="B875">
        <v>50</v>
      </c>
      <c r="C875" t="s">
        <v>24</v>
      </c>
      <c r="D875" t="s">
        <v>32</v>
      </c>
      <c r="E875" s="4">
        <v>45996</v>
      </c>
      <c r="F875" s="4">
        <v>46008</v>
      </c>
      <c r="G875" s="8">
        <v>12</v>
      </c>
      <c r="H875" t="s">
        <v>20</v>
      </c>
      <c r="I875">
        <v>0</v>
      </c>
      <c r="J875" t="s">
        <v>16</v>
      </c>
      <c r="K875" t="s">
        <v>17</v>
      </c>
      <c r="L875" s="6">
        <v>735.9</v>
      </c>
      <c r="M875" t="str">
        <f>TEXT(Table1[[#This Row],[Admission_Date]], "mmm")</f>
        <v>Dec</v>
      </c>
      <c r="N875">
        <f>YEAR(Table1[[#This Row],[Admission_Date]])</f>
        <v>2025</v>
      </c>
      <c r="O875" t="str">
        <f>IF(Table1[[#This Row],[Age]]&lt;30, "Young Adult", IF(Table1[[#This Row],[Age]]&lt;60, "Adult", "Senior"))</f>
        <v>Adult</v>
      </c>
    </row>
    <row r="876" spans="1:15" x14ac:dyDescent="0.25">
      <c r="A876" t="s">
        <v>903</v>
      </c>
      <c r="B876">
        <v>41</v>
      </c>
      <c r="C876" t="s">
        <v>24</v>
      </c>
      <c r="D876" t="s">
        <v>19</v>
      </c>
      <c r="E876" s="4">
        <v>45996</v>
      </c>
      <c r="F876" s="4">
        <v>46004</v>
      </c>
      <c r="G876" s="8">
        <v>8</v>
      </c>
      <c r="H876" t="s">
        <v>15</v>
      </c>
      <c r="I876">
        <v>3</v>
      </c>
      <c r="J876" t="s">
        <v>29</v>
      </c>
      <c r="K876" t="s">
        <v>17</v>
      </c>
      <c r="L876" s="6">
        <v>4815.8900000000003</v>
      </c>
      <c r="M876" t="str">
        <f>TEXT(Table1[[#This Row],[Admission_Date]], "mmm")</f>
        <v>Dec</v>
      </c>
      <c r="N876">
        <f>YEAR(Table1[[#This Row],[Admission_Date]])</f>
        <v>2025</v>
      </c>
      <c r="O876" t="str">
        <f>IF(Table1[[#This Row],[Age]]&lt;30, "Young Adult", IF(Table1[[#This Row],[Age]]&lt;60, "Adult", "Senior"))</f>
        <v>Adult</v>
      </c>
    </row>
    <row r="877" spans="1:15" x14ac:dyDescent="0.25">
      <c r="A877" t="s">
        <v>904</v>
      </c>
      <c r="B877">
        <v>75</v>
      </c>
      <c r="C877" t="s">
        <v>24</v>
      </c>
      <c r="D877" t="s">
        <v>32</v>
      </c>
      <c r="E877" s="4">
        <v>45958</v>
      </c>
      <c r="F877" s="4">
        <v>45970</v>
      </c>
      <c r="G877" s="8">
        <v>12</v>
      </c>
      <c r="H877" t="s">
        <v>20</v>
      </c>
      <c r="I877">
        <v>0</v>
      </c>
      <c r="J877" t="s">
        <v>21</v>
      </c>
      <c r="K877" t="s">
        <v>22</v>
      </c>
      <c r="L877" s="6">
        <v>3183.77</v>
      </c>
      <c r="M877" t="str">
        <f>TEXT(Table1[[#This Row],[Admission_Date]], "mmm")</f>
        <v>Oct</v>
      </c>
      <c r="N877">
        <f>YEAR(Table1[[#This Row],[Admission_Date]])</f>
        <v>2025</v>
      </c>
      <c r="O877" t="str">
        <f>IF(Table1[[#This Row],[Age]]&lt;30, "Young Adult", IF(Table1[[#This Row],[Age]]&lt;60, "Adult", "Senior"))</f>
        <v>Senior</v>
      </c>
    </row>
    <row r="878" spans="1:15" x14ac:dyDescent="0.25">
      <c r="A878" t="s">
        <v>905</v>
      </c>
      <c r="B878">
        <v>31</v>
      </c>
      <c r="C878" t="s">
        <v>24</v>
      </c>
      <c r="D878" t="s">
        <v>34</v>
      </c>
      <c r="E878" s="4">
        <v>45967</v>
      </c>
      <c r="F878" s="4">
        <v>45972</v>
      </c>
      <c r="G878" s="8">
        <v>5</v>
      </c>
      <c r="H878" t="s">
        <v>20</v>
      </c>
      <c r="I878">
        <v>0</v>
      </c>
      <c r="J878" t="s">
        <v>16</v>
      </c>
      <c r="K878" t="s">
        <v>22</v>
      </c>
      <c r="L878" s="6">
        <v>6226.54</v>
      </c>
      <c r="M878" t="str">
        <f>TEXT(Table1[[#This Row],[Admission_Date]], "mmm")</f>
        <v>Nov</v>
      </c>
      <c r="N878">
        <f>YEAR(Table1[[#This Row],[Admission_Date]])</f>
        <v>2025</v>
      </c>
      <c r="O878" t="str">
        <f>IF(Table1[[#This Row],[Age]]&lt;30, "Young Adult", IF(Table1[[#This Row],[Age]]&lt;60, "Adult", "Senior"))</f>
        <v>Adult</v>
      </c>
    </row>
    <row r="879" spans="1:15" x14ac:dyDescent="0.25">
      <c r="A879" t="s">
        <v>906</v>
      </c>
      <c r="B879">
        <v>76</v>
      </c>
      <c r="C879" t="s">
        <v>24</v>
      </c>
      <c r="D879" t="s">
        <v>28</v>
      </c>
      <c r="E879" s="4">
        <v>45664</v>
      </c>
      <c r="F879" s="4">
        <v>45667</v>
      </c>
      <c r="G879" s="8">
        <v>3</v>
      </c>
      <c r="H879" t="s">
        <v>20</v>
      </c>
      <c r="I879">
        <v>0</v>
      </c>
      <c r="J879" t="s">
        <v>29</v>
      </c>
      <c r="K879" t="s">
        <v>47</v>
      </c>
      <c r="L879" s="6">
        <v>9468.24</v>
      </c>
      <c r="M879" t="str">
        <f>TEXT(Table1[[#This Row],[Admission_Date]], "mmm")</f>
        <v>Jan</v>
      </c>
      <c r="N879">
        <f>YEAR(Table1[[#This Row],[Admission_Date]])</f>
        <v>2025</v>
      </c>
      <c r="O879" t="str">
        <f>IF(Table1[[#This Row],[Age]]&lt;30, "Young Adult", IF(Table1[[#This Row],[Age]]&lt;60, "Adult", "Senior"))</f>
        <v>Senior</v>
      </c>
    </row>
    <row r="880" spans="1:15" x14ac:dyDescent="0.25">
      <c r="A880" t="s">
        <v>907</v>
      </c>
      <c r="B880">
        <v>68</v>
      </c>
      <c r="C880" t="s">
        <v>24</v>
      </c>
      <c r="D880" t="s">
        <v>19</v>
      </c>
      <c r="E880" s="4">
        <v>45973</v>
      </c>
      <c r="F880" s="4">
        <v>45979</v>
      </c>
      <c r="G880" s="8">
        <v>6</v>
      </c>
      <c r="H880" t="s">
        <v>20</v>
      </c>
      <c r="I880">
        <v>0</v>
      </c>
      <c r="J880" t="s">
        <v>21</v>
      </c>
      <c r="K880" t="s">
        <v>22</v>
      </c>
      <c r="L880" s="6">
        <v>701.2</v>
      </c>
      <c r="M880" t="str">
        <f>TEXT(Table1[[#This Row],[Admission_Date]], "mmm")</f>
        <v>Nov</v>
      </c>
      <c r="N880">
        <f>YEAR(Table1[[#This Row],[Admission_Date]])</f>
        <v>2025</v>
      </c>
      <c r="O880" t="str">
        <f>IF(Table1[[#This Row],[Age]]&lt;30, "Young Adult", IF(Table1[[#This Row],[Age]]&lt;60, "Adult", "Senior"))</f>
        <v>Senior</v>
      </c>
    </row>
    <row r="881" spans="1:15" x14ac:dyDescent="0.25">
      <c r="A881" t="s">
        <v>908</v>
      </c>
      <c r="B881">
        <v>42</v>
      </c>
      <c r="C881" t="s">
        <v>13</v>
      </c>
      <c r="D881" t="s">
        <v>14</v>
      </c>
      <c r="E881" s="4">
        <v>45715</v>
      </c>
      <c r="F881" s="4">
        <v>45729</v>
      </c>
      <c r="G881" s="8">
        <v>14</v>
      </c>
      <c r="H881" t="s">
        <v>15</v>
      </c>
      <c r="I881">
        <v>16</v>
      </c>
      <c r="J881" t="s">
        <v>21</v>
      </c>
      <c r="K881" t="s">
        <v>17</v>
      </c>
      <c r="L881" s="6">
        <v>4005.81</v>
      </c>
      <c r="M881" t="str">
        <f>TEXT(Table1[[#This Row],[Admission_Date]], "mmm")</f>
        <v>Feb</v>
      </c>
      <c r="N881">
        <f>YEAR(Table1[[#This Row],[Admission_Date]])</f>
        <v>2025</v>
      </c>
      <c r="O881" t="str">
        <f>IF(Table1[[#This Row],[Age]]&lt;30, "Young Adult", IF(Table1[[#This Row],[Age]]&lt;60, "Adult", "Senior"))</f>
        <v>Adult</v>
      </c>
    </row>
    <row r="882" spans="1:15" x14ac:dyDescent="0.25">
      <c r="A882" t="s">
        <v>909</v>
      </c>
      <c r="B882">
        <v>42</v>
      </c>
      <c r="C882" t="s">
        <v>13</v>
      </c>
      <c r="D882" t="s">
        <v>32</v>
      </c>
      <c r="E882" s="4">
        <v>45978</v>
      </c>
      <c r="F882" s="4">
        <v>45992</v>
      </c>
      <c r="G882" s="8">
        <v>14</v>
      </c>
      <c r="H882" t="s">
        <v>20</v>
      </c>
      <c r="I882">
        <v>0</v>
      </c>
      <c r="J882" t="s">
        <v>29</v>
      </c>
      <c r="K882" t="s">
        <v>22</v>
      </c>
      <c r="L882" s="6">
        <v>7372.84</v>
      </c>
      <c r="M882" t="str">
        <f>TEXT(Table1[[#This Row],[Admission_Date]], "mmm")</f>
        <v>Nov</v>
      </c>
      <c r="N882">
        <f>YEAR(Table1[[#This Row],[Admission_Date]])</f>
        <v>2025</v>
      </c>
      <c r="O882" t="str">
        <f>IF(Table1[[#This Row],[Age]]&lt;30, "Young Adult", IF(Table1[[#This Row],[Age]]&lt;60, "Adult", "Senior"))</f>
        <v>Adult</v>
      </c>
    </row>
    <row r="883" spans="1:15" x14ac:dyDescent="0.25">
      <c r="A883" t="s">
        <v>910</v>
      </c>
      <c r="B883">
        <v>37</v>
      </c>
      <c r="C883" t="s">
        <v>24</v>
      </c>
      <c r="D883" t="s">
        <v>40</v>
      </c>
      <c r="E883" s="4">
        <v>45669</v>
      </c>
      <c r="F883" s="4">
        <v>45671</v>
      </c>
      <c r="G883" s="8">
        <v>2</v>
      </c>
      <c r="H883" t="s">
        <v>15</v>
      </c>
      <c r="I883">
        <v>16</v>
      </c>
      <c r="J883" t="s">
        <v>16</v>
      </c>
      <c r="K883" t="s">
        <v>47</v>
      </c>
      <c r="L883" s="6">
        <v>8985.7800000000007</v>
      </c>
      <c r="M883" t="str">
        <f>TEXT(Table1[[#This Row],[Admission_Date]], "mmm")</f>
        <v>Jan</v>
      </c>
      <c r="N883">
        <f>YEAR(Table1[[#This Row],[Admission_Date]])</f>
        <v>2025</v>
      </c>
      <c r="O883" t="str">
        <f>IF(Table1[[#This Row],[Age]]&lt;30, "Young Adult", IF(Table1[[#This Row],[Age]]&lt;60, "Adult", "Senior"))</f>
        <v>Adult</v>
      </c>
    </row>
    <row r="884" spans="1:15" x14ac:dyDescent="0.25">
      <c r="A884" t="s">
        <v>911</v>
      </c>
      <c r="B884">
        <v>68</v>
      </c>
      <c r="C884" t="s">
        <v>13</v>
      </c>
      <c r="D884" t="s">
        <v>32</v>
      </c>
      <c r="E884" s="4">
        <v>45761</v>
      </c>
      <c r="F884" s="4">
        <v>45766</v>
      </c>
      <c r="G884" s="8">
        <v>5</v>
      </c>
      <c r="H884" t="s">
        <v>20</v>
      </c>
      <c r="I884">
        <v>0</v>
      </c>
      <c r="J884" t="s">
        <v>16</v>
      </c>
      <c r="K884" t="s">
        <v>22</v>
      </c>
      <c r="L884" s="6">
        <v>9640.94</v>
      </c>
      <c r="M884" t="str">
        <f>TEXT(Table1[[#This Row],[Admission_Date]], "mmm")</f>
        <v>Apr</v>
      </c>
      <c r="N884">
        <f>YEAR(Table1[[#This Row],[Admission_Date]])</f>
        <v>2025</v>
      </c>
      <c r="O884" t="str">
        <f>IF(Table1[[#This Row],[Age]]&lt;30, "Young Adult", IF(Table1[[#This Row],[Age]]&lt;60, "Adult", "Senior"))</f>
        <v>Senior</v>
      </c>
    </row>
    <row r="885" spans="1:15" x14ac:dyDescent="0.25">
      <c r="A885" t="s">
        <v>912</v>
      </c>
      <c r="B885">
        <v>88</v>
      </c>
      <c r="C885" t="s">
        <v>24</v>
      </c>
      <c r="D885" t="s">
        <v>19</v>
      </c>
      <c r="E885" s="4">
        <v>45879</v>
      </c>
      <c r="F885" s="4">
        <v>45886</v>
      </c>
      <c r="G885" s="8">
        <v>7</v>
      </c>
      <c r="H885" t="s">
        <v>20</v>
      </c>
      <c r="I885">
        <v>0</v>
      </c>
      <c r="J885" t="s">
        <v>29</v>
      </c>
      <c r="K885" t="s">
        <v>47</v>
      </c>
      <c r="L885" s="6">
        <v>7548.46</v>
      </c>
      <c r="M885" t="str">
        <f>TEXT(Table1[[#This Row],[Admission_Date]], "mmm")</f>
        <v>Aug</v>
      </c>
      <c r="N885">
        <f>YEAR(Table1[[#This Row],[Admission_Date]])</f>
        <v>2025</v>
      </c>
      <c r="O885" t="str">
        <f>IF(Table1[[#This Row],[Age]]&lt;30, "Young Adult", IF(Table1[[#This Row],[Age]]&lt;60, "Adult", "Senior"))</f>
        <v>Senior</v>
      </c>
    </row>
    <row r="886" spans="1:15" x14ac:dyDescent="0.25">
      <c r="A886" t="s">
        <v>913</v>
      </c>
      <c r="B886">
        <v>80</v>
      </c>
      <c r="C886" t="s">
        <v>13</v>
      </c>
      <c r="D886" t="s">
        <v>28</v>
      </c>
      <c r="E886" s="4">
        <v>45960</v>
      </c>
      <c r="F886" s="4">
        <v>45972</v>
      </c>
      <c r="G886" s="8">
        <v>12</v>
      </c>
      <c r="H886" t="s">
        <v>20</v>
      </c>
      <c r="I886">
        <v>0</v>
      </c>
      <c r="J886" t="s">
        <v>16</v>
      </c>
      <c r="K886" t="s">
        <v>17</v>
      </c>
      <c r="L886" s="6">
        <v>775.79</v>
      </c>
      <c r="M886" t="str">
        <f>TEXT(Table1[[#This Row],[Admission_Date]], "mmm")</f>
        <v>Oct</v>
      </c>
      <c r="N886">
        <f>YEAR(Table1[[#This Row],[Admission_Date]])</f>
        <v>2025</v>
      </c>
      <c r="O886" t="str">
        <f>IF(Table1[[#This Row],[Age]]&lt;30, "Young Adult", IF(Table1[[#This Row],[Age]]&lt;60, "Adult", "Senior"))</f>
        <v>Senior</v>
      </c>
    </row>
    <row r="887" spans="1:15" x14ac:dyDescent="0.25">
      <c r="A887" t="s">
        <v>914</v>
      </c>
      <c r="B887">
        <v>52</v>
      </c>
      <c r="C887" t="s">
        <v>24</v>
      </c>
      <c r="D887" t="s">
        <v>40</v>
      </c>
      <c r="E887" s="4">
        <v>45953</v>
      </c>
      <c r="F887" s="4">
        <v>45959</v>
      </c>
      <c r="G887" s="8">
        <v>6</v>
      </c>
      <c r="H887" t="s">
        <v>20</v>
      </c>
      <c r="I887">
        <v>0</v>
      </c>
      <c r="J887" t="s">
        <v>16</v>
      </c>
      <c r="K887" t="s">
        <v>47</v>
      </c>
      <c r="L887" s="6">
        <v>9529.1</v>
      </c>
      <c r="M887" t="str">
        <f>TEXT(Table1[[#This Row],[Admission_Date]], "mmm")</f>
        <v>Oct</v>
      </c>
      <c r="N887">
        <f>YEAR(Table1[[#This Row],[Admission_Date]])</f>
        <v>2025</v>
      </c>
      <c r="O887" t="str">
        <f>IF(Table1[[#This Row],[Age]]&lt;30, "Young Adult", IF(Table1[[#This Row],[Age]]&lt;60, "Adult", "Senior"))</f>
        <v>Adult</v>
      </c>
    </row>
    <row r="888" spans="1:15" x14ac:dyDescent="0.25">
      <c r="A888" t="s">
        <v>915</v>
      </c>
      <c r="B888">
        <v>73</v>
      </c>
      <c r="C888" t="s">
        <v>13</v>
      </c>
      <c r="D888" t="s">
        <v>14</v>
      </c>
      <c r="E888" s="4">
        <v>45988</v>
      </c>
      <c r="F888" s="4">
        <v>45994</v>
      </c>
      <c r="G888" s="8">
        <v>6</v>
      </c>
      <c r="H888" t="s">
        <v>20</v>
      </c>
      <c r="I888">
        <v>0</v>
      </c>
      <c r="J888" t="s">
        <v>25</v>
      </c>
      <c r="K888" t="s">
        <v>17</v>
      </c>
      <c r="L888" s="6">
        <v>3286.92</v>
      </c>
      <c r="M888" t="str">
        <f>TEXT(Table1[[#This Row],[Admission_Date]], "mmm")</f>
        <v>Nov</v>
      </c>
      <c r="N888">
        <f>YEAR(Table1[[#This Row],[Admission_Date]])</f>
        <v>2025</v>
      </c>
      <c r="O888" t="str">
        <f>IF(Table1[[#This Row],[Age]]&lt;30, "Young Adult", IF(Table1[[#This Row],[Age]]&lt;60, "Adult", "Senior"))</f>
        <v>Senior</v>
      </c>
    </row>
    <row r="889" spans="1:15" x14ac:dyDescent="0.25">
      <c r="A889" t="s">
        <v>916</v>
      </c>
      <c r="B889">
        <v>46</v>
      </c>
      <c r="C889" t="s">
        <v>24</v>
      </c>
      <c r="D889" t="s">
        <v>34</v>
      </c>
      <c r="E889" s="4">
        <v>45834</v>
      </c>
      <c r="F889" s="4">
        <v>45842</v>
      </c>
      <c r="G889" s="8">
        <v>8</v>
      </c>
      <c r="H889" t="s">
        <v>15</v>
      </c>
      <c r="I889">
        <v>28</v>
      </c>
      <c r="J889" t="s">
        <v>29</v>
      </c>
      <c r="K889" t="s">
        <v>22</v>
      </c>
      <c r="L889" s="6">
        <v>13306.01</v>
      </c>
      <c r="M889" t="str">
        <f>TEXT(Table1[[#This Row],[Admission_Date]], "mmm")</f>
        <v>Jun</v>
      </c>
      <c r="N889">
        <f>YEAR(Table1[[#This Row],[Admission_Date]])</f>
        <v>2025</v>
      </c>
      <c r="O889" t="str">
        <f>IF(Table1[[#This Row],[Age]]&lt;30, "Young Adult", IF(Table1[[#This Row],[Age]]&lt;60, "Adult", "Senior"))</f>
        <v>Adult</v>
      </c>
    </row>
    <row r="890" spans="1:15" x14ac:dyDescent="0.25">
      <c r="A890" t="s">
        <v>917</v>
      </c>
      <c r="B890">
        <v>64</v>
      </c>
      <c r="C890" t="s">
        <v>24</v>
      </c>
      <c r="D890" t="s">
        <v>14</v>
      </c>
      <c r="E890" s="4">
        <v>46022</v>
      </c>
      <c r="F890" s="4">
        <v>46029</v>
      </c>
      <c r="G890" s="8">
        <v>7</v>
      </c>
      <c r="H890" t="s">
        <v>20</v>
      </c>
      <c r="I890">
        <v>0</v>
      </c>
      <c r="J890" t="s">
        <v>21</v>
      </c>
      <c r="K890" t="s">
        <v>47</v>
      </c>
      <c r="L890" s="6">
        <v>10515.11</v>
      </c>
      <c r="M890" t="str">
        <f>TEXT(Table1[[#This Row],[Admission_Date]], "mmm")</f>
        <v>Dec</v>
      </c>
      <c r="N890">
        <f>YEAR(Table1[[#This Row],[Admission_Date]])</f>
        <v>2025</v>
      </c>
      <c r="O890" t="str">
        <f>IF(Table1[[#This Row],[Age]]&lt;30, "Young Adult", IF(Table1[[#This Row],[Age]]&lt;60, "Adult", "Senior"))</f>
        <v>Senior</v>
      </c>
    </row>
    <row r="891" spans="1:15" x14ac:dyDescent="0.25">
      <c r="A891" t="s">
        <v>918</v>
      </c>
      <c r="B891">
        <v>40</v>
      </c>
      <c r="C891" t="s">
        <v>13</v>
      </c>
      <c r="D891" t="s">
        <v>14</v>
      </c>
      <c r="E891" s="4">
        <v>45702</v>
      </c>
      <c r="F891" s="4">
        <v>45713</v>
      </c>
      <c r="G891" s="8">
        <v>11</v>
      </c>
      <c r="H891" t="s">
        <v>20</v>
      </c>
      <c r="I891">
        <v>0</v>
      </c>
      <c r="J891" t="s">
        <v>29</v>
      </c>
      <c r="K891" t="s">
        <v>22</v>
      </c>
      <c r="L891" s="6">
        <v>12005.5</v>
      </c>
      <c r="M891" t="str">
        <f>TEXT(Table1[[#This Row],[Admission_Date]], "mmm")</f>
        <v>Feb</v>
      </c>
      <c r="N891">
        <f>YEAR(Table1[[#This Row],[Admission_Date]])</f>
        <v>2025</v>
      </c>
      <c r="O891" t="str">
        <f>IF(Table1[[#This Row],[Age]]&lt;30, "Young Adult", IF(Table1[[#This Row],[Age]]&lt;60, "Adult", "Senior"))</f>
        <v>Adult</v>
      </c>
    </row>
    <row r="892" spans="1:15" x14ac:dyDescent="0.25">
      <c r="A892" t="s">
        <v>919</v>
      </c>
      <c r="B892">
        <v>89</v>
      </c>
      <c r="C892" t="s">
        <v>13</v>
      </c>
      <c r="D892" t="s">
        <v>19</v>
      </c>
      <c r="E892" s="4">
        <v>45910</v>
      </c>
      <c r="F892" s="4">
        <v>45915</v>
      </c>
      <c r="G892" s="8">
        <v>5</v>
      </c>
      <c r="H892" t="s">
        <v>15</v>
      </c>
      <c r="I892">
        <v>12</v>
      </c>
      <c r="J892" t="s">
        <v>25</v>
      </c>
      <c r="K892" t="s">
        <v>47</v>
      </c>
      <c r="L892" s="6">
        <v>10315.450000000001</v>
      </c>
      <c r="M892" t="str">
        <f>TEXT(Table1[[#This Row],[Admission_Date]], "mmm")</f>
        <v>Sep</v>
      </c>
      <c r="N892">
        <f>YEAR(Table1[[#This Row],[Admission_Date]])</f>
        <v>2025</v>
      </c>
      <c r="O892" t="str">
        <f>IF(Table1[[#This Row],[Age]]&lt;30, "Young Adult", IF(Table1[[#This Row],[Age]]&lt;60, "Adult", "Senior"))</f>
        <v>Senior</v>
      </c>
    </row>
    <row r="893" spans="1:15" x14ac:dyDescent="0.25">
      <c r="A893" t="s">
        <v>920</v>
      </c>
      <c r="B893">
        <v>82</v>
      </c>
      <c r="C893" t="s">
        <v>13</v>
      </c>
      <c r="D893" t="s">
        <v>19</v>
      </c>
      <c r="E893" s="4">
        <v>45747</v>
      </c>
      <c r="F893" s="4">
        <v>45761</v>
      </c>
      <c r="G893" s="8">
        <v>14</v>
      </c>
      <c r="H893" t="s">
        <v>20</v>
      </c>
      <c r="I893">
        <v>0</v>
      </c>
      <c r="J893" t="s">
        <v>25</v>
      </c>
      <c r="K893" t="s">
        <v>47</v>
      </c>
      <c r="L893" s="6">
        <v>2152.5500000000002</v>
      </c>
      <c r="M893" t="str">
        <f>TEXT(Table1[[#This Row],[Admission_Date]], "mmm")</f>
        <v>Mar</v>
      </c>
      <c r="N893">
        <f>YEAR(Table1[[#This Row],[Admission_Date]])</f>
        <v>2025</v>
      </c>
      <c r="O893" t="str">
        <f>IF(Table1[[#This Row],[Age]]&lt;30, "Young Adult", IF(Table1[[#This Row],[Age]]&lt;60, "Adult", "Senior"))</f>
        <v>Senior</v>
      </c>
    </row>
    <row r="894" spans="1:15" x14ac:dyDescent="0.25">
      <c r="A894" t="s">
        <v>921</v>
      </c>
      <c r="B894">
        <v>80</v>
      </c>
      <c r="C894" t="s">
        <v>24</v>
      </c>
      <c r="D894" t="s">
        <v>32</v>
      </c>
      <c r="E894" s="4">
        <v>45774</v>
      </c>
      <c r="F894" s="4">
        <v>45776</v>
      </c>
      <c r="G894" s="8">
        <v>2</v>
      </c>
      <c r="H894" t="s">
        <v>20</v>
      </c>
      <c r="I894">
        <v>0</v>
      </c>
      <c r="J894" t="s">
        <v>25</v>
      </c>
      <c r="K894" t="s">
        <v>22</v>
      </c>
      <c r="L894" s="6">
        <v>11666.38</v>
      </c>
      <c r="M894" t="str">
        <f>TEXT(Table1[[#This Row],[Admission_Date]], "mmm")</f>
        <v>Apr</v>
      </c>
      <c r="N894">
        <f>YEAR(Table1[[#This Row],[Admission_Date]])</f>
        <v>2025</v>
      </c>
      <c r="O894" t="str">
        <f>IF(Table1[[#This Row],[Age]]&lt;30, "Young Adult", IF(Table1[[#This Row],[Age]]&lt;60, "Adult", "Senior"))</f>
        <v>Senior</v>
      </c>
    </row>
    <row r="895" spans="1:15" x14ac:dyDescent="0.25">
      <c r="A895" t="s">
        <v>922</v>
      </c>
      <c r="B895">
        <v>83</v>
      </c>
      <c r="C895" t="s">
        <v>13</v>
      </c>
      <c r="D895" t="s">
        <v>28</v>
      </c>
      <c r="E895" s="4">
        <v>45943</v>
      </c>
      <c r="F895" s="4">
        <v>45948</v>
      </c>
      <c r="G895" s="8">
        <v>5</v>
      </c>
      <c r="H895" t="s">
        <v>20</v>
      </c>
      <c r="I895">
        <v>0</v>
      </c>
      <c r="J895" t="s">
        <v>16</v>
      </c>
      <c r="K895" t="s">
        <v>47</v>
      </c>
      <c r="L895" s="6">
        <v>12085.31</v>
      </c>
      <c r="M895" t="str">
        <f>TEXT(Table1[[#This Row],[Admission_Date]], "mmm")</f>
        <v>Oct</v>
      </c>
      <c r="N895">
        <f>YEAR(Table1[[#This Row],[Admission_Date]])</f>
        <v>2025</v>
      </c>
      <c r="O895" t="str">
        <f>IF(Table1[[#This Row],[Age]]&lt;30, "Young Adult", IF(Table1[[#This Row],[Age]]&lt;60, "Adult", "Senior"))</f>
        <v>Senior</v>
      </c>
    </row>
    <row r="896" spans="1:15" x14ac:dyDescent="0.25">
      <c r="A896" t="s">
        <v>923</v>
      </c>
      <c r="B896">
        <v>31</v>
      </c>
      <c r="C896" t="s">
        <v>13</v>
      </c>
      <c r="D896" t="s">
        <v>34</v>
      </c>
      <c r="E896" s="4">
        <v>45714</v>
      </c>
      <c r="F896" s="4">
        <v>45716</v>
      </c>
      <c r="G896" s="8">
        <v>2</v>
      </c>
      <c r="H896" t="s">
        <v>20</v>
      </c>
      <c r="I896">
        <v>0</v>
      </c>
      <c r="J896" t="s">
        <v>16</v>
      </c>
      <c r="K896" t="s">
        <v>22</v>
      </c>
      <c r="L896" s="6">
        <v>9633.93</v>
      </c>
      <c r="M896" t="str">
        <f>TEXT(Table1[[#This Row],[Admission_Date]], "mmm")</f>
        <v>Feb</v>
      </c>
      <c r="N896">
        <f>YEAR(Table1[[#This Row],[Admission_Date]])</f>
        <v>2025</v>
      </c>
      <c r="O896" t="str">
        <f>IF(Table1[[#This Row],[Age]]&lt;30, "Young Adult", IF(Table1[[#This Row],[Age]]&lt;60, "Adult", "Senior"))</f>
        <v>Adult</v>
      </c>
    </row>
    <row r="897" spans="1:15" x14ac:dyDescent="0.25">
      <c r="A897" t="s">
        <v>924</v>
      </c>
      <c r="B897">
        <v>55</v>
      </c>
      <c r="C897" t="s">
        <v>24</v>
      </c>
      <c r="D897" t="s">
        <v>34</v>
      </c>
      <c r="E897" s="4">
        <v>45763</v>
      </c>
      <c r="F897" s="4">
        <v>45769</v>
      </c>
      <c r="G897" s="8">
        <v>6</v>
      </c>
      <c r="H897" t="s">
        <v>15</v>
      </c>
      <c r="I897">
        <v>16</v>
      </c>
      <c r="J897" t="s">
        <v>16</v>
      </c>
      <c r="K897" t="s">
        <v>22</v>
      </c>
      <c r="L897" s="6">
        <v>9882.85</v>
      </c>
      <c r="M897" t="str">
        <f>TEXT(Table1[[#This Row],[Admission_Date]], "mmm")</f>
        <v>Apr</v>
      </c>
      <c r="N897">
        <f>YEAR(Table1[[#This Row],[Admission_Date]])</f>
        <v>2025</v>
      </c>
      <c r="O897" t="str">
        <f>IF(Table1[[#This Row],[Age]]&lt;30, "Young Adult", IF(Table1[[#This Row],[Age]]&lt;60, "Adult", "Senior"))</f>
        <v>Adult</v>
      </c>
    </row>
    <row r="898" spans="1:15" x14ac:dyDescent="0.25">
      <c r="A898" t="s">
        <v>925</v>
      </c>
      <c r="B898">
        <v>43</v>
      </c>
      <c r="C898" t="s">
        <v>24</v>
      </c>
      <c r="D898" t="s">
        <v>40</v>
      </c>
      <c r="E898" s="4">
        <v>45829</v>
      </c>
      <c r="F898" s="4">
        <v>45843</v>
      </c>
      <c r="G898" s="8">
        <v>14</v>
      </c>
      <c r="H898" t="s">
        <v>15</v>
      </c>
      <c r="I898">
        <v>25</v>
      </c>
      <c r="J898" t="s">
        <v>16</v>
      </c>
      <c r="K898" t="s">
        <v>22</v>
      </c>
      <c r="L898" s="6">
        <v>12604.79</v>
      </c>
      <c r="M898" t="str">
        <f>TEXT(Table1[[#This Row],[Admission_Date]], "mmm")</f>
        <v>Jun</v>
      </c>
      <c r="N898">
        <f>YEAR(Table1[[#This Row],[Admission_Date]])</f>
        <v>2025</v>
      </c>
      <c r="O898" t="str">
        <f>IF(Table1[[#This Row],[Age]]&lt;30, "Young Adult", IF(Table1[[#This Row],[Age]]&lt;60, "Adult", "Senior"))</f>
        <v>Adult</v>
      </c>
    </row>
    <row r="899" spans="1:15" x14ac:dyDescent="0.25">
      <c r="A899" t="s">
        <v>926</v>
      </c>
      <c r="B899">
        <v>39</v>
      </c>
      <c r="C899" t="s">
        <v>13</v>
      </c>
      <c r="D899" t="s">
        <v>32</v>
      </c>
      <c r="E899" s="4">
        <v>45900</v>
      </c>
      <c r="F899" s="4">
        <v>45906</v>
      </c>
      <c r="G899" s="8">
        <v>6</v>
      </c>
      <c r="H899" t="s">
        <v>15</v>
      </c>
      <c r="I899">
        <v>12</v>
      </c>
      <c r="J899" t="s">
        <v>29</v>
      </c>
      <c r="K899" t="s">
        <v>47</v>
      </c>
      <c r="L899" s="6">
        <v>9626.89</v>
      </c>
      <c r="M899" t="str">
        <f>TEXT(Table1[[#This Row],[Admission_Date]], "mmm")</f>
        <v>Aug</v>
      </c>
      <c r="N899">
        <f>YEAR(Table1[[#This Row],[Admission_Date]])</f>
        <v>2025</v>
      </c>
      <c r="O899" t="str">
        <f>IF(Table1[[#This Row],[Age]]&lt;30, "Young Adult", IF(Table1[[#This Row],[Age]]&lt;60, "Adult", "Senior"))</f>
        <v>Adult</v>
      </c>
    </row>
    <row r="900" spans="1:15" x14ac:dyDescent="0.25">
      <c r="A900" t="s">
        <v>927</v>
      </c>
      <c r="B900">
        <v>85</v>
      </c>
      <c r="C900" t="s">
        <v>24</v>
      </c>
      <c r="D900" t="s">
        <v>14</v>
      </c>
      <c r="E900" s="4">
        <v>45783</v>
      </c>
      <c r="F900" s="4">
        <v>45786</v>
      </c>
      <c r="G900" s="8">
        <v>3</v>
      </c>
      <c r="H900" t="s">
        <v>20</v>
      </c>
      <c r="I900">
        <v>0</v>
      </c>
      <c r="J900" t="s">
        <v>21</v>
      </c>
      <c r="K900" t="s">
        <v>47</v>
      </c>
      <c r="L900" s="6">
        <v>6494.44</v>
      </c>
      <c r="M900" t="str">
        <f>TEXT(Table1[[#This Row],[Admission_Date]], "mmm")</f>
        <v>May</v>
      </c>
      <c r="N900">
        <f>YEAR(Table1[[#This Row],[Admission_Date]])</f>
        <v>2025</v>
      </c>
      <c r="O900" t="str">
        <f>IF(Table1[[#This Row],[Age]]&lt;30, "Young Adult", IF(Table1[[#This Row],[Age]]&lt;60, "Adult", "Senior"))</f>
        <v>Senior</v>
      </c>
    </row>
    <row r="901" spans="1:15" x14ac:dyDescent="0.25">
      <c r="A901" t="s">
        <v>928</v>
      </c>
      <c r="B901">
        <v>84</v>
      </c>
      <c r="C901" t="s">
        <v>24</v>
      </c>
      <c r="D901" t="s">
        <v>19</v>
      </c>
      <c r="E901" s="4">
        <v>45867</v>
      </c>
      <c r="F901" s="4">
        <v>45875</v>
      </c>
      <c r="G901" s="8">
        <v>8</v>
      </c>
      <c r="H901" t="s">
        <v>20</v>
      </c>
      <c r="I901">
        <v>0</v>
      </c>
      <c r="J901" t="s">
        <v>29</v>
      </c>
      <c r="K901" t="s">
        <v>22</v>
      </c>
      <c r="L901" s="6">
        <v>11667.2</v>
      </c>
      <c r="M901" t="str">
        <f>TEXT(Table1[[#This Row],[Admission_Date]], "mmm")</f>
        <v>Jul</v>
      </c>
      <c r="N901">
        <f>YEAR(Table1[[#This Row],[Admission_Date]])</f>
        <v>2025</v>
      </c>
      <c r="O901" t="str">
        <f>IF(Table1[[#This Row],[Age]]&lt;30, "Young Adult", IF(Table1[[#This Row],[Age]]&lt;60, "Adult", "Senior"))</f>
        <v>Senior</v>
      </c>
    </row>
    <row r="902" spans="1:15" x14ac:dyDescent="0.25">
      <c r="A902" t="s">
        <v>929</v>
      </c>
      <c r="B902">
        <v>58</v>
      </c>
      <c r="C902" t="s">
        <v>24</v>
      </c>
      <c r="D902" t="s">
        <v>14</v>
      </c>
      <c r="E902" s="4">
        <v>45922</v>
      </c>
      <c r="F902" s="4">
        <v>45924</v>
      </c>
      <c r="G902" s="8">
        <v>2</v>
      </c>
      <c r="H902" t="s">
        <v>15</v>
      </c>
      <c r="I902">
        <v>14</v>
      </c>
      <c r="J902" t="s">
        <v>16</v>
      </c>
      <c r="K902" t="s">
        <v>47</v>
      </c>
      <c r="L902" s="6">
        <v>11508.29</v>
      </c>
      <c r="M902" t="str">
        <f>TEXT(Table1[[#This Row],[Admission_Date]], "mmm")</f>
        <v>Sep</v>
      </c>
      <c r="N902">
        <f>YEAR(Table1[[#This Row],[Admission_Date]])</f>
        <v>2025</v>
      </c>
      <c r="O902" t="str">
        <f>IF(Table1[[#This Row],[Age]]&lt;30, "Young Adult", IF(Table1[[#This Row],[Age]]&lt;60, "Adult", "Senior"))</f>
        <v>Adult</v>
      </c>
    </row>
    <row r="903" spans="1:15" x14ac:dyDescent="0.25">
      <c r="A903" t="s">
        <v>930</v>
      </c>
      <c r="B903">
        <v>25</v>
      </c>
      <c r="C903" t="s">
        <v>24</v>
      </c>
      <c r="D903" t="s">
        <v>40</v>
      </c>
      <c r="E903" s="4">
        <v>45996</v>
      </c>
      <c r="F903" s="4">
        <v>46007</v>
      </c>
      <c r="G903" s="8">
        <v>11</v>
      </c>
      <c r="H903" t="s">
        <v>15</v>
      </c>
      <c r="I903">
        <v>13</v>
      </c>
      <c r="J903" t="s">
        <v>25</v>
      </c>
      <c r="K903" t="s">
        <v>17</v>
      </c>
      <c r="L903" s="6">
        <v>11269.11</v>
      </c>
      <c r="M903" t="str">
        <f>TEXT(Table1[[#This Row],[Admission_Date]], "mmm")</f>
        <v>Dec</v>
      </c>
      <c r="N903">
        <f>YEAR(Table1[[#This Row],[Admission_Date]])</f>
        <v>2025</v>
      </c>
      <c r="O903" t="str">
        <f>IF(Table1[[#This Row],[Age]]&lt;30, "Young Adult", IF(Table1[[#This Row],[Age]]&lt;60, "Adult", "Senior"))</f>
        <v>Young Adult</v>
      </c>
    </row>
    <row r="904" spans="1:15" x14ac:dyDescent="0.25">
      <c r="A904" t="s">
        <v>931</v>
      </c>
      <c r="B904">
        <v>85</v>
      </c>
      <c r="C904" t="s">
        <v>13</v>
      </c>
      <c r="D904" t="s">
        <v>28</v>
      </c>
      <c r="E904" s="4">
        <v>45834</v>
      </c>
      <c r="F904" s="4">
        <v>45835</v>
      </c>
      <c r="G904" s="8">
        <v>1</v>
      </c>
      <c r="H904" t="s">
        <v>20</v>
      </c>
      <c r="I904">
        <v>0</v>
      </c>
      <c r="J904" t="s">
        <v>29</v>
      </c>
      <c r="K904" t="s">
        <v>47</v>
      </c>
      <c r="L904" s="6">
        <v>9836.25</v>
      </c>
      <c r="M904" t="str">
        <f>TEXT(Table1[[#This Row],[Admission_Date]], "mmm")</f>
        <v>Jun</v>
      </c>
      <c r="N904">
        <f>YEAR(Table1[[#This Row],[Admission_Date]])</f>
        <v>2025</v>
      </c>
      <c r="O904" t="str">
        <f>IF(Table1[[#This Row],[Age]]&lt;30, "Young Adult", IF(Table1[[#This Row],[Age]]&lt;60, "Adult", "Senior"))</f>
        <v>Senior</v>
      </c>
    </row>
    <row r="905" spans="1:15" x14ac:dyDescent="0.25">
      <c r="A905" t="s">
        <v>932</v>
      </c>
      <c r="B905">
        <v>74</v>
      </c>
      <c r="C905" t="s">
        <v>24</v>
      </c>
      <c r="D905" t="s">
        <v>28</v>
      </c>
      <c r="E905" s="4">
        <v>45936</v>
      </c>
      <c r="F905" s="4">
        <v>45946</v>
      </c>
      <c r="G905" s="8">
        <v>10</v>
      </c>
      <c r="H905" t="s">
        <v>20</v>
      </c>
      <c r="I905">
        <v>0</v>
      </c>
      <c r="J905" t="s">
        <v>29</v>
      </c>
      <c r="K905" t="s">
        <v>22</v>
      </c>
      <c r="L905" s="6">
        <v>13274.13</v>
      </c>
      <c r="M905" t="str">
        <f>TEXT(Table1[[#This Row],[Admission_Date]], "mmm")</f>
        <v>Oct</v>
      </c>
      <c r="N905">
        <f>YEAR(Table1[[#This Row],[Admission_Date]])</f>
        <v>2025</v>
      </c>
      <c r="O905" t="str">
        <f>IF(Table1[[#This Row],[Age]]&lt;30, "Young Adult", IF(Table1[[#This Row],[Age]]&lt;60, "Adult", "Senior"))</f>
        <v>Senior</v>
      </c>
    </row>
    <row r="906" spans="1:15" x14ac:dyDescent="0.25">
      <c r="A906" t="s">
        <v>933</v>
      </c>
      <c r="B906">
        <v>67</v>
      </c>
      <c r="C906" t="s">
        <v>13</v>
      </c>
      <c r="D906" t="s">
        <v>34</v>
      </c>
      <c r="E906" s="4">
        <v>45701</v>
      </c>
      <c r="F906" s="4">
        <v>45702</v>
      </c>
      <c r="G906" s="8">
        <v>1</v>
      </c>
      <c r="H906" t="s">
        <v>20</v>
      </c>
      <c r="I906">
        <v>0</v>
      </c>
      <c r="J906" t="s">
        <v>25</v>
      </c>
      <c r="K906" t="s">
        <v>22</v>
      </c>
      <c r="L906" s="6">
        <v>1845.88</v>
      </c>
      <c r="M906" t="str">
        <f>TEXT(Table1[[#This Row],[Admission_Date]], "mmm")</f>
        <v>Feb</v>
      </c>
      <c r="N906">
        <f>YEAR(Table1[[#This Row],[Admission_Date]])</f>
        <v>2025</v>
      </c>
      <c r="O906" t="str">
        <f>IF(Table1[[#This Row],[Age]]&lt;30, "Young Adult", IF(Table1[[#This Row],[Age]]&lt;60, "Adult", "Senior"))</f>
        <v>Senior</v>
      </c>
    </row>
    <row r="907" spans="1:15" x14ac:dyDescent="0.25">
      <c r="A907" t="s">
        <v>934</v>
      </c>
      <c r="B907">
        <v>38</v>
      </c>
      <c r="C907" t="s">
        <v>13</v>
      </c>
      <c r="D907" t="s">
        <v>19</v>
      </c>
      <c r="E907" s="4">
        <v>45940</v>
      </c>
      <c r="F907" s="4">
        <v>45945</v>
      </c>
      <c r="G907" s="8">
        <v>5</v>
      </c>
      <c r="H907" t="s">
        <v>20</v>
      </c>
      <c r="I907">
        <v>0</v>
      </c>
      <c r="J907" t="s">
        <v>25</v>
      </c>
      <c r="K907" t="s">
        <v>22</v>
      </c>
      <c r="L907" s="6">
        <v>12567.32</v>
      </c>
      <c r="M907" t="str">
        <f>TEXT(Table1[[#This Row],[Admission_Date]], "mmm")</f>
        <v>Oct</v>
      </c>
      <c r="N907">
        <f>YEAR(Table1[[#This Row],[Admission_Date]])</f>
        <v>2025</v>
      </c>
      <c r="O907" t="str">
        <f>IF(Table1[[#This Row],[Age]]&lt;30, "Young Adult", IF(Table1[[#This Row],[Age]]&lt;60, "Adult", "Senior"))</f>
        <v>Adult</v>
      </c>
    </row>
    <row r="908" spans="1:15" x14ac:dyDescent="0.25">
      <c r="A908" t="s">
        <v>935</v>
      </c>
      <c r="B908">
        <v>82</v>
      </c>
      <c r="C908" t="s">
        <v>13</v>
      </c>
      <c r="D908" t="s">
        <v>28</v>
      </c>
      <c r="E908" s="4">
        <v>45813</v>
      </c>
      <c r="F908" s="4">
        <v>45825</v>
      </c>
      <c r="G908" s="8">
        <v>12</v>
      </c>
      <c r="H908" t="s">
        <v>20</v>
      </c>
      <c r="I908">
        <v>0</v>
      </c>
      <c r="J908" t="s">
        <v>16</v>
      </c>
      <c r="K908" t="s">
        <v>47</v>
      </c>
      <c r="L908" s="6">
        <v>4266.47</v>
      </c>
      <c r="M908" t="str">
        <f>TEXT(Table1[[#This Row],[Admission_Date]], "mmm")</f>
        <v>Jun</v>
      </c>
      <c r="N908">
        <f>YEAR(Table1[[#This Row],[Admission_Date]])</f>
        <v>2025</v>
      </c>
      <c r="O908" t="str">
        <f>IF(Table1[[#This Row],[Age]]&lt;30, "Young Adult", IF(Table1[[#This Row],[Age]]&lt;60, "Adult", "Senior"))</f>
        <v>Senior</v>
      </c>
    </row>
    <row r="909" spans="1:15" x14ac:dyDescent="0.25">
      <c r="A909" t="s">
        <v>936</v>
      </c>
      <c r="B909">
        <v>33</v>
      </c>
      <c r="C909" t="s">
        <v>24</v>
      </c>
      <c r="D909" t="s">
        <v>32</v>
      </c>
      <c r="E909" s="4">
        <v>45917</v>
      </c>
      <c r="F909" s="4">
        <v>45923</v>
      </c>
      <c r="G909" s="8">
        <v>6</v>
      </c>
      <c r="H909" t="s">
        <v>15</v>
      </c>
      <c r="I909">
        <v>19</v>
      </c>
      <c r="J909" t="s">
        <v>16</v>
      </c>
      <c r="K909" t="s">
        <v>47</v>
      </c>
      <c r="L909" s="6">
        <v>5415.21</v>
      </c>
      <c r="M909" t="str">
        <f>TEXT(Table1[[#This Row],[Admission_Date]], "mmm")</f>
        <v>Sep</v>
      </c>
      <c r="N909">
        <f>YEAR(Table1[[#This Row],[Admission_Date]])</f>
        <v>2025</v>
      </c>
      <c r="O909" t="str">
        <f>IF(Table1[[#This Row],[Age]]&lt;30, "Young Adult", IF(Table1[[#This Row],[Age]]&lt;60, "Adult", "Senior"))</f>
        <v>Adult</v>
      </c>
    </row>
    <row r="910" spans="1:15" x14ac:dyDescent="0.25">
      <c r="A910" t="s">
        <v>937</v>
      </c>
      <c r="B910">
        <v>90</v>
      </c>
      <c r="C910" t="s">
        <v>13</v>
      </c>
      <c r="D910" t="s">
        <v>32</v>
      </c>
      <c r="E910" s="4">
        <v>45778</v>
      </c>
      <c r="F910" s="4">
        <v>45791</v>
      </c>
      <c r="G910" s="8">
        <v>13</v>
      </c>
      <c r="H910" t="s">
        <v>20</v>
      </c>
      <c r="I910">
        <v>0</v>
      </c>
      <c r="J910" t="s">
        <v>25</v>
      </c>
      <c r="K910" t="s">
        <v>47</v>
      </c>
      <c r="L910" s="6">
        <v>10170.370000000001</v>
      </c>
      <c r="M910" t="str">
        <f>TEXT(Table1[[#This Row],[Admission_Date]], "mmm")</f>
        <v>May</v>
      </c>
      <c r="N910">
        <f>YEAR(Table1[[#This Row],[Admission_Date]])</f>
        <v>2025</v>
      </c>
      <c r="O910" t="str">
        <f>IF(Table1[[#This Row],[Age]]&lt;30, "Young Adult", IF(Table1[[#This Row],[Age]]&lt;60, "Adult", "Senior"))</f>
        <v>Senior</v>
      </c>
    </row>
    <row r="911" spans="1:15" x14ac:dyDescent="0.25">
      <c r="A911" t="s">
        <v>938</v>
      </c>
      <c r="B911">
        <v>66</v>
      </c>
      <c r="C911" t="s">
        <v>13</v>
      </c>
      <c r="D911" t="s">
        <v>19</v>
      </c>
      <c r="E911" s="4">
        <v>45951</v>
      </c>
      <c r="F911" s="4">
        <v>45962</v>
      </c>
      <c r="G911" s="8">
        <v>11</v>
      </c>
      <c r="H911" t="s">
        <v>15</v>
      </c>
      <c r="I911">
        <v>11</v>
      </c>
      <c r="J911" t="s">
        <v>21</v>
      </c>
      <c r="K911" t="s">
        <v>47</v>
      </c>
      <c r="L911" s="6">
        <v>7087.49</v>
      </c>
      <c r="M911" t="str">
        <f>TEXT(Table1[[#This Row],[Admission_Date]], "mmm")</f>
        <v>Oct</v>
      </c>
      <c r="N911">
        <f>YEAR(Table1[[#This Row],[Admission_Date]])</f>
        <v>2025</v>
      </c>
      <c r="O911" t="str">
        <f>IF(Table1[[#This Row],[Age]]&lt;30, "Young Adult", IF(Table1[[#This Row],[Age]]&lt;60, "Adult", "Senior"))</f>
        <v>Senior</v>
      </c>
    </row>
    <row r="912" spans="1:15" x14ac:dyDescent="0.25">
      <c r="A912" t="s">
        <v>939</v>
      </c>
      <c r="B912">
        <v>70</v>
      </c>
      <c r="C912" t="s">
        <v>13</v>
      </c>
      <c r="D912" t="s">
        <v>19</v>
      </c>
      <c r="E912" s="4">
        <v>45733</v>
      </c>
      <c r="F912" s="4">
        <v>45745</v>
      </c>
      <c r="G912" s="8">
        <v>12</v>
      </c>
      <c r="H912" t="s">
        <v>20</v>
      </c>
      <c r="I912">
        <v>0</v>
      </c>
      <c r="J912" t="s">
        <v>16</v>
      </c>
      <c r="K912" t="s">
        <v>47</v>
      </c>
      <c r="L912" s="6">
        <v>13383.38</v>
      </c>
      <c r="M912" t="str">
        <f>TEXT(Table1[[#This Row],[Admission_Date]], "mmm")</f>
        <v>Mar</v>
      </c>
      <c r="N912">
        <f>YEAR(Table1[[#This Row],[Admission_Date]])</f>
        <v>2025</v>
      </c>
      <c r="O912" t="str">
        <f>IF(Table1[[#This Row],[Age]]&lt;30, "Young Adult", IF(Table1[[#This Row],[Age]]&lt;60, "Adult", "Senior"))</f>
        <v>Senior</v>
      </c>
    </row>
    <row r="913" spans="1:15" x14ac:dyDescent="0.25">
      <c r="A913" t="s">
        <v>940</v>
      </c>
      <c r="B913">
        <v>65</v>
      </c>
      <c r="C913" t="s">
        <v>24</v>
      </c>
      <c r="D913" t="s">
        <v>34</v>
      </c>
      <c r="E913" s="4">
        <v>45901</v>
      </c>
      <c r="F913" s="4">
        <v>45905</v>
      </c>
      <c r="G913" s="8">
        <v>4</v>
      </c>
      <c r="H913" t="s">
        <v>20</v>
      </c>
      <c r="I913">
        <v>0</v>
      </c>
      <c r="J913" t="s">
        <v>29</v>
      </c>
      <c r="K913" t="s">
        <v>47</v>
      </c>
      <c r="L913" s="6">
        <v>8972.4</v>
      </c>
      <c r="M913" t="str">
        <f>TEXT(Table1[[#This Row],[Admission_Date]], "mmm")</f>
        <v>Sep</v>
      </c>
      <c r="N913">
        <f>YEAR(Table1[[#This Row],[Admission_Date]])</f>
        <v>2025</v>
      </c>
      <c r="O913" t="str">
        <f>IF(Table1[[#This Row],[Age]]&lt;30, "Young Adult", IF(Table1[[#This Row],[Age]]&lt;60, "Adult", "Senior"))</f>
        <v>Senior</v>
      </c>
    </row>
    <row r="914" spans="1:15" x14ac:dyDescent="0.25">
      <c r="A914" t="s">
        <v>941</v>
      </c>
      <c r="B914">
        <v>80</v>
      </c>
      <c r="C914" t="s">
        <v>24</v>
      </c>
      <c r="D914" t="s">
        <v>14</v>
      </c>
      <c r="E914" s="4">
        <v>45983</v>
      </c>
      <c r="F914" s="4">
        <v>45990</v>
      </c>
      <c r="G914" s="8">
        <v>7</v>
      </c>
      <c r="H914" t="s">
        <v>20</v>
      </c>
      <c r="I914">
        <v>0</v>
      </c>
      <c r="J914" t="s">
        <v>21</v>
      </c>
      <c r="K914" t="s">
        <v>17</v>
      </c>
      <c r="L914" s="6">
        <v>2343.3000000000002</v>
      </c>
      <c r="M914" t="str">
        <f>TEXT(Table1[[#This Row],[Admission_Date]], "mmm")</f>
        <v>Nov</v>
      </c>
      <c r="N914">
        <f>YEAR(Table1[[#This Row],[Admission_Date]])</f>
        <v>2025</v>
      </c>
      <c r="O914" t="str">
        <f>IF(Table1[[#This Row],[Age]]&lt;30, "Young Adult", IF(Table1[[#This Row],[Age]]&lt;60, "Adult", "Senior"))</f>
        <v>Senior</v>
      </c>
    </row>
    <row r="915" spans="1:15" x14ac:dyDescent="0.25">
      <c r="A915" t="s">
        <v>942</v>
      </c>
      <c r="B915">
        <v>83</v>
      </c>
      <c r="C915" t="s">
        <v>13</v>
      </c>
      <c r="D915" t="s">
        <v>28</v>
      </c>
      <c r="E915" s="4">
        <v>46022</v>
      </c>
      <c r="F915" s="4">
        <v>46030</v>
      </c>
      <c r="G915" s="8">
        <v>8</v>
      </c>
      <c r="H915" t="s">
        <v>15</v>
      </c>
      <c r="I915">
        <v>7</v>
      </c>
      <c r="J915" t="s">
        <v>29</v>
      </c>
      <c r="K915" t="s">
        <v>47</v>
      </c>
      <c r="L915" s="6">
        <v>972.81</v>
      </c>
      <c r="M915" t="str">
        <f>TEXT(Table1[[#This Row],[Admission_Date]], "mmm")</f>
        <v>Dec</v>
      </c>
      <c r="N915">
        <f>YEAR(Table1[[#This Row],[Admission_Date]])</f>
        <v>2025</v>
      </c>
      <c r="O915" t="str">
        <f>IF(Table1[[#This Row],[Age]]&lt;30, "Young Adult", IF(Table1[[#This Row],[Age]]&lt;60, "Adult", "Senior"))</f>
        <v>Senior</v>
      </c>
    </row>
    <row r="916" spans="1:15" x14ac:dyDescent="0.25">
      <c r="A916" t="s">
        <v>943</v>
      </c>
      <c r="B916">
        <v>33</v>
      </c>
      <c r="C916" t="s">
        <v>24</v>
      </c>
      <c r="D916" t="s">
        <v>19</v>
      </c>
      <c r="E916" s="4">
        <v>45738</v>
      </c>
      <c r="F916" s="4">
        <v>45747</v>
      </c>
      <c r="G916" s="8">
        <v>9</v>
      </c>
      <c r="H916" t="s">
        <v>20</v>
      </c>
      <c r="I916">
        <v>0</v>
      </c>
      <c r="J916" t="s">
        <v>16</v>
      </c>
      <c r="K916" t="s">
        <v>47</v>
      </c>
      <c r="L916" s="6">
        <v>8790.59</v>
      </c>
      <c r="M916" t="str">
        <f>TEXT(Table1[[#This Row],[Admission_Date]], "mmm")</f>
        <v>Mar</v>
      </c>
      <c r="N916">
        <f>YEAR(Table1[[#This Row],[Admission_Date]])</f>
        <v>2025</v>
      </c>
      <c r="O916" t="str">
        <f>IF(Table1[[#This Row],[Age]]&lt;30, "Young Adult", IF(Table1[[#This Row],[Age]]&lt;60, "Adult", "Senior"))</f>
        <v>Adult</v>
      </c>
    </row>
    <row r="917" spans="1:15" x14ac:dyDescent="0.25">
      <c r="A917" t="s">
        <v>944</v>
      </c>
      <c r="B917">
        <v>65</v>
      </c>
      <c r="C917" t="s">
        <v>24</v>
      </c>
      <c r="D917" t="s">
        <v>32</v>
      </c>
      <c r="E917" s="4">
        <v>45678</v>
      </c>
      <c r="F917" s="4">
        <v>45687</v>
      </c>
      <c r="G917" s="8">
        <v>9</v>
      </c>
      <c r="H917" t="s">
        <v>15</v>
      </c>
      <c r="I917">
        <v>10</v>
      </c>
      <c r="J917" t="s">
        <v>25</v>
      </c>
      <c r="K917" t="s">
        <v>47</v>
      </c>
      <c r="L917" s="6">
        <v>905.68</v>
      </c>
      <c r="M917" t="str">
        <f>TEXT(Table1[[#This Row],[Admission_Date]], "mmm")</f>
        <v>Jan</v>
      </c>
      <c r="N917">
        <f>YEAR(Table1[[#This Row],[Admission_Date]])</f>
        <v>2025</v>
      </c>
      <c r="O917" t="str">
        <f>IF(Table1[[#This Row],[Age]]&lt;30, "Young Adult", IF(Table1[[#This Row],[Age]]&lt;60, "Adult", "Senior"))</f>
        <v>Senior</v>
      </c>
    </row>
    <row r="918" spans="1:15" x14ac:dyDescent="0.25">
      <c r="A918" t="s">
        <v>945</v>
      </c>
      <c r="B918">
        <v>71</v>
      </c>
      <c r="C918" t="s">
        <v>13</v>
      </c>
      <c r="D918" t="s">
        <v>32</v>
      </c>
      <c r="E918" s="4">
        <v>45731</v>
      </c>
      <c r="F918" s="4">
        <v>45734</v>
      </c>
      <c r="G918" s="8">
        <v>3</v>
      </c>
      <c r="H918" t="s">
        <v>20</v>
      </c>
      <c r="I918">
        <v>0</v>
      </c>
      <c r="J918" t="s">
        <v>25</v>
      </c>
      <c r="K918" t="s">
        <v>22</v>
      </c>
      <c r="L918" s="6">
        <v>3154.62</v>
      </c>
      <c r="M918" t="str">
        <f>TEXT(Table1[[#This Row],[Admission_Date]], "mmm")</f>
        <v>Mar</v>
      </c>
      <c r="N918">
        <f>YEAR(Table1[[#This Row],[Admission_Date]])</f>
        <v>2025</v>
      </c>
      <c r="O918" t="str">
        <f>IF(Table1[[#This Row],[Age]]&lt;30, "Young Adult", IF(Table1[[#This Row],[Age]]&lt;60, "Adult", "Senior"))</f>
        <v>Senior</v>
      </c>
    </row>
    <row r="919" spans="1:15" x14ac:dyDescent="0.25">
      <c r="A919" t="s">
        <v>946</v>
      </c>
      <c r="B919">
        <v>62</v>
      </c>
      <c r="C919" t="s">
        <v>13</v>
      </c>
      <c r="D919" t="s">
        <v>19</v>
      </c>
      <c r="E919" s="4">
        <v>45908</v>
      </c>
      <c r="F919" s="4">
        <v>45909</v>
      </c>
      <c r="G919" s="8">
        <v>1</v>
      </c>
      <c r="H919" t="s">
        <v>15</v>
      </c>
      <c r="I919">
        <v>14</v>
      </c>
      <c r="J919" t="s">
        <v>29</v>
      </c>
      <c r="K919" t="s">
        <v>17</v>
      </c>
      <c r="L919" s="6">
        <v>4990.68</v>
      </c>
      <c r="M919" t="str">
        <f>TEXT(Table1[[#This Row],[Admission_Date]], "mmm")</f>
        <v>Sep</v>
      </c>
      <c r="N919">
        <f>YEAR(Table1[[#This Row],[Admission_Date]])</f>
        <v>2025</v>
      </c>
      <c r="O919" t="str">
        <f>IF(Table1[[#This Row],[Age]]&lt;30, "Young Adult", IF(Table1[[#This Row],[Age]]&lt;60, "Adult", "Senior"))</f>
        <v>Senior</v>
      </c>
    </row>
    <row r="920" spans="1:15" x14ac:dyDescent="0.25">
      <c r="A920" t="s">
        <v>947</v>
      </c>
      <c r="B920">
        <v>78</v>
      </c>
      <c r="C920" t="s">
        <v>13</v>
      </c>
      <c r="D920" t="s">
        <v>14</v>
      </c>
      <c r="E920" s="4">
        <v>45889</v>
      </c>
      <c r="F920" s="4">
        <v>45895</v>
      </c>
      <c r="G920" s="8">
        <v>6</v>
      </c>
      <c r="H920" t="s">
        <v>20</v>
      </c>
      <c r="I920">
        <v>0</v>
      </c>
      <c r="J920" t="s">
        <v>29</v>
      </c>
      <c r="K920" t="s">
        <v>47</v>
      </c>
      <c r="L920" s="6">
        <v>10174.700000000001</v>
      </c>
      <c r="M920" t="str">
        <f>TEXT(Table1[[#This Row],[Admission_Date]], "mmm")</f>
        <v>Aug</v>
      </c>
      <c r="N920">
        <f>YEAR(Table1[[#This Row],[Admission_Date]])</f>
        <v>2025</v>
      </c>
      <c r="O920" t="str">
        <f>IF(Table1[[#This Row],[Age]]&lt;30, "Young Adult", IF(Table1[[#This Row],[Age]]&lt;60, "Adult", "Senior"))</f>
        <v>Senior</v>
      </c>
    </row>
    <row r="921" spans="1:15" x14ac:dyDescent="0.25">
      <c r="A921" t="s">
        <v>948</v>
      </c>
      <c r="B921">
        <v>29</v>
      </c>
      <c r="C921" t="s">
        <v>24</v>
      </c>
      <c r="D921" t="s">
        <v>40</v>
      </c>
      <c r="E921" s="4">
        <v>45734</v>
      </c>
      <c r="F921" s="4">
        <v>45748</v>
      </c>
      <c r="G921" s="8">
        <v>14</v>
      </c>
      <c r="H921" t="s">
        <v>20</v>
      </c>
      <c r="I921">
        <v>0</v>
      </c>
      <c r="J921" t="s">
        <v>21</v>
      </c>
      <c r="K921" t="s">
        <v>47</v>
      </c>
      <c r="L921" s="6">
        <v>5415.47</v>
      </c>
      <c r="M921" t="str">
        <f>TEXT(Table1[[#This Row],[Admission_Date]], "mmm")</f>
        <v>Mar</v>
      </c>
      <c r="N921">
        <f>YEAR(Table1[[#This Row],[Admission_Date]])</f>
        <v>2025</v>
      </c>
      <c r="O921" t="str">
        <f>IF(Table1[[#This Row],[Age]]&lt;30, "Young Adult", IF(Table1[[#This Row],[Age]]&lt;60, "Adult", "Senior"))</f>
        <v>Young Adult</v>
      </c>
    </row>
    <row r="922" spans="1:15" x14ac:dyDescent="0.25">
      <c r="A922" t="s">
        <v>949</v>
      </c>
      <c r="B922">
        <v>53</v>
      </c>
      <c r="C922" t="s">
        <v>13</v>
      </c>
      <c r="D922" t="s">
        <v>14</v>
      </c>
      <c r="E922" s="4">
        <v>45681</v>
      </c>
      <c r="F922" s="4">
        <v>45692</v>
      </c>
      <c r="G922" s="8">
        <v>11</v>
      </c>
      <c r="H922" t="s">
        <v>20</v>
      </c>
      <c r="I922">
        <v>0</v>
      </c>
      <c r="J922" t="s">
        <v>16</v>
      </c>
      <c r="K922" t="s">
        <v>17</v>
      </c>
      <c r="L922" s="6">
        <v>9636.58</v>
      </c>
      <c r="M922" t="str">
        <f>TEXT(Table1[[#This Row],[Admission_Date]], "mmm")</f>
        <v>Jan</v>
      </c>
      <c r="N922">
        <f>YEAR(Table1[[#This Row],[Admission_Date]])</f>
        <v>2025</v>
      </c>
      <c r="O922" t="str">
        <f>IF(Table1[[#This Row],[Age]]&lt;30, "Young Adult", IF(Table1[[#This Row],[Age]]&lt;60, "Adult", "Senior"))</f>
        <v>Adult</v>
      </c>
    </row>
    <row r="923" spans="1:15" x14ac:dyDescent="0.25">
      <c r="A923" t="s">
        <v>950</v>
      </c>
      <c r="B923">
        <v>33</v>
      </c>
      <c r="C923" t="s">
        <v>13</v>
      </c>
      <c r="D923" t="s">
        <v>14</v>
      </c>
      <c r="E923" s="4">
        <v>46020</v>
      </c>
      <c r="F923" s="4">
        <v>46025</v>
      </c>
      <c r="G923" s="8">
        <v>5</v>
      </c>
      <c r="H923" t="s">
        <v>20</v>
      </c>
      <c r="I923">
        <v>0</v>
      </c>
      <c r="J923" t="s">
        <v>16</v>
      </c>
      <c r="K923" t="s">
        <v>17</v>
      </c>
      <c r="L923" s="6">
        <v>8065.43</v>
      </c>
      <c r="M923" t="str">
        <f>TEXT(Table1[[#This Row],[Admission_Date]], "mmm")</f>
        <v>Dec</v>
      </c>
      <c r="N923">
        <f>YEAR(Table1[[#This Row],[Admission_Date]])</f>
        <v>2025</v>
      </c>
      <c r="O923" t="str">
        <f>IF(Table1[[#This Row],[Age]]&lt;30, "Young Adult", IF(Table1[[#This Row],[Age]]&lt;60, "Adult", "Senior"))</f>
        <v>Adult</v>
      </c>
    </row>
    <row r="924" spans="1:15" x14ac:dyDescent="0.25">
      <c r="A924" t="s">
        <v>951</v>
      </c>
      <c r="B924">
        <v>33</v>
      </c>
      <c r="C924" t="s">
        <v>13</v>
      </c>
      <c r="D924" t="s">
        <v>19</v>
      </c>
      <c r="E924" s="4">
        <v>45901</v>
      </c>
      <c r="F924" s="4">
        <v>45910</v>
      </c>
      <c r="G924" s="8">
        <v>9</v>
      </c>
      <c r="H924" t="s">
        <v>20</v>
      </c>
      <c r="I924">
        <v>0</v>
      </c>
      <c r="J924" t="s">
        <v>25</v>
      </c>
      <c r="K924" t="s">
        <v>22</v>
      </c>
      <c r="L924" s="6">
        <v>4056.66</v>
      </c>
      <c r="M924" t="str">
        <f>TEXT(Table1[[#This Row],[Admission_Date]], "mmm")</f>
        <v>Sep</v>
      </c>
      <c r="N924">
        <f>YEAR(Table1[[#This Row],[Admission_Date]])</f>
        <v>2025</v>
      </c>
      <c r="O924" t="str">
        <f>IF(Table1[[#This Row],[Age]]&lt;30, "Young Adult", IF(Table1[[#This Row],[Age]]&lt;60, "Adult", "Senior"))</f>
        <v>Adult</v>
      </c>
    </row>
    <row r="925" spans="1:15" x14ac:dyDescent="0.25">
      <c r="A925" t="s">
        <v>952</v>
      </c>
      <c r="B925">
        <v>74</v>
      </c>
      <c r="C925" t="s">
        <v>13</v>
      </c>
      <c r="D925" t="s">
        <v>34</v>
      </c>
      <c r="E925" s="4">
        <v>46019</v>
      </c>
      <c r="F925" s="4">
        <v>46033</v>
      </c>
      <c r="G925" s="8">
        <v>14</v>
      </c>
      <c r="H925" t="s">
        <v>20</v>
      </c>
      <c r="I925">
        <v>0</v>
      </c>
      <c r="J925" t="s">
        <v>25</v>
      </c>
      <c r="K925" t="s">
        <v>47</v>
      </c>
      <c r="L925" s="6">
        <v>9038.9500000000007</v>
      </c>
      <c r="M925" t="str">
        <f>TEXT(Table1[[#This Row],[Admission_Date]], "mmm")</f>
        <v>Dec</v>
      </c>
      <c r="N925">
        <f>YEAR(Table1[[#This Row],[Admission_Date]])</f>
        <v>2025</v>
      </c>
      <c r="O925" t="str">
        <f>IF(Table1[[#This Row],[Age]]&lt;30, "Young Adult", IF(Table1[[#This Row],[Age]]&lt;60, "Adult", "Senior"))</f>
        <v>Senior</v>
      </c>
    </row>
    <row r="926" spans="1:15" x14ac:dyDescent="0.25">
      <c r="A926" t="s">
        <v>953</v>
      </c>
      <c r="B926">
        <v>61</v>
      </c>
      <c r="C926" t="s">
        <v>24</v>
      </c>
      <c r="D926" t="s">
        <v>14</v>
      </c>
      <c r="E926" s="4">
        <v>45909</v>
      </c>
      <c r="F926" s="4">
        <v>45923</v>
      </c>
      <c r="G926" s="8">
        <v>14</v>
      </c>
      <c r="H926" t="s">
        <v>20</v>
      </c>
      <c r="I926">
        <v>0</v>
      </c>
      <c r="J926" t="s">
        <v>29</v>
      </c>
      <c r="K926" t="s">
        <v>22</v>
      </c>
      <c r="L926" s="6">
        <v>12964.9</v>
      </c>
      <c r="M926" t="str">
        <f>TEXT(Table1[[#This Row],[Admission_Date]], "mmm")</f>
        <v>Sep</v>
      </c>
      <c r="N926">
        <f>YEAR(Table1[[#This Row],[Admission_Date]])</f>
        <v>2025</v>
      </c>
      <c r="O926" t="str">
        <f>IF(Table1[[#This Row],[Age]]&lt;30, "Young Adult", IF(Table1[[#This Row],[Age]]&lt;60, "Adult", "Senior"))</f>
        <v>Senior</v>
      </c>
    </row>
    <row r="927" spans="1:15" x14ac:dyDescent="0.25">
      <c r="A927" t="s">
        <v>954</v>
      </c>
      <c r="B927">
        <v>32</v>
      </c>
      <c r="C927" t="s">
        <v>13</v>
      </c>
      <c r="D927" t="s">
        <v>34</v>
      </c>
      <c r="E927" s="4">
        <v>45820</v>
      </c>
      <c r="F927" s="4">
        <v>45827</v>
      </c>
      <c r="G927" s="8">
        <v>7</v>
      </c>
      <c r="H927" t="s">
        <v>15</v>
      </c>
      <c r="I927">
        <v>6</v>
      </c>
      <c r="J927" t="s">
        <v>25</v>
      </c>
      <c r="K927" t="s">
        <v>22</v>
      </c>
      <c r="L927" s="6">
        <v>3148.7</v>
      </c>
      <c r="M927" t="str">
        <f>TEXT(Table1[[#This Row],[Admission_Date]], "mmm")</f>
        <v>Jun</v>
      </c>
      <c r="N927">
        <f>YEAR(Table1[[#This Row],[Admission_Date]])</f>
        <v>2025</v>
      </c>
      <c r="O927" t="str">
        <f>IF(Table1[[#This Row],[Age]]&lt;30, "Young Adult", IF(Table1[[#This Row],[Age]]&lt;60, "Adult", "Senior"))</f>
        <v>Adult</v>
      </c>
    </row>
    <row r="928" spans="1:15" x14ac:dyDescent="0.25">
      <c r="A928" t="s">
        <v>955</v>
      </c>
      <c r="B928">
        <v>70</v>
      </c>
      <c r="C928" t="s">
        <v>13</v>
      </c>
      <c r="D928" t="s">
        <v>19</v>
      </c>
      <c r="E928" s="4">
        <v>45703</v>
      </c>
      <c r="F928" s="4">
        <v>45706</v>
      </c>
      <c r="G928" s="8">
        <v>3</v>
      </c>
      <c r="H928" t="s">
        <v>20</v>
      </c>
      <c r="I928">
        <v>0</v>
      </c>
      <c r="J928" t="s">
        <v>25</v>
      </c>
      <c r="K928" t="s">
        <v>22</v>
      </c>
      <c r="L928" s="6">
        <v>893.98</v>
      </c>
      <c r="M928" t="str">
        <f>TEXT(Table1[[#This Row],[Admission_Date]], "mmm")</f>
        <v>Feb</v>
      </c>
      <c r="N928">
        <f>YEAR(Table1[[#This Row],[Admission_Date]])</f>
        <v>2025</v>
      </c>
      <c r="O928" t="str">
        <f>IF(Table1[[#This Row],[Age]]&lt;30, "Young Adult", IF(Table1[[#This Row],[Age]]&lt;60, "Adult", "Senior"))</f>
        <v>Senior</v>
      </c>
    </row>
    <row r="929" spans="1:15" x14ac:dyDescent="0.25">
      <c r="A929" t="s">
        <v>956</v>
      </c>
      <c r="B929">
        <v>58</v>
      </c>
      <c r="C929" t="s">
        <v>13</v>
      </c>
      <c r="D929" t="s">
        <v>40</v>
      </c>
      <c r="E929" s="4">
        <v>45687</v>
      </c>
      <c r="F929" s="4">
        <v>45692</v>
      </c>
      <c r="G929" s="8">
        <v>5</v>
      </c>
      <c r="H929" t="s">
        <v>20</v>
      </c>
      <c r="I929">
        <v>0</v>
      </c>
      <c r="J929" t="s">
        <v>25</v>
      </c>
      <c r="K929" t="s">
        <v>47</v>
      </c>
      <c r="L929" s="6">
        <v>5944.94</v>
      </c>
      <c r="M929" t="str">
        <f>TEXT(Table1[[#This Row],[Admission_Date]], "mmm")</f>
        <v>Jan</v>
      </c>
      <c r="N929">
        <f>YEAR(Table1[[#This Row],[Admission_Date]])</f>
        <v>2025</v>
      </c>
      <c r="O929" t="str">
        <f>IF(Table1[[#This Row],[Age]]&lt;30, "Young Adult", IF(Table1[[#This Row],[Age]]&lt;60, "Adult", "Senior"))</f>
        <v>Adult</v>
      </c>
    </row>
    <row r="930" spans="1:15" x14ac:dyDescent="0.25">
      <c r="A930" t="s">
        <v>957</v>
      </c>
      <c r="B930">
        <v>48</v>
      </c>
      <c r="C930" t="s">
        <v>24</v>
      </c>
      <c r="D930" t="s">
        <v>34</v>
      </c>
      <c r="E930" s="4">
        <v>45719</v>
      </c>
      <c r="F930" s="4">
        <v>45720</v>
      </c>
      <c r="G930" s="8">
        <v>1</v>
      </c>
      <c r="H930" t="s">
        <v>15</v>
      </c>
      <c r="I930">
        <v>25</v>
      </c>
      <c r="J930" t="s">
        <v>29</v>
      </c>
      <c r="K930" t="s">
        <v>22</v>
      </c>
      <c r="L930" s="6">
        <v>4404.67</v>
      </c>
      <c r="M930" t="str">
        <f>TEXT(Table1[[#This Row],[Admission_Date]], "mmm")</f>
        <v>Mar</v>
      </c>
      <c r="N930">
        <f>YEAR(Table1[[#This Row],[Admission_Date]])</f>
        <v>2025</v>
      </c>
      <c r="O930" t="str">
        <f>IF(Table1[[#This Row],[Age]]&lt;30, "Young Adult", IF(Table1[[#This Row],[Age]]&lt;60, "Adult", "Senior"))</f>
        <v>Adult</v>
      </c>
    </row>
    <row r="931" spans="1:15" x14ac:dyDescent="0.25">
      <c r="A931" t="s">
        <v>958</v>
      </c>
      <c r="B931">
        <v>26</v>
      </c>
      <c r="C931" t="s">
        <v>24</v>
      </c>
      <c r="D931" t="s">
        <v>19</v>
      </c>
      <c r="E931" s="4">
        <v>45820</v>
      </c>
      <c r="F931" s="4">
        <v>45828</v>
      </c>
      <c r="G931" s="8">
        <v>8</v>
      </c>
      <c r="H931" t="s">
        <v>20</v>
      </c>
      <c r="I931">
        <v>0</v>
      </c>
      <c r="J931" t="s">
        <v>29</v>
      </c>
      <c r="K931" t="s">
        <v>17</v>
      </c>
      <c r="L931" s="6">
        <v>3889.24</v>
      </c>
      <c r="M931" t="str">
        <f>TEXT(Table1[[#This Row],[Admission_Date]], "mmm")</f>
        <v>Jun</v>
      </c>
      <c r="N931">
        <f>YEAR(Table1[[#This Row],[Admission_Date]])</f>
        <v>2025</v>
      </c>
      <c r="O931" t="str">
        <f>IF(Table1[[#This Row],[Age]]&lt;30, "Young Adult", IF(Table1[[#This Row],[Age]]&lt;60, "Adult", "Senior"))</f>
        <v>Young Adult</v>
      </c>
    </row>
    <row r="932" spans="1:15" x14ac:dyDescent="0.25">
      <c r="A932" t="s">
        <v>959</v>
      </c>
      <c r="B932">
        <v>30</v>
      </c>
      <c r="C932" t="s">
        <v>13</v>
      </c>
      <c r="D932" t="s">
        <v>34</v>
      </c>
      <c r="E932" s="4">
        <v>45667</v>
      </c>
      <c r="F932" s="4">
        <v>45672</v>
      </c>
      <c r="G932" s="8">
        <v>5</v>
      </c>
      <c r="H932" t="s">
        <v>20</v>
      </c>
      <c r="I932">
        <v>0</v>
      </c>
      <c r="J932" t="s">
        <v>21</v>
      </c>
      <c r="K932" t="s">
        <v>47</v>
      </c>
      <c r="L932" s="6">
        <v>8739.56</v>
      </c>
      <c r="M932" t="str">
        <f>TEXT(Table1[[#This Row],[Admission_Date]], "mmm")</f>
        <v>Jan</v>
      </c>
      <c r="N932">
        <f>YEAR(Table1[[#This Row],[Admission_Date]])</f>
        <v>2025</v>
      </c>
      <c r="O932" t="str">
        <f>IF(Table1[[#This Row],[Age]]&lt;30, "Young Adult", IF(Table1[[#This Row],[Age]]&lt;60, "Adult", "Senior"))</f>
        <v>Adult</v>
      </c>
    </row>
    <row r="933" spans="1:15" x14ac:dyDescent="0.25">
      <c r="A933" t="s">
        <v>960</v>
      </c>
      <c r="B933">
        <v>82</v>
      </c>
      <c r="C933" t="s">
        <v>13</v>
      </c>
      <c r="D933" t="s">
        <v>14</v>
      </c>
      <c r="E933" s="4">
        <v>45886</v>
      </c>
      <c r="F933" s="4">
        <v>45888</v>
      </c>
      <c r="G933" s="8">
        <v>2</v>
      </c>
      <c r="H933" t="s">
        <v>20</v>
      </c>
      <c r="I933">
        <v>0</v>
      </c>
      <c r="J933" t="s">
        <v>25</v>
      </c>
      <c r="K933" t="s">
        <v>17</v>
      </c>
      <c r="L933" s="6">
        <v>14786.98</v>
      </c>
      <c r="M933" t="str">
        <f>TEXT(Table1[[#This Row],[Admission_Date]], "mmm")</f>
        <v>Aug</v>
      </c>
      <c r="N933">
        <f>YEAR(Table1[[#This Row],[Admission_Date]])</f>
        <v>2025</v>
      </c>
      <c r="O933" t="str">
        <f>IF(Table1[[#This Row],[Age]]&lt;30, "Young Adult", IF(Table1[[#This Row],[Age]]&lt;60, "Adult", "Senior"))</f>
        <v>Senior</v>
      </c>
    </row>
    <row r="934" spans="1:15" x14ac:dyDescent="0.25">
      <c r="A934" t="s">
        <v>961</v>
      </c>
      <c r="B934">
        <v>89</v>
      </c>
      <c r="C934" t="s">
        <v>24</v>
      </c>
      <c r="D934" t="s">
        <v>19</v>
      </c>
      <c r="E934" s="4">
        <v>45783</v>
      </c>
      <c r="F934" s="4">
        <v>45792</v>
      </c>
      <c r="G934" s="8">
        <v>9</v>
      </c>
      <c r="H934" t="s">
        <v>20</v>
      </c>
      <c r="I934">
        <v>0</v>
      </c>
      <c r="J934" t="s">
        <v>16</v>
      </c>
      <c r="K934" t="s">
        <v>47</v>
      </c>
      <c r="L934" s="6">
        <v>14436.16</v>
      </c>
      <c r="M934" t="str">
        <f>TEXT(Table1[[#This Row],[Admission_Date]], "mmm")</f>
        <v>May</v>
      </c>
      <c r="N934">
        <f>YEAR(Table1[[#This Row],[Admission_Date]])</f>
        <v>2025</v>
      </c>
      <c r="O934" t="str">
        <f>IF(Table1[[#This Row],[Age]]&lt;30, "Young Adult", IF(Table1[[#This Row],[Age]]&lt;60, "Adult", "Senior"))</f>
        <v>Senior</v>
      </c>
    </row>
    <row r="935" spans="1:15" x14ac:dyDescent="0.25">
      <c r="A935" t="s">
        <v>962</v>
      </c>
      <c r="B935">
        <v>39</v>
      </c>
      <c r="C935" t="s">
        <v>13</v>
      </c>
      <c r="D935" t="s">
        <v>19</v>
      </c>
      <c r="E935" s="4">
        <v>45975</v>
      </c>
      <c r="F935" s="4">
        <v>45980</v>
      </c>
      <c r="G935" s="8">
        <v>5</v>
      </c>
      <c r="H935" t="s">
        <v>20</v>
      </c>
      <c r="I935">
        <v>0</v>
      </c>
      <c r="J935" t="s">
        <v>29</v>
      </c>
      <c r="K935" t="s">
        <v>47</v>
      </c>
      <c r="L935" s="6">
        <v>9169.08</v>
      </c>
      <c r="M935" t="str">
        <f>TEXT(Table1[[#This Row],[Admission_Date]], "mmm")</f>
        <v>Nov</v>
      </c>
      <c r="N935">
        <f>YEAR(Table1[[#This Row],[Admission_Date]])</f>
        <v>2025</v>
      </c>
      <c r="O935" t="str">
        <f>IF(Table1[[#This Row],[Age]]&lt;30, "Young Adult", IF(Table1[[#This Row],[Age]]&lt;60, "Adult", "Senior"))</f>
        <v>Adult</v>
      </c>
    </row>
    <row r="936" spans="1:15" x14ac:dyDescent="0.25">
      <c r="A936" t="s">
        <v>963</v>
      </c>
      <c r="B936">
        <v>45</v>
      </c>
      <c r="C936" t="s">
        <v>24</v>
      </c>
      <c r="D936" t="s">
        <v>19</v>
      </c>
      <c r="E936" s="4">
        <v>46006</v>
      </c>
      <c r="F936" s="4">
        <v>46013</v>
      </c>
      <c r="G936" s="8">
        <v>7</v>
      </c>
      <c r="H936" t="s">
        <v>20</v>
      </c>
      <c r="I936">
        <v>0</v>
      </c>
      <c r="J936" t="s">
        <v>21</v>
      </c>
      <c r="K936" t="s">
        <v>17</v>
      </c>
      <c r="L936" s="6">
        <v>8244.2900000000009</v>
      </c>
      <c r="M936" t="str">
        <f>TEXT(Table1[[#This Row],[Admission_Date]], "mmm")</f>
        <v>Dec</v>
      </c>
      <c r="N936">
        <f>YEAR(Table1[[#This Row],[Admission_Date]])</f>
        <v>2025</v>
      </c>
      <c r="O936" t="str">
        <f>IF(Table1[[#This Row],[Age]]&lt;30, "Young Adult", IF(Table1[[#This Row],[Age]]&lt;60, "Adult", "Senior"))</f>
        <v>Adult</v>
      </c>
    </row>
    <row r="937" spans="1:15" x14ac:dyDescent="0.25">
      <c r="A937" t="s">
        <v>964</v>
      </c>
      <c r="B937">
        <v>33</v>
      </c>
      <c r="C937" t="s">
        <v>13</v>
      </c>
      <c r="D937" t="s">
        <v>28</v>
      </c>
      <c r="E937" s="4">
        <v>45693</v>
      </c>
      <c r="F937" s="4">
        <v>45698</v>
      </c>
      <c r="G937" s="8">
        <v>5</v>
      </c>
      <c r="H937" t="s">
        <v>15</v>
      </c>
      <c r="I937">
        <v>18</v>
      </c>
      <c r="J937" t="s">
        <v>25</v>
      </c>
      <c r="K937" t="s">
        <v>47</v>
      </c>
      <c r="L937" s="6">
        <v>3557.33</v>
      </c>
      <c r="M937" t="str">
        <f>TEXT(Table1[[#This Row],[Admission_Date]], "mmm")</f>
        <v>Feb</v>
      </c>
      <c r="N937">
        <f>YEAR(Table1[[#This Row],[Admission_Date]])</f>
        <v>2025</v>
      </c>
      <c r="O937" t="str">
        <f>IF(Table1[[#This Row],[Age]]&lt;30, "Young Adult", IF(Table1[[#This Row],[Age]]&lt;60, "Adult", "Senior"))</f>
        <v>Adult</v>
      </c>
    </row>
    <row r="938" spans="1:15" x14ac:dyDescent="0.25">
      <c r="A938" t="s">
        <v>965</v>
      </c>
      <c r="B938">
        <v>61</v>
      </c>
      <c r="C938" t="s">
        <v>24</v>
      </c>
      <c r="D938" t="s">
        <v>28</v>
      </c>
      <c r="E938" s="4">
        <v>45916</v>
      </c>
      <c r="F938" s="4">
        <v>45929</v>
      </c>
      <c r="G938" s="8">
        <v>13</v>
      </c>
      <c r="H938" t="s">
        <v>20</v>
      </c>
      <c r="I938">
        <v>0</v>
      </c>
      <c r="J938" t="s">
        <v>29</v>
      </c>
      <c r="K938" t="s">
        <v>47</v>
      </c>
      <c r="L938" s="6">
        <v>4065.96</v>
      </c>
      <c r="M938" t="str">
        <f>TEXT(Table1[[#This Row],[Admission_Date]], "mmm")</f>
        <v>Sep</v>
      </c>
      <c r="N938">
        <f>YEAR(Table1[[#This Row],[Admission_Date]])</f>
        <v>2025</v>
      </c>
      <c r="O938" t="str">
        <f>IF(Table1[[#This Row],[Age]]&lt;30, "Young Adult", IF(Table1[[#This Row],[Age]]&lt;60, "Adult", "Senior"))</f>
        <v>Senior</v>
      </c>
    </row>
    <row r="939" spans="1:15" x14ac:dyDescent="0.25">
      <c r="A939" t="s">
        <v>966</v>
      </c>
      <c r="B939">
        <v>60</v>
      </c>
      <c r="C939" t="s">
        <v>13</v>
      </c>
      <c r="D939" t="s">
        <v>28</v>
      </c>
      <c r="E939" s="4">
        <v>45822</v>
      </c>
      <c r="F939" s="4">
        <v>45828</v>
      </c>
      <c r="G939" s="8">
        <v>6</v>
      </c>
      <c r="H939" t="s">
        <v>15</v>
      </c>
      <c r="I939">
        <v>5</v>
      </c>
      <c r="J939" t="s">
        <v>16</v>
      </c>
      <c r="K939" t="s">
        <v>17</v>
      </c>
      <c r="L939" s="6">
        <v>7409.67</v>
      </c>
      <c r="M939" t="str">
        <f>TEXT(Table1[[#This Row],[Admission_Date]], "mmm")</f>
        <v>Jun</v>
      </c>
      <c r="N939">
        <f>YEAR(Table1[[#This Row],[Admission_Date]])</f>
        <v>2025</v>
      </c>
      <c r="O939" t="str">
        <f>IF(Table1[[#This Row],[Age]]&lt;30, "Young Adult", IF(Table1[[#This Row],[Age]]&lt;60, "Adult", "Senior"))</f>
        <v>Senior</v>
      </c>
    </row>
    <row r="940" spans="1:15" x14ac:dyDescent="0.25">
      <c r="A940" t="s">
        <v>967</v>
      </c>
      <c r="B940">
        <v>89</v>
      </c>
      <c r="C940" t="s">
        <v>24</v>
      </c>
      <c r="D940" t="s">
        <v>40</v>
      </c>
      <c r="E940" s="4">
        <v>45662</v>
      </c>
      <c r="F940" s="4">
        <v>45673</v>
      </c>
      <c r="G940" s="8">
        <v>11</v>
      </c>
      <c r="H940" t="s">
        <v>15</v>
      </c>
      <c r="I940">
        <v>18</v>
      </c>
      <c r="J940" t="s">
        <v>16</v>
      </c>
      <c r="K940" t="s">
        <v>17</v>
      </c>
      <c r="L940" s="6">
        <v>9943.36</v>
      </c>
      <c r="M940" t="str">
        <f>TEXT(Table1[[#This Row],[Admission_Date]], "mmm")</f>
        <v>Jan</v>
      </c>
      <c r="N940">
        <f>YEAR(Table1[[#This Row],[Admission_Date]])</f>
        <v>2025</v>
      </c>
      <c r="O940" t="str">
        <f>IF(Table1[[#This Row],[Age]]&lt;30, "Young Adult", IF(Table1[[#This Row],[Age]]&lt;60, "Adult", "Senior"))</f>
        <v>Senior</v>
      </c>
    </row>
    <row r="941" spans="1:15" x14ac:dyDescent="0.25">
      <c r="A941" t="s">
        <v>968</v>
      </c>
      <c r="B941">
        <v>74</v>
      </c>
      <c r="C941" t="s">
        <v>13</v>
      </c>
      <c r="D941" t="s">
        <v>32</v>
      </c>
      <c r="E941" s="4">
        <v>45933</v>
      </c>
      <c r="F941" s="4">
        <v>45934</v>
      </c>
      <c r="G941" s="8">
        <v>1</v>
      </c>
      <c r="H941" t="s">
        <v>20</v>
      </c>
      <c r="I941">
        <v>0</v>
      </c>
      <c r="J941" t="s">
        <v>29</v>
      </c>
      <c r="K941" t="s">
        <v>17</v>
      </c>
      <c r="L941" s="6">
        <v>5690.5</v>
      </c>
      <c r="M941" t="str">
        <f>TEXT(Table1[[#This Row],[Admission_Date]], "mmm")</f>
        <v>Oct</v>
      </c>
      <c r="N941">
        <f>YEAR(Table1[[#This Row],[Admission_Date]])</f>
        <v>2025</v>
      </c>
      <c r="O941" t="str">
        <f>IF(Table1[[#This Row],[Age]]&lt;30, "Young Adult", IF(Table1[[#This Row],[Age]]&lt;60, "Adult", "Senior"))</f>
        <v>Senior</v>
      </c>
    </row>
    <row r="942" spans="1:15" x14ac:dyDescent="0.25">
      <c r="A942" t="s">
        <v>969</v>
      </c>
      <c r="B942">
        <v>19</v>
      </c>
      <c r="C942" t="s">
        <v>13</v>
      </c>
      <c r="D942" t="s">
        <v>40</v>
      </c>
      <c r="E942" s="4">
        <v>45748</v>
      </c>
      <c r="F942" s="4">
        <v>45762</v>
      </c>
      <c r="G942" s="8">
        <v>14</v>
      </c>
      <c r="H942" t="s">
        <v>20</v>
      </c>
      <c r="I942">
        <v>0</v>
      </c>
      <c r="J942" t="s">
        <v>25</v>
      </c>
      <c r="K942" t="s">
        <v>22</v>
      </c>
      <c r="L942" s="6">
        <v>6946.38</v>
      </c>
      <c r="M942" t="str">
        <f>TEXT(Table1[[#This Row],[Admission_Date]], "mmm")</f>
        <v>Apr</v>
      </c>
      <c r="N942">
        <f>YEAR(Table1[[#This Row],[Admission_Date]])</f>
        <v>2025</v>
      </c>
      <c r="O942" t="str">
        <f>IF(Table1[[#This Row],[Age]]&lt;30, "Young Adult", IF(Table1[[#This Row],[Age]]&lt;60, "Adult", "Senior"))</f>
        <v>Young Adult</v>
      </c>
    </row>
    <row r="943" spans="1:15" x14ac:dyDescent="0.25">
      <c r="A943" t="s">
        <v>970</v>
      </c>
      <c r="B943">
        <v>53</v>
      </c>
      <c r="C943" t="s">
        <v>24</v>
      </c>
      <c r="D943" t="s">
        <v>14</v>
      </c>
      <c r="E943" s="4">
        <v>45771</v>
      </c>
      <c r="F943" s="4">
        <v>45783</v>
      </c>
      <c r="G943" s="8">
        <v>12</v>
      </c>
      <c r="H943" t="s">
        <v>15</v>
      </c>
      <c r="I943">
        <v>3</v>
      </c>
      <c r="J943" t="s">
        <v>25</v>
      </c>
      <c r="K943" t="s">
        <v>17</v>
      </c>
      <c r="L943" s="6">
        <v>3706.64</v>
      </c>
      <c r="M943" t="str">
        <f>TEXT(Table1[[#This Row],[Admission_Date]], "mmm")</f>
        <v>Apr</v>
      </c>
      <c r="N943">
        <f>YEAR(Table1[[#This Row],[Admission_Date]])</f>
        <v>2025</v>
      </c>
      <c r="O943" t="str">
        <f>IF(Table1[[#This Row],[Age]]&lt;30, "Young Adult", IF(Table1[[#This Row],[Age]]&lt;60, "Adult", "Senior"))</f>
        <v>Adult</v>
      </c>
    </row>
    <row r="944" spans="1:15" x14ac:dyDescent="0.25">
      <c r="A944" t="s">
        <v>971</v>
      </c>
      <c r="B944">
        <v>81</v>
      </c>
      <c r="C944" t="s">
        <v>13</v>
      </c>
      <c r="D944" t="s">
        <v>19</v>
      </c>
      <c r="E944" s="4">
        <v>45910</v>
      </c>
      <c r="F944" s="4">
        <v>45916</v>
      </c>
      <c r="G944" s="8">
        <v>6</v>
      </c>
      <c r="H944" t="s">
        <v>15</v>
      </c>
      <c r="I944">
        <v>7</v>
      </c>
      <c r="J944" t="s">
        <v>29</v>
      </c>
      <c r="K944" t="s">
        <v>22</v>
      </c>
      <c r="L944" s="6">
        <v>13113.79</v>
      </c>
      <c r="M944" t="str">
        <f>TEXT(Table1[[#This Row],[Admission_Date]], "mmm")</f>
        <v>Sep</v>
      </c>
      <c r="N944">
        <f>YEAR(Table1[[#This Row],[Admission_Date]])</f>
        <v>2025</v>
      </c>
      <c r="O944" t="str">
        <f>IF(Table1[[#This Row],[Age]]&lt;30, "Young Adult", IF(Table1[[#This Row],[Age]]&lt;60, "Adult", "Senior"))</f>
        <v>Senior</v>
      </c>
    </row>
    <row r="945" spans="1:15" x14ac:dyDescent="0.25">
      <c r="A945" t="s">
        <v>972</v>
      </c>
      <c r="B945">
        <v>88</v>
      </c>
      <c r="C945" t="s">
        <v>13</v>
      </c>
      <c r="D945" t="s">
        <v>28</v>
      </c>
      <c r="E945" s="4">
        <v>45949</v>
      </c>
      <c r="F945" s="4">
        <v>45958</v>
      </c>
      <c r="G945" s="8">
        <v>9</v>
      </c>
      <c r="H945" t="s">
        <v>20</v>
      </c>
      <c r="I945">
        <v>0</v>
      </c>
      <c r="J945" t="s">
        <v>21</v>
      </c>
      <c r="K945" t="s">
        <v>22</v>
      </c>
      <c r="L945" s="6">
        <v>9028.39</v>
      </c>
      <c r="M945" t="str">
        <f>TEXT(Table1[[#This Row],[Admission_Date]], "mmm")</f>
        <v>Oct</v>
      </c>
      <c r="N945">
        <f>YEAR(Table1[[#This Row],[Admission_Date]])</f>
        <v>2025</v>
      </c>
      <c r="O945" t="str">
        <f>IF(Table1[[#This Row],[Age]]&lt;30, "Young Adult", IF(Table1[[#This Row],[Age]]&lt;60, "Adult", "Senior"))</f>
        <v>Senior</v>
      </c>
    </row>
    <row r="946" spans="1:15" x14ac:dyDescent="0.25">
      <c r="A946" t="s">
        <v>973</v>
      </c>
      <c r="B946">
        <v>90</v>
      </c>
      <c r="C946" t="s">
        <v>13</v>
      </c>
      <c r="D946" t="s">
        <v>34</v>
      </c>
      <c r="E946" s="4">
        <v>45691</v>
      </c>
      <c r="F946" s="4">
        <v>45694</v>
      </c>
      <c r="G946" s="8">
        <v>3</v>
      </c>
      <c r="H946" t="s">
        <v>15</v>
      </c>
      <c r="I946">
        <v>24</v>
      </c>
      <c r="J946" t="s">
        <v>25</v>
      </c>
      <c r="K946" t="s">
        <v>22</v>
      </c>
      <c r="L946" s="6">
        <v>12791.17</v>
      </c>
      <c r="M946" t="str">
        <f>TEXT(Table1[[#This Row],[Admission_Date]], "mmm")</f>
        <v>Feb</v>
      </c>
      <c r="N946">
        <f>YEAR(Table1[[#This Row],[Admission_Date]])</f>
        <v>2025</v>
      </c>
      <c r="O946" t="str">
        <f>IF(Table1[[#This Row],[Age]]&lt;30, "Young Adult", IF(Table1[[#This Row],[Age]]&lt;60, "Adult", "Senior"))</f>
        <v>Senior</v>
      </c>
    </row>
    <row r="947" spans="1:15" x14ac:dyDescent="0.25">
      <c r="A947" t="s">
        <v>974</v>
      </c>
      <c r="B947">
        <v>50</v>
      </c>
      <c r="C947" t="s">
        <v>24</v>
      </c>
      <c r="D947" t="s">
        <v>19</v>
      </c>
      <c r="E947" s="4">
        <v>45669</v>
      </c>
      <c r="F947" s="4">
        <v>45681</v>
      </c>
      <c r="G947" s="8">
        <v>12</v>
      </c>
      <c r="H947" t="s">
        <v>20</v>
      </c>
      <c r="I947">
        <v>0</v>
      </c>
      <c r="J947" t="s">
        <v>29</v>
      </c>
      <c r="K947" t="s">
        <v>17</v>
      </c>
      <c r="L947" s="6">
        <v>10259.950000000001</v>
      </c>
      <c r="M947" t="str">
        <f>TEXT(Table1[[#This Row],[Admission_Date]], "mmm")</f>
        <v>Jan</v>
      </c>
      <c r="N947">
        <f>YEAR(Table1[[#This Row],[Admission_Date]])</f>
        <v>2025</v>
      </c>
      <c r="O947" t="str">
        <f>IF(Table1[[#This Row],[Age]]&lt;30, "Young Adult", IF(Table1[[#This Row],[Age]]&lt;60, "Adult", "Senior"))</f>
        <v>Adult</v>
      </c>
    </row>
    <row r="948" spans="1:15" x14ac:dyDescent="0.25">
      <c r="A948" t="s">
        <v>975</v>
      </c>
      <c r="B948">
        <v>59</v>
      </c>
      <c r="C948" t="s">
        <v>24</v>
      </c>
      <c r="D948" t="s">
        <v>40</v>
      </c>
      <c r="E948" s="4">
        <v>45990</v>
      </c>
      <c r="F948" s="4">
        <v>45991</v>
      </c>
      <c r="G948" s="8">
        <v>1</v>
      </c>
      <c r="H948" t="s">
        <v>20</v>
      </c>
      <c r="I948">
        <v>0</v>
      </c>
      <c r="J948" t="s">
        <v>25</v>
      </c>
      <c r="K948" t="s">
        <v>22</v>
      </c>
      <c r="L948" s="6">
        <v>10362.52</v>
      </c>
      <c r="M948" t="str">
        <f>TEXT(Table1[[#This Row],[Admission_Date]], "mmm")</f>
        <v>Nov</v>
      </c>
      <c r="N948">
        <f>YEAR(Table1[[#This Row],[Admission_Date]])</f>
        <v>2025</v>
      </c>
      <c r="O948" t="str">
        <f>IF(Table1[[#This Row],[Age]]&lt;30, "Young Adult", IF(Table1[[#This Row],[Age]]&lt;60, "Adult", "Senior"))</f>
        <v>Adult</v>
      </c>
    </row>
    <row r="949" spans="1:15" x14ac:dyDescent="0.25">
      <c r="A949" t="s">
        <v>976</v>
      </c>
      <c r="B949">
        <v>23</v>
      </c>
      <c r="C949" t="s">
        <v>13</v>
      </c>
      <c r="D949" t="s">
        <v>19</v>
      </c>
      <c r="E949" s="4">
        <v>45896</v>
      </c>
      <c r="F949" s="4">
        <v>45904</v>
      </c>
      <c r="G949" s="8">
        <v>8</v>
      </c>
      <c r="H949" t="s">
        <v>20</v>
      </c>
      <c r="I949">
        <v>0</v>
      </c>
      <c r="J949" t="s">
        <v>25</v>
      </c>
      <c r="K949" t="s">
        <v>47</v>
      </c>
      <c r="L949" s="6">
        <v>8219.9500000000007</v>
      </c>
      <c r="M949" t="str">
        <f>TEXT(Table1[[#This Row],[Admission_Date]], "mmm")</f>
        <v>Aug</v>
      </c>
      <c r="N949">
        <f>YEAR(Table1[[#This Row],[Admission_Date]])</f>
        <v>2025</v>
      </c>
      <c r="O949" t="str">
        <f>IF(Table1[[#This Row],[Age]]&lt;30, "Young Adult", IF(Table1[[#This Row],[Age]]&lt;60, "Adult", "Senior"))</f>
        <v>Young Adult</v>
      </c>
    </row>
    <row r="950" spans="1:15" x14ac:dyDescent="0.25">
      <c r="A950" t="s">
        <v>977</v>
      </c>
      <c r="B950">
        <v>60</v>
      </c>
      <c r="C950" t="s">
        <v>13</v>
      </c>
      <c r="D950" t="s">
        <v>34</v>
      </c>
      <c r="E950" s="4">
        <v>45819</v>
      </c>
      <c r="F950" s="4">
        <v>45820</v>
      </c>
      <c r="G950" s="8">
        <v>1</v>
      </c>
      <c r="H950" t="s">
        <v>20</v>
      </c>
      <c r="I950">
        <v>0</v>
      </c>
      <c r="J950" t="s">
        <v>16</v>
      </c>
      <c r="K950" t="s">
        <v>17</v>
      </c>
      <c r="L950" s="6">
        <v>3771.61</v>
      </c>
      <c r="M950" t="str">
        <f>TEXT(Table1[[#This Row],[Admission_Date]], "mmm")</f>
        <v>Jun</v>
      </c>
      <c r="N950">
        <f>YEAR(Table1[[#This Row],[Admission_Date]])</f>
        <v>2025</v>
      </c>
      <c r="O950" t="str">
        <f>IF(Table1[[#This Row],[Age]]&lt;30, "Young Adult", IF(Table1[[#This Row],[Age]]&lt;60, "Adult", "Senior"))</f>
        <v>Senior</v>
      </c>
    </row>
    <row r="951" spans="1:15" x14ac:dyDescent="0.25">
      <c r="A951" t="s">
        <v>978</v>
      </c>
      <c r="B951">
        <v>49</v>
      </c>
      <c r="C951" t="s">
        <v>13</v>
      </c>
      <c r="D951" t="s">
        <v>14</v>
      </c>
      <c r="E951" s="4">
        <v>46011</v>
      </c>
      <c r="F951" s="4">
        <v>46018</v>
      </c>
      <c r="G951" s="8">
        <v>7</v>
      </c>
      <c r="H951" t="s">
        <v>20</v>
      </c>
      <c r="I951">
        <v>0</v>
      </c>
      <c r="J951" t="s">
        <v>25</v>
      </c>
      <c r="K951" t="s">
        <v>47</v>
      </c>
      <c r="L951" s="6">
        <v>1411.24</v>
      </c>
      <c r="M951" t="str">
        <f>TEXT(Table1[[#This Row],[Admission_Date]], "mmm")</f>
        <v>Dec</v>
      </c>
      <c r="N951">
        <f>YEAR(Table1[[#This Row],[Admission_Date]])</f>
        <v>2025</v>
      </c>
      <c r="O951" t="str">
        <f>IF(Table1[[#This Row],[Age]]&lt;30, "Young Adult", IF(Table1[[#This Row],[Age]]&lt;60, "Adult", "Senior"))</f>
        <v>Adult</v>
      </c>
    </row>
    <row r="952" spans="1:15" x14ac:dyDescent="0.25">
      <c r="A952" t="s">
        <v>979</v>
      </c>
      <c r="B952">
        <v>73</v>
      </c>
      <c r="C952" t="s">
        <v>13</v>
      </c>
      <c r="D952" t="s">
        <v>34</v>
      </c>
      <c r="E952" s="4">
        <v>45978</v>
      </c>
      <c r="F952" s="4">
        <v>45980</v>
      </c>
      <c r="G952" s="8">
        <v>2</v>
      </c>
      <c r="H952" t="s">
        <v>15</v>
      </c>
      <c r="I952">
        <v>26</v>
      </c>
      <c r="J952" t="s">
        <v>25</v>
      </c>
      <c r="K952" t="s">
        <v>47</v>
      </c>
      <c r="L952" s="6">
        <v>4083.73</v>
      </c>
      <c r="M952" t="str">
        <f>TEXT(Table1[[#This Row],[Admission_Date]], "mmm")</f>
        <v>Nov</v>
      </c>
      <c r="N952">
        <f>YEAR(Table1[[#This Row],[Admission_Date]])</f>
        <v>2025</v>
      </c>
      <c r="O952" t="str">
        <f>IF(Table1[[#This Row],[Age]]&lt;30, "Young Adult", IF(Table1[[#This Row],[Age]]&lt;60, "Adult", "Senior"))</f>
        <v>Senior</v>
      </c>
    </row>
    <row r="953" spans="1:15" x14ac:dyDescent="0.25">
      <c r="A953" t="s">
        <v>980</v>
      </c>
      <c r="B953">
        <v>24</v>
      </c>
      <c r="C953" t="s">
        <v>24</v>
      </c>
      <c r="D953" t="s">
        <v>34</v>
      </c>
      <c r="E953" s="4">
        <v>45900</v>
      </c>
      <c r="F953" s="4">
        <v>45904</v>
      </c>
      <c r="G953" s="8">
        <v>4</v>
      </c>
      <c r="H953" t="s">
        <v>20</v>
      </c>
      <c r="I953">
        <v>0</v>
      </c>
      <c r="J953" t="s">
        <v>21</v>
      </c>
      <c r="K953" t="s">
        <v>22</v>
      </c>
      <c r="L953" s="6">
        <v>11748.37</v>
      </c>
      <c r="M953" t="str">
        <f>TEXT(Table1[[#This Row],[Admission_Date]], "mmm")</f>
        <v>Aug</v>
      </c>
      <c r="N953">
        <f>YEAR(Table1[[#This Row],[Admission_Date]])</f>
        <v>2025</v>
      </c>
      <c r="O953" t="str">
        <f>IF(Table1[[#This Row],[Age]]&lt;30, "Young Adult", IF(Table1[[#This Row],[Age]]&lt;60, "Adult", "Senior"))</f>
        <v>Young Adult</v>
      </c>
    </row>
    <row r="954" spans="1:15" x14ac:dyDescent="0.25">
      <c r="A954" t="s">
        <v>981</v>
      </c>
      <c r="B954">
        <v>75</v>
      </c>
      <c r="C954" t="s">
        <v>13</v>
      </c>
      <c r="D954" t="s">
        <v>19</v>
      </c>
      <c r="E954" s="4">
        <v>45975</v>
      </c>
      <c r="F954" s="4">
        <v>45983</v>
      </c>
      <c r="G954" s="8">
        <v>8</v>
      </c>
      <c r="H954" t="s">
        <v>20</v>
      </c>
      <c r="I954">
        <v>0</v>
      </c>
      <c r="J954" t="s">
        <v>16</v>
      </c>
      <c r="K954" t="s">
        <v>22</v>
      </c>
      <c r="L954" s="6">
        <v>5972.23</v>
      </c>
      <c r="M954" t="str">
        <f>TEXT(Table1[[#This Row],[Admission_Date]], "mmm")</f>
        <v>Nov</v>
      </c>
      <c r="N954">
        <f>YEAR(Table1[[#This Row],[Admission_Date]])</f>
        <v>2025</v>
      </c>
      <c r="O954" t="str">
        <f>IF(Table1[[#This Row],[Age]]&lt;30, "Young Adult", IF(Table1[[#This Row],[Age]]&lt;60, "Adult", "Senior"))</f>
        <v>Senior</v>
      </c>
    </row>
    <row r="955" spans="1:15" x14ac:dyDescent="0.25">
      <c r="A955" t="s">
        <v>982</v>
      </c>
      <c r="B955">
        <v>25</v>
      </c>
      <c r="C955" t="s">
        <v>24</v>
      </c>
      <c r="D955" t="s">
        <v>19</v>
      </c>
      <c r="E955" s="4">
        <v>46013</v>
      </c>
      <c r="F955" s="4">
        <v>46015</v>
      </c>
      <c r="G955" s="8">
        <v>2</v>
      </c>
      <c r="H955" t="s">
        <v>20</v>
      </c>
      <c r="I955">
        <v>0</v>
      </c>
      <c r="J955" t="s">
        <v>25</v>
      </c>
      <c r="K955" t="s">
        <v>17</v>
      </c>
      <c r="L955" s="6">
        <v>9579.69</v>
      </c>
      <c r="M955" t="str">
        <f>TEXT(Table1[[#This Row],[Admission_Date]], "mmm")</f>
        <v>Dec</v>
      </c>
      <c r="N955">
        <f>YEAR(Table1[[#This Row],[Admission_Date]])</f>
        <v>2025</v>
      </c>
      <c r="O955" t="str">
        <f>IF(Table1[[#This Row],[Age]]&lt;30, "Young Adult", IF(Table1[[#This Row],[Age]]&lt;60, "Adult", "Senior"))</f>
        <v>Young Adult</v>
      </c>
    </row>
    <row r="956" spans="1:15" x14ac:dyDescent="0.25">
      <c r="A956" t="s">
        <v>983</v>
      </c>
      <c r="B956">
        <v>89</v>
      </c>
      <c r="C956" t="s">
        <v>13</v>
      </c>
      <c r="D956" t="s">
        <v>32</v>
      </c>
      <c r="E956" s="4">
        <v>45691</v>
      </c>
      <c r="F956" s="4">
        <v>45693</v>
      </c>
      <c r="G956" s="8">
        <v>2</v>
      </c>
      <c r="H956" t="s">
        <v>20</v>
      </c>
      <c r="I956">
        <v>0</v>
      </c>
      <c r="J956" t="s">
        <v>29</v>
      </c>
      <c r="K956" t="s">
        <v>47</v>
      </c>
      <c r="L956" s="6">
        <v>1889.54</v>
      </c>
      <c r="M956" t="str">
        <f>TEXT(Table1[[#This Row],[Admission_Date]], "mmm")</f>
        <v>Feb</v>
      </c>
      <c r="N956">
        <f>YEAR(Table1[[#This Row],[Admission_Date]])</f>
        <v>2025</v>
      </c>
      <c r="O956" t="str">
        <f>IF(Table1[[#This Row],[Age]]&lt;30, "Young Adult", IF(Table1[[#This Row],[Age]]&lt;60, "Adult", "Senior"))</f>
        <v>Senior</v>
      </c>
    </row>
    <row r="957" spans="1:15" x14ac:dyDescent="0.25">
      <c r="A957" t="s">
        <v>984</v>
      </c>
      <c r="B957">
        <v>19</v>
      </c>
      <c r="C957" t="s">
        <v>24</v>
      </c>
      <c r="D957" t="s">
        <v>40</v>
      </c>
      <c r="E957" s="4">
        <v>45868</v>
      </c>
      <c r="F957" s="4">
        <v>45872</v>
      </c>
      <c r="G957" s="8">
        <v>4</v>
      </c>
      <c r="H957" t="s">
        <v>20</v>
      </c>
      <c r="I957">
        <v>0</v>
      </c>
      <c r="J957" t="s">
        <v>29</v>
      </c>
      <c r="K957" t="s">
        <v>47</v>
      </c>
      <c r="L957" s="6">
        <v>13259.1</v>
      </c>
      <c r="M957" t="str">
        <f>TEXT(Table1[[#This Row],[Admission_Date]], "mmm")</f>
        <v>Jul</v>
      </c>
      <c r="N957">
        <f>YEAR(Table1[[#This Row],[Admission_Date]])</f>
        <v>2025</v>
      </c>
      <c r="O957" t="str">
        <f>IF(Table1[[#This Row],[Age]]&lt;30, "Young Adult", IF(Table1[[#This Row],[Age]]&lt;60, "Adult", "Senior"))</f>
        <v>Young Adult</v>
      </c>
    </row>
    <row r="958" spans="1:15" x14ac:dyDescent="0.25">
      <c r="A958" t="s">
        <v>985</v>
      </c>
      <c r="B958">
        <v>21</v>
      </c>
      <c r="C958" t="s">
        <v>24</v>
      </c>
      <c r="D958" t="s">
        <v>34</v>
      </c>
      <c r="E958" s="4">
        <v>45975</v>
      </c>
      <c r="F958" s="4">
        <v>45977</v>
      </c>
      <c r="G958" s="8">
        <v>2</v>
      </c>
      <c r="H958" t="s">
        <v>20</v>
      </c>
      <c r="I958">
        <v>0</v>
      </c>
      <c r="J958" t="s">
        <v>25</v>
      </c>
      <c r="K958" t="s">
        <v>17</v>
      </c>
      <c r="L958" s="6">
        <v>3290.98</v>
      </c>
      <c r="M958" t="str">
        <f>TEXT(Table1[[#This Row],[Admission_Date]], "mmm")</f>
        <v>Nov</v>
      </c>
      <c r="N958">
        <f>YEAR(Table1[[#This Row],[Admission_Date]])</f>
        <v>2025</v>
      </c>
      <c r="O958" t="str">
        <f>IF(Table1[[#This Row],[Age]]&lt;30, "Young Adult", IF(Table1[[#This Row],[Age]]&lt;60, "Adult", "Senior"))</f>
        <v>Young Adult</v>
      </c>
    </row>
    <row r="959" spans="1:15" x14ac:dyDescent="0.25">
      <c r="A959" t="s">
        <v>986</v>
      </c>
      <c r="B959">
        <v>26</v>
      </c>
      <c r="C959" t="s">
        <v>13</v>
      </c>
      <c r="D959" t="s">
        <v>34</v>
      </c>
      <c r="E959" s="4">
        <v>45710</v>
      </c>
      <c r="F959" s="4">
        <v>45711</v>
      </c>
      <c r="G959" s="8">
        <v>1</v>
      </c>
      <c r="H959" t="s">
        <v>20</v>
      </c>
      <c r="I959">
        <v>0</v>
      </c>
      <c r="J959" t="s">
        <v>21</v>
      </c>
      <c r="K959" t="s">
        <v>17</v>
      </c>
      <c r="L959" s="6">
        <v>7879.02</v>
      </c>
      <c r="M959" t="str">
        <f>TEXT(Table1[[#This Row],[Admission_Date]], "mmm")</f>
        <v>Feb</v>
      </c>
      <c r="N959">
        <f>YEAR(Table1[[#This Row],[Admission_Date]])</f>
        <v>2025</v>
      </c>
      <c r="O959" t="str">
        <f>IF(Table1[[#This Row],[Age]]&lt;30, "Young Adult", IF(Table1[[#This Row],[Age]]&lt;60, "Adult", "Senior"))</f>
        <v>Young Adult</v>
      </c>
    </row>
    <row r="960" spans="1:15" x14ac:dyDescent="0.25">
      <c r="A960" t="s">
        <v>987</v>
      </c>
      <c r="B960">
        <v>74</v>
      </c>
      <c r="C960" t="s">
        <v>13</v>
      </c>
      <c r="D960" t="s">
        <v>14</v>
      </c>
      <c r="E960" s="4">
        <v>45839</v>
      </c>
      <c r="F960" s="4">
        <v>45846</v>
      </c>
      <c r="G960" s="8">
        <v>7</v>
      </c>
      <c r="H960" t="s">
        <v>20</v>
      </c>
      <c r="I960">
        <v>0</v>
      </c>
      <c r="J960" t="s">
        <v>21</v>
      </c>
      <c r="K960" t="s">
        <v>22</v>
      </c>
      <c r="L960" s="6">
        <v>1377.12</v>
      </c>
      <c r="M960" t="str">
        <f>TEXT(Table1[[#This Row],[Admission_Date]], "mmm")</f>
        <v>Jul</v>
      </c>
      <c r="N960">
        <f>YEAR(Table1[[#This Row],[Admission_Date]])</f>
        <v>2025</v>
      </c>
      <c r="O960" t="str">
        <f>IF(Table1[[#This Row],[Age]]&lt;30, "Young Adult", IF(Table1[[#This Row],[Age]]&lt;60, "Adult", "Senior"))</f>
        <v>Senior</v>
      </c>
    </row>
    <row r="961" spans="1:15" x14ac:dyDescent="0.25">
      <c r="A961" t="s">
        <v>988</v>
      </c>
      <c r="B961">
        <v>63</v>
      </c>
      <c r="C961" t="s">
        <v>24</v>
      </c>
      <c r="D961" t="s">
        <v>34</v>
      </c>
      <c r="E961" s="4">
        <v>45817</v>
      </c>
      <c r="F961" s="4">
        <v>45827</v>
      </c>
      <c r="G961" s="8">
        <v>10</v>
      </c>
      <c r="H961" t="s">
        <v>20</v>
      </c>
      <c r="I961">
        <v>0</v>
      </c>
      <c r="J961" t="s">
        <v>21</v>
      </c>
      <c r="K961" t="s">
        <v>22</v>
      </c>
      <c r="L961" s="6">
        <v>7308.09</v>
      </c>
      <c r="M961" t="str">
        <f>TEXT(Table1[[#This Row],[Admission_Date]], "mmm")</f>
        <v>Jun</v>
      </c>
      <c r="N961">
        <f>YEAR(Table1[[#This Row],[Admission_Date]])</f>
        <v>2025</v>
      </c>
      <c r="O961" t="str">
        <f>IF(Table1[[#This Row],[Age]]&lt;30, "Young Adult", IF(Table1[[#This Row],[Age]]&lt;60, "Adult", "Senior"))</f>
        <v>Senior</v>
      </c>
    </row>
    <row r="962" spans="1:15" x14ac:dyDescent="0.25">
      <c r="A962" t="s">
        <v>989</v>
      </c>
      <c r="B962">
        <v>19</v>
      </c>
      <c r="C962" t="s">
        <v>13</v>
      </c>
      <c r="D962" t="s">
        <v>19</v>
      </c>
      <c r="E962" s="4">
        <v>45966</v>
      </c>
      <c r="F962" s="4">
        <v>45972</v>
      </c>
      <c r="G962" s="8">
        <v>6</v>
      </c>
      <c r="H962" t="s">
        <v>15</v>
      </c>
      <c r="I962">
        <v>8</v>
      </c>
      <c r="J962" t="s">
        <v>16</v>
      </c>
      <c r="K962" t="s">
        <v>47</v>
      </c>
      <c r="L962" s="6">
        <v>5485.33</v>
      </c>
      <c r="M962" t="str">
        <f>TEXT(Table1[[#This Row],[Admission_Date]], "mmm")</f>
        <v>Nov</v>
      </c>
      <c r="N962">
        <f>YEAR(Table1[[#This Row],[Admission_Date]])</f>
        <v>2025</v>
      </c>
      <c r="O962" t="str">
        <f>IF(Table1[[#This Row],[Age]]&lt;30, "Young Adult", IF(Table1[[#This Row],[Age]]&lt;60, "Adult", "Senior"))</f>
        <v>Young Adult</v>
      </c>
    </row>
    <row r="963" spans="1:15" x14ac:dyDescent="0.25">
      <c r="A963" t="s">
        <v>990</v>
      </c>
      <c r="B963">
        <v>26</v>
      </c>
      <c r="C963" t="s">
        <v>24</v>
      </c>
      <c r="D963" t="s">
        <v>14</v>
      </c>
      <c r="E963" s="4">
        <v>45760</v>
      </c>
      <c r="F963" s="4">
        <v>45771</v>
      </c>
      <c r="G963" s="8">
        <v>11</v>
      </c>
      <c r="H963" t="s">
        <v>20</v>
      </c>
      <c r="I963">
        <v>0</v>
      </c>
      <c r="J963" t="s">
        <v>29</v>
      </c>
      <c r="K963" t="s">
        <v>17</v>
      </c>
      <c r="L963" s="6">
        <v>10531.69</v>
      </c>
      <c r="M963" t="str">
        <f>TEXT(Table1[[#This Row],[Admission_Date]], "mmm")</f>
        <v>Apr</v>
      </c>
      <c r="N963">
        <f>YEAR(Table1[[#This Row],[Admission_Date]])</f>
        <v>2025</v>
      </c>
      <c r="O963" t="str">
        <f>IF(Table1[[#This Row],[Age]]&lt;30, "Young Adult", IF(Table1[[#This Row],[Age]]&lt;60, "Adult", "Senior"))</f>
        <v>Young Adult</v>
      </c>
    </row>
    <row r="964" spans="1:15" x14ac:dyDescent="0.25">
      <c r="A964" t="s">
        <v>991</v>
      </c>
      <c r="B964">
        <v>90</v>
      </c>
      <c r="C964" t="s">
        <v>24</v>
      </c>
      <c r="D964" t="s">
        <v>34</v>
      </c>
      <c r="E964" s="4">
        <v>45897</v>
      </c>
      <c r="F964" s="4">
        <v>45907</v>
      </c>
      <c r="G964" s="8">
        <v>10</v>
      </c>
      <c r="H964" t="s">
        <v>20</v>
      </c>
      <c r="I964">
        <v>0</v>
      </c>
      <c r="J964" t="s">
        <v>25</v>
      </c>
      <c r="K964" t="s">
        <v>47</v>
      </c>
      <c r="L964" s="6">
        <v>5264.98</v>
      </c>
      <c r="M964" t="str">
        <f>TEXT(Table1[[#This Row],[Admission_Date]], "mmm")</f>
        <v>Aug</v>
      </c>
      <c r="N964">
        <f>YEAR(Table1[[#This Row],[Admission_Date]])</f>
        <v>2025</v>
      </c>
      <c r="O964" t="str">
        <f>IF(Table1[[#This Row],[Age]]&lt;30, "Young Adult", IF(Table1[[#This Row],[Age]]&lt;60, "Adult", "Senior"))</f>
        <v>Senior</v>
      </c>
    </row>
    <row r="965" spans="1:15" x14ac:dyDescent="0.25">
      <c r="A965" t="s">
        <v>992</v>
      </c>
      <c r="B965">
        <v>23</v>
      </c>
      <c r="C965" t="s">
        <v>24</v>
      </c>
      <c r="D965" t="s">
        <v>14</v>
      </c>
      <c r="E965" s="4">
        <v>45711</v>
      </c>
      <c r="F965" s="4">
        <v>45719</v>
      </c>
      <c r="G965" s="8">
        <v>8</v>
      </c>
      <c r="H965" t="s">
        <v>20</v>
      </c>
      <c r="I965">
        <v>0</v>
      </c>
      <c r="J965" t="s">
        <v>16</v>
      </c>
      <c r="K965" t="s">
        <v>17</v>
      </c>
      <c r="L965" s="6">
        <v>3733.86</v>
      </c>
      <c r="M965" t="str">
        <f>TEXT(Table1[[#This Row],[Admission_Date]], "mmm")</f>
        <v>Feb</v>
      </c>
      <c r="N965">
        <f>YEAR(Table1[[#This Row],[Admission_Date]])</f>
        <v>2025</v>
      </c>
      <c r="O965" t="str">
        <f>IF(Table1[[#This Row],[Age]]&lt;30, "Young Adult", IF(Table1[[#This Row],[Age]]&lt;60, "Adult", "Senior"))</f>
        <v>Young Adult</v>
      </c>
    </row>
    <row r="966" spans="1:15" x14ac:dyDescent="0.25">
      <c r="A966" t="s">
        <v>993</v>
      </c>
      <c r="B966">
        <v>48</v>
      </c>
      <c r="C966" t="s">
        <v>24</v>
      </c>
      <c r="D966" t="s">
        <v>28</v>
      </c>
      <c r="E966" s="4">
        <v>45775</v>
      </c>
      <c r="F966" s="4">
        <v>45783</v>
      </c>
      <c r="G966" s="8">
        <v>8</v>
      </c>
      <c r="H966" t="s">
        <v>20</v>
      </c>
      <c r="I966">
        <v>0</v>
      </c>
      <c r="J966" t="s">
        <v>25</v>
      </c>
      <c r="K966" t="s">
        <v>17</v>
      </c>
      <c r="L966" s="6">
        <v>5950.72</v>
      </c>
      <c r="M966" t="str">
        <f>TEXT(Table1[[#This Row],[Admission_Date]], "mmm")</f>
        <v>Apr</v>
      </c>
      <c r="N966">
        <f>YEAR(Table1[[#This Row],[Admission_Date]])</f>
        <v>2025</v>
      </c>
      <c r="O966" t="str">
        <f>IF(Table1[[#This Row],[Age]]&lt;30, "Young Adult", IF(Table1[[#This Row],[Age]]&lt;60, "Adult", "Senior"))</f>
        <v>Adult</v>
      </c>
    </row>
    <row r="967" spans="1:15" x14ac:dyDescent="0.25">
      <c r="A967" t="s">
        <v>994</v>
      </c>
      <c r="B967">
        <v>18</v>
      </c>
      <c r="C967" t="s">
        <v>24</v>
      </c>
      <c r="D967" t="s">
        <v>19</v>
      </c>
      <c r="E967" s="4">
        <v>45862</v>
      </c>
      <c r="F967" s="4">
        <v>45865</v>
      </c>
      <c r="G967" s="8">
        <v>3</v>
      </c>
      <c r="H967" t="s">
        <v>20</v>
      </c>
      <c r="I967">
        <v>0</v>
      </c>
      <c r="J967" t="s">
        <v>16</v>
      </c>
      <c r="K967" t="s">
        <v>47</v>
      </c>
      <c r="L967" s="6">
        <v>935.26</v>
      </c>
      <c r="M967" t="str">
        <f>TEXT(Table1[[#This Row],[Admission_Date]], "mmm")</f>
        <v>Jul</v>
      </c>
      <c r="N967">
        <f>YEAR(Table1[[#This Row],[Admission_Date]])</f>
        <v>2025</v>
      </c>
      <c r="O967" t="str">
        <f>IF(Table1[[#This Row],[Age]]&lt;30, "Young Adult", IF(Table1[[#This Row],[Age]]&lt;60, "Adult", "Senior"))</f>
        <v>Young Adult</v>
      </c>
    </row>
    <row r="968" spans="1:15" x14ac:dyDescent="0.25">
      <c r="A968" t="s">
        <v>995</v>
      </c>
      <c r="B968">
        <v>42</v>
      </c>
      <c r="C968" t="s">
        <v>24</v>
      </c>
      <c r="D968" t="s">
        <v>19</v>
      </c>
      <c r="E968" s="4">
        <v>45716</v>
      </c>
      <c r="F968" s="4">
        <v>45719</v>
      </c>
      <c r="G968" s="8">
        <v>3</v>
      </c>
      <c r="H968" t="s">
        <v>15</v>
      </c>
      <c r="I968">
        <v>1</v>
      </c>
      <c r="J968" t="s">
        <v>21</v>
      </c>
      <c r="K968" t="s">
        <v>22</v>
      </c>
      <c r="L968" s="6">
        <v>4619.46</v>
      </c>
      <c r="M968" t="str">
        <f>TEXT(Table1[[#This Row],[Admission_Date]], "mmm")</f>
        <v>Feb</v>
      </c>
      <c r="N968">
        <f>YEAR(Table1[[#This Row],[Admission_Date]])</f>
        <v>2025</v>
      </c>
      <c r="O968" t="str">
        <f>IF(Table1[[#This Row],[Age]]&lt;30, "Young Adult", IF(Table1[[#This Row],[Age]]&lt;60, "Adult", "Senior"))</f>
        <v>Adult</v>
      </c>
    </row>
    <row r="969" spans="1:15" x14ac:dyDescent="0.25">
      <c r="A969" t="s">
        <v>996</v>
      </c>
      <c r="B969">
        <v>61</v>
      </c>
      <c r="C969" t="s">
        <v>13</v>
      </c>
      <c r="D969" t="s">
        <v>14</v>
      </c>
      <c r="E969" s="4">
        <v>45770</v>
      </c>
      <c r="F969" s="4">
        <v>45775</v>
      </c>
      <c r="G969" s="8">
        <v>5</v>
      </c>
      <c r="H969" t="s">
        <v>20</v>
      </c>
      <c r="I969">
        <v>0</v>
      </c>
      <c r="J969" t="s">
        <v>21</v>
      </c>
      <c r="K969" t="s">
        <v>22</v>
      </c>
      <c r="L969" s="6">
        <v>3053.12</v>
      </c>
      <c r="M969" t="str">
        <f>TEXT(Table1[[#This Row],[Admission_Date]], "mmm")</f>
        <v>Apr</v>
      </c>
      <c r="N969">
        <f>YEAR(Table1[[#This Row],[Admission_Date]])</f>
        <v>2025</v>
      </c>
      <c r="O969" t="str">
        <f>IF(Table1[[#This Row],[Age]]&lt;30, "Young Adult", IF(Table1[[#This Row],[Age]]&lt;60, "Adult", "Senior"))</f>
        <v>Senior</v>
      </c>
    </row>
    <row r="970" spans="1:15" x14ac:dyDescent="0.25">
      <c r="A970" t="s">
        <v>997</v>
      </c>
      <c r="B970">
        <v>35</v>
      </c>
      <c r="C970" t="s">
        <v>24</v>
      </c>
      <c r="D970" t="s">
        <v>28</v>
      </c>
      <c r="E970" s="4">
        <v>45792</v>
      </c>
      <c r="F970" s="4">
        <v>45794</v>
      </c>
      <c r="G970" s="8">
        <v>2</v>
      </c>
      <c r="H970" t="s">
        <v>15</v>
      </c>
      <c r="I970">
        <v>26</v>
      </c>
      <c r="J970" t="s">
        <v>16</v>
      </c>
      <c r="K970" t="s">
        <v>47</v>
      </c>
      <c r="L970" s="6">
        <v>14073.65</v>
      </c>
      <c r="M970" t="str">
        <f>TEXT(Table1[[#This Row],[Admission_Date]], "mmm")</f>
        <v>May</v>
      </c>
      <c r="N970">
        <f>YEAR(Table1[[#This Row],[Admission_Date]])</f>
        <v>2025</v>
      </c>
      <c r="O970" t="str">
        <f>IF(Table1[[#This Row],[Age]]&lt;30, "Young Adult", IF(Table1[[#This Row],[Age]]&lt;60, "Adult", "Senior"))</f>
        <v>Adult</v>
      </c>
    </row>
    <row r="971" spans="1:15" x14ac:dyDescent="0.25">
      <c r="A971" t="s">
        <v>998</v>
      </c>
      <c r="B971">
        <v>65</v>
      </c>
      <c r="C971" t="s">
        <v>13</v>
      </c>
      <c r="D971" t="s">
        <v>34</v>
      </c>
      <c r="E971" s="4">
        <v>45814</v>
      </c>
      <c r="F971" s="4">
        <v>45822</v>
      </c>
      <c r="G971" s="8">
        <v>8</v>
      </c>
      <c r="H971" t="s">
        <v>15</v>
      </c>
      <c r="I971">
        <v>26</v>
      </c>
      <c r="J971" t="s">
        <v>29</v>
      </c>
      <c r="K971" t="s">
        <v>17</v>
      </c>
      <c r="L971" s="6">
        <v>1447.97</v>
      </c>
      <c r="M971" t="str">
        <f>TEXT(Table1[[#This Row],[Admission_Date]], "mmm")</f>
        <v>Jun</v>
      </c>
      <c r="N971">
        <f>YEAR(Table1[[#This Row],[Admission_Date]])</f>
        <v>2025</v>
      </c>
      <c r="O971" t="str">
        <f>IF(Table1[[#This Row],[Age]]&lt;30, "Young Adult", IF(Table1[[#This Row],[Age]]&lt;60, "Adult", "Senior"))</f>
        <v>Senior</v>
      </c>
    </row>
    <row r="972" spans="1:15" x14ac:dyDescent="0.25">
      <c r="A972" t="s">
        <v>999</v>
      </c>
      <c r="B972">
        <v>42</v>
      </c>
      <c r="C972" t="s">
        <v>24</v>
      </c>
      <c r="D972" t="s">
        <v>28</v>
      </c>
      <c r="E972" s="4">
        <v>45731</v>
      </c>
      <c r="F972" s="4">
        <v>45734</v>
      </c>
      <c r="G972" s="8">
        <v>3</v>
      </c>
      <c r="H972" t="s">
        <v>20</v>
      </c>
      <c r="I972">
        <v>0</v>
      </c>
      <c r="J972" t="s">
        <v>25</v>
      </c>
      <c r="K972" t="s">
        <v>47</v>
      </c>
      <c r="L972" s="6">
        <v>9193.4599999999991</v>
      </c>
      <c r="M972" t="str">
        <f>TEXT(Table1[[#This Row],[Admission_Date]], "mmm")</f>
        <v>Mar</v>
      </c>
      <c r="N972">
        <f>YEAR(Table1[[#This Row],[Admission_Date]])</f>
        <v>2025</v>
      </c>
      <c r="O972" t="str">
        <f>IF(Table1[[#This Row],[Age]]&lt;30, "Young Adult", IF(Table1[[#This Row],[Age]]&lt;60, "Adult", "Senior"))</f>
        <v>Adult</v>
      </c>
    </row>
    <row r="973" spans="1:15" x14ac:dyDescent="0.25">
      <c r="A973" t="s">
        <v>1000</v>
      </c>
      <c r="B973">
        <v>42</v>
      </c>
      <c r="C973" t="s">
        <v>24</v>
      </c>
      <c r="D973" t="s">
        <v>14</v>
      </c>
      <c r="E973" s="4">
        <v>45983</v>
      </c>
      <c r="F973" s="4">
        <v>45987</v>
      </c>
      <c r="G973" s="8">
        <v>4</v>
      </c>
      <c r="H973" t="s">
        <v>20</v>
      </c>
      <c r="I973">
        <v>0</v>
      </c>
      <c r="J973" t="s">
        <v>25</v>
      </c>
      <c r="K973" t="s">
        <v>22</v>
      </c>
      <c r="L973" s="6">
        <v>1272.26</v>
      </c>
      <c r="M973" t="str">
        <f>TEXT(Table1[[#This Row],[Admission_Date]], "mmm")</f>
        <v>Nov</v>
      </c>
      <c r="N973">
        <f>YEAR(Table1[[#This Row],[Admission_Date]])</f>
        <v>2025</v>
      </c>
      <c r="O973" t="str">
        <f>IF(Table1[[#This Row],[Age]]&lt;30, "Young Adult", IF(Table1[[#This Row],[Age]]&lt;60, "Adult", "Senior"))</f>
        <v>Adult</v>
      </c>
    </row>
    <row r="974" spans="1:15" x14ac:dyDescent="0.25">
      <c r="A974" t="s">
        <v>1001</v>
      </c>
      <c r="B974">
        <v>83</v>
      </c>
      <c r="C974" t="s">
        <v>24</v>
      </c>
      <c r="D974" t="s">
        <v>14</v>
      </c>
      <c r="E974" s="4">
        <v>45801</v>
      </c>
      <c r="F974" s="4">
        <v>45815</v>
      </c>
      <c r="G974" s="8">
        <v>14</v>
      </c>
      <c r="H974" t="s">
        <v>15</v>
      </c>
      <c r="I974">
        <v>24</v>
      </c>
      <c r="J974" t="s">
        <v>16</v>
      </c>
      <c r="K974" t="s">
        <v>47</v>
      </c>
      <c r="L974" s="6">
        <v>11969.46</v>
      </c>
      <c r="M974" t="str">
        <f>TEXT(Table1[[#This Row],[Admission_Date]], "mmm")</f>
        <v>May</v>
      </c>
      <c r="N974">
        <f>YEAR(Table1[[#This Row],[Admission_Date]])</f>
        <v>2025</v>
      </c>
      <c r="O974" t="str">
        <f>IF(Table1[[#This Row],[Age]]&lt;30, "Young Adult", IF(Table1[[#This Row],[Age]]&lt;60, "Adult", "Senior"))</f>
        <v>Senior</v>
      </c>
    </row>
    <row r="975" spans="1:15" x14ac:dyDescent="0.25">
      <c r="A975" t="s">
        <v>1002</v>
      </c>
      <c r="B975">
        <v>67</v>
      </c>
      <c r="C975" t="s">
        <v>24</v>
      </c>
      <c r="D975" t="s">
        <v>40</v>
      </c>
      <c r="E975" s="4">
        <v>45972</v>
      </c>
      <c r="F975" s="4">
        <v>45974</v>
      </c>
      <c r="G975" s="8">
        <v>2</v>
      </c>
      <c r="H975" t="s">
        <v>15</v>
      </c>
      <c r="I975">
        <v>17</v>
      </c>
      <c r="J975" t="s">
        <v>29</v>
      </c>
      <c r="K975" t="s">
        <v>22</v>
      </c>
      <c r="L975" s="6">
        <v>5166.4399999999996</v>
      </c>
      <c r="M975" t="str">
        <f>TEXT(Table1[[#This Row],[Admission_Date]], "mmm")</f>
        <v>Nov</v>
      </c>
      <c r="N975">
        <f>YEAR(Table1[[#This Row],[Admission_Date]])</f>
        <v>2025</v>
      </c>
      <c r="O975" t="str">
        <f>IF(Table1[[#This Row],[Age]]&lt;30, "Young Adult", IF(Table1[[#This Row],[Age]]&lt;60, "Adult", "Senior"))</f>
        <v>Senior</v>
      </c>
    </row>
    <row r="976" spans="1:15" x14ac:dyDescent="0.25">
      <c r="A976" t="s">
        <v>1003</v>
      </c>
      <c r="B976">
        <v>81</v>
      </c>
      <c r="C976" t="s">
        <v>24</v>
      </c>
      <c r="D976" t="s">
        <v>32</v>
      </c>
      <c r="E976" s="4">
        <v>45849</v>
      </c>
      <c r="F976" s="4">
        <v>45858</v>
      </c>
      <c r="G976" s="8">
        <v>9</v>
      </c>
      <c r="H976" t="s">
        <v>20</v>
      </c>
      <c r="I976">
        <v>0</v>
      </c>
      <c r="J976" t="s">
        <v>29</v>
      </c>
      <c r="K976" t="s">
        <v>17</v>
      </c>
      <c r="L976" s="6">
        <v>13857.19</v>
      </c>
      <c r="M976" t="str">
        <f>TEXT(Table1[[#This Row],[Admission_Date]], "mmm")</f>
        <v>Jul</v>
      </c>
      <c r="N976">
        <f>YEAR(Table1[[#This Row],[Admission_Date]])</f>
        <v>2025</v>
      </c>
      <c r="O976" t="str">
        <f>IF(Table1[[#This Row],[Age]]&lt;30, "Young Adult", IF(Table1[[#This Row],[Age]]&lt;60, "Adult", "Senior"))</f>
        <v>Senior</v>
      </c>
    </row>
    <row r="977" spans="1:15" x14ac:dyDescent="0.25">
      <c r="A977" t="s">
        <v>1004</v>
      </c>
      <c r="B977">
        <v>46</v>
      </c>
      <c r="C977" t="s">
        <v>13</v>
      </c>
      <c r="D977" t="s">
        <v>40</v>
      </c>
      <c r="E977" s="4">
        <v>45956</v>
      </c>
      <c r="F977" s="4">
        <v>45967</v>
      </c>
      <c r="G977" s="8">
        <v>11</v>
      </c>
      <c r="H977" t="s">
        <v>15</v>
      </c>
      <c r="I977">
        <v>28</v>
      </c>
      <c r="J977" t="s">
        <v>21</v>
      </c>
      <c r="K977" t="s">
        <v>47</v>
      </c>
      <c r="L977" s="6">
        <v>3669.61</v>
      </c>
      <c r="M977" t="str">
        <f>TEXT(Table1[[#This Row],[Admission_Date]], "mmm")</f>
        <v>Oct</v>
      </c>
      <c r="N977">
        <f>YEAR(Table1[[#This Row],[Admission_Date]])</f>
        <v>2025</v>
      </c>
      <c r="O977" t="str">
        <f>IF(Table1[[#This Row],[Age]]&lt;30, "Young Adult", IF(Table1[[#This Row],[Age]]&lt;60, "Adult", "Senior"))</f>
        <v>Adult</v>
      </c>
    </row>
    <row r="978" spans="1:15" x14ac:dyDescent="0.25">
      <c r="A978" t="s">
        <v>1005</v>
      </c>
      <c r="B978">
        <v>65</v>
      </c>
      <c r="C978" t="s">
        <v>24</v>
      </c>
      <c r="D978" t="s">
        <v>34</v>
      </c>
      <c r="E978" s="4">
        <v>45875</v>
      </c>
      <c r="F978" s="4">
        <v>45882</v>
      </c>
      <c r="G978" s="8">
        <v>7</v>
      </c>
      <c r="H978" t="s">
        <v>20</v>
      </c>
      <c r="I978">
        <v>0</v>
      </c>
      <c r="J978" t="s">
        <v>16</v>
      </c>
      <c r="K978" t="s">
        <v>22</v>
      </c>
      <c r="L978" s="6">
        <v>11398.53</v>
      </c>
      <c r="M978" t="str">
        <f>TEXT(Table1[[#This Row],[Admission_Date]], "mmm")</f>
        <v>Aug</v>
      </c>
      <c r="N978">
        <f>YEAR(Table1[[#This Row],[Admission_Date]])</f>
        <v>2025</v>
      </c>
      <c r="O978" t="str">
        <f>IF(Table1[[#This Row],[Age]]&lt;30, "Young Adult", IF(Table1[[#This Row],[Age]]&lt;60, "Adult", "Senior"))</f>
        <v>Senior</v>
      </c>
    </row>
    <row r="979" spans="1:15" x14ac:dyDescent="0.25">
      <c r="A979" t="s">
        <v>1006</v>
      </c>
      <c r="B979">
        <v>47</v>
      </c>
      <c r="C979" t="s">
        <v>13</v>
      </c>
      <c r="D979" t="s">
        <v>40</v>
      </c>
      <c r="E979" s="4">
        <v>45809</v>
      </c>
      <c r="F979" s="4">
        <v>45817</v>
      </c>
      <c r="G979" s="8">
        <v>8</v>
      </c>
      <c r="H979" t="s">
        <v>20</v>
      </c>
      <c r="I979">
        <v>0</v>
      </c>
      <c r="J979" t="s">
        <v>25</v>
      </c>
      <c r="K979" t="s">
        <v>47</v>
      </c>
      <c r="L979" s="6">
        <v>7041.69</v>
      </c>
      <c r="M979" t="str">
        <f>TEXT(Table1[[#This Row],[Admission_Date]], "mmm")</f>
        <v>Jun</v>
      </c>
      <c r="N979">
        <f>YEAR(Table1[[#This Row],[Admission_Date]])</f>
        <v>2025</v>
      </c>
      <c r="O979" t="str">
        <f>IF(Table1[[#This Row],[Age]]&lt;30, "Young Adult", IF(Table1[[#This Row],[Age]]&lt;60, "Adult", "Senior"))</f>
        <v>Adult</v>
      </c>
    </row>
    <row r="980" spans="1:15" x14ac:dyDescent="0.25">
      <c r="A980" t="s">
        <v>1007</v>
      </c>
      <c r="B980">
        <v>81</v>
      </c>
      <c r="C980" t="s">
        <v>24</v>
      </c>
      <c r="D980" t="s">
        <v>32</v>
      </c>
      <c r="E980" s="4">
        <v>45879</v>
      </c>
      <c r="F980" s="4">
        <v>45886</v>
      </c>
      <c r="G980" s="8">
        <v>7</v>
      </c>
      <c r="H980" t="s">
        <v>20</v>
      </c>
      <c r="I980">
        <v>0</v>
      </c>
      <c r="J980" t="s">
        <v>29</v>
      </c>
      <c r="K980" t="s">
        <v>22</v>
      </c>
      <c r="L980" s="6">
        <v>3103.7</v>
      </c>
      <c r="M980" t="str">
        <f>TEXT(Table1[[#This Row],[Admission_Date]], "mmm")</f>
        <v>Aug</v>
      </c>
      <c r="N980">
        <f>YEAR(Table1[[#This Row],[Admission_Date]])</f>
        <v>2025</v>
      </c>
      <c r="O980" t="str">
        <f>IF(Table1[[#This Row],[Age]]&lt;30, "Young Adult", IF(Table1[[#This Row],[Age]]&lt;60, "Adult", "Senior"))</f>
        <v>Senior</v>
      </c>
    </row>
    <row r="981" spans="1:15" x14ac:dyDescent="0.25">
      <c r="A981" t="s">
        <v>1008</v>
      </c>
      <c r="B981">
        <v>63</v>
      </c>
      <c r="C981" t="s">
        <v>13</v>
      </c>
      <c r="D981" t="s">
        <v>32</v>
      </c>
      <c r="E981" s="4">
        <v>45777</v>
      </c>
      <c r="F981" s="4">
        <v>45782</v>
      </c>
      <c r="G981" s="8">
        <v>5</v>
      </c>
      <c r="H981" t="s">
        <v>20</v>
      </c>
      <c r="I981">
        <v>0</v>
      </c>
      <c r="J981" t="s">
        <v>16</v>
      </c>
      <c r="K981" t="s">
        <v>47</v>
      </c>
      <c r="L981" s="6">
        <v>13935.79</v>
      </c>
      <c r="M981" t="str">
        <f>TEXT(Table1[[#This Row],[Admission_Date]], "mmm")</f>
        <v>Apr</v>
      </c>
      <c r="N981">
        <f>YEAR(Table1[[#This Row],[Admission_Date]])</f>
        <v>2025</v>
      </c>
      <c r="O981" t="str">
        <f>IF(Table1[[#This Row],[Age]]&lt;30, "Young Adult", IF(Table1[[#This Row],[Age]]&lt;60, "Adult", "Senior"))</f>
        <v>Senior</v>
      </c>
    </row>
    <row r="982" spans="1:15" x14ac:dyDescent="0.25">
      <c r="A982" t="s">
        <v>1009</v>
      </c>
      <c r="B982">
        <v>22</v>
      </c>
      <c r="C982" t="s">
        <v>13</v>
      </c>
      <c r="D982" t="s">
        <v>32</v>
      </c>
      <c r="E982" s="4">
        <v>45708</v>
      </c>
      <c r="F982" s="4">
        <v>45710</v>
      </c>
      <c r="G982" s="8">
        <v>2</v>
      </c>
      <c r="H982" t="s">
        <v>15</v>
      </c>
      <c r="I982">
        <v>7</v>
      </c>
      <c r="J982" t="s">
        <v>25</v>
      </c>
      <c r="K982" t="s">
        <v>47</v>
      </c>
      <c r="L982" s="6">
        <v>4889.38</v>
      </c>
      <c r="M982" t="str">
        <f>TEXT(Table1[[#This Row],[Admission_Date]], "mmm")</f>
        <v>Feb</v>
      </c>
      <c r="N982">
        <f>YEAR(Table1[[#This Row],[Admission_Date]])</f>
        <v>2025</v>
      </c>
      <c r="O982" t="str">
        <f>IF(Table1[[#This Row],[Age]]&lt;30, "Young Adult", IF(Table1[[#This Row],[Age]]&lt;60, "Adult", "Senior"))</f>
        <v>Young Adult</v>
      </c>
    </row>
    <row r="983" spans="1:15" x14ac:dyDescent="0.25">
      <c r="A983" t="s">
        <v>1010</v>
      </c>
      <c r="B983">
        <v>35</v>
      </c>
      <c r="C983" t="s">
        <v>24</v>
      </c>
      <c r="D983" t="s">
        <v>19</v>
      </c>
      <c r="E983" s="4">
        <v>46007</v>
      </c>
      <c r="F983" s="4">
        <v>46021</v>
      </c>
      <c r="G983" s="8">
        <v>14</v>
      </c>
      <c r="H983" t="s">
        <v>15</v>
      </c>
      <c r="I983">
        <v>25</v>
      </c>
      <c r="J983" t="s">
        <v>25</v>
      </c>
      <c r="K983" t="s">
        <v>47</v>
      </c>
      <c r="L983" s="6">
        <v>12423.48</v>
      </c>
      <c r="M983" t="str">
        <f>TEXT(Table1[[#This Row],[Admission_Date]], "mmm")</f>
        <v>Dec</v>
      </c>
      <c r="N983">
        <f>YEAR(Table1[[#This Row],[Admission_Date]])</f>
        <v>2025</v>
      </c>
      <c r="O983" t="str">
        <f>IF(Table1[[#This Row],[Age]]&lt;30, "Young Adult", IF(Table1[[#This Row],[Age]]&lt;60, "Adult", "Senior"))</f>
        <v>Adult</v>
      </c>
    </row>
    <row r="984" spans="1:15" x14ac:dyDescent="0.25">
      <c r="A984" t="s">
        <v>1011</v>
      </c>
      <c r="B984">
        <v>19</v>
      </c>
      <c r="C984" t="s">
        <v>24</v>
      </c>
      <c r="D984" t="s">
        <v>28</v>
      </c>
      <c r="E984" s="4">
        <v>45864</v>
      </c>
      <c r="F984" s="4">
        <v>45871</v>
      </c>
      <c r="G984" s="8">
        <v>7</v>
      </c>
      <c r="H984" t="s">
        <v>20</v>
      </c>
      <c r="I984">
        <v>0</v>
      </c>
      <c r="J984" t="s">
        <v>21</v>
      </c>
      <c r="K984" t="s">
        <v>47</v>
      </c>
      <c r="L984" s="6">
        <v>3799.89</v>
      </c>
      <c r="M984" t="str">
        <f>TEXT(Table1[[#This Row],[Admission_Date]], "mmm")</f>
        <v>Jul</v>
      </c>
      <c r="N984">
        <f>YEAR(Table1[[#This Row],[Admission_Date]])</f>
        <v>2025</v>
      </c>
      <c r="O984" t="str">
        <f>IF(Table1[[#This Row],[Age]]&lt;30, "Young Adult", IF(Table1[[#This Row],[Age]]&lt;60, "Adult", "Senior"))</f>
        <v>Young Adult</v>
      </c>
    </row>
    <row r="985" spans="1:15" x14ac:dyDescent="0.25">
      <c r="A985" t="s">
        <v>1012</v>
      </c>
      <c r="B985">
        <v>88</v>
      </c>
      <c r="C985" t="s">
        <v>24</v>
      </c>
      <c r="D985" t="s">
        <v>28</v>
      </c>
      <c r="E985" s="4">
        <v>45765</v>
      </c>
      <c r="F985" s="4">
        <v>45773</v>
      </c>
      <c r="G985" s="8">
        <v>8</v>
      </c>
      <c r="H985" t="s">
        <v>15</v>
      </c>
      <c r="I985">
        <v>27</v>
      </c>
      <c r="J985" t="s">
        <v>29</v>
      </c>
      <c r="K985" t="s">
        <v>47</v>
      </c>
      <c r="L985" s="6">
        <v>11982.77</v>
      </c>
      <c r="M985" t="str">
        <f>TEXT(Table1[[#This Row],[Admission_Date]], "mmm")</f>
        <v>Apr</v>
      </c>
      <c r="N985">
        <f>YEAR(Table1[[#This Row],[Admission_Date]])</f>
        <v>2025</v>
      </c>
      <c r="O985" t="str">
        <f>IF(Table1[[#This Row],[Age]]&lt;30, "Young Adult", IF(Table1[[#This Row],[Age]]&lt;60, "Adult", "Senior"))</f>
        <v>Senior</v>
      </c>
    </row>
    <row r="986" spans="1:15" x14ac:dyDescent="0.25">
      <c r="A986" t="s">
        <v>1013</v>
      </c>
      <c r="B986">
        <v>71</v>
      </c>
      <c r="C986" t="s">
        <v>13</v>
      </c>
      <c r="D986" t="s">
        <v>40</v>
      </c>
      <c r="E986" s="4">
        <v>45818</v>
      </c>
      <c r="F986" s="4">
        <v>45832</v>
      </c>
      <c r="G986" s="8">
        <v>14</v>
      </c>
      <c r="H986" t="s">
        <v>15</v>
      </c>
      <c r="I986">
        <v>15</v>
      </c>
      <c r="J986" t="s">
        <v>16</v>
      </c>
      <c r="K986" t="s">
        <v>47</v>
      </c>
      <c r="L986" s="6">
        <v>2514.7800000000002</v>
      </c>
      <c r="M986" t="str">
        <f>TEXT(Table1[[#This Row],[Admission_Date]], "mmm")</f>
        <v>Jun</v>
      </c>
      <c r="N986">
        <f>YEAR(Table1[[#This Row],[Admission_Date]])</f>
        <v>2025</v>
      </c>
      <c r="O986" t="str">
        <f>IF(Table1[[#This Row],[Age]]&lt;30, "Young Adult", IF(Table1[[#This Row],[Age]]&lt;60, "Adult", "Senior"))</f>
        <v>Senior</v>
      </c>
    </row>
    <row r="987" spans="1:15" x14ac:dyDescent="0.25">
      <c r="A987" t="s">
        <v>1014</v>
      </c>
      <c r="B987">
        <v>19</v>
      </c>
      <c r="C987" t="s">
        <v>24</v>
      </c>
      <c r="D987" t="s">
        <v>28</v>
      </c>
      <c r="E987" s="4">
        <v>45723</v>
      </c>
      <c r="F987" s="4">
        <v>45728</v>
      </c>
      <c r="G987" s="8">
        <v>5</v>
      </c>
      <c r="H987" t="s">
        <v>20</v>
      </c>
      <c r="I987">
        <v>0</v>
      </c>
      <c r="J987" t="s">
        <v>25</v>
      </c>
      <c r="K987" t="s">
        <v>47</v>
      </c>
      <c r="L987" s="6">
        <v>3769.61</v>
      </c>
      <c r="M987" t="str">
        <f>TEXT(Table1[[#This Row],[Admission_Date]], "mmm")</f>
        <v>Mar</v>
      </c>
      <c r="N987">
        <f>YEAR(Table1[[#This Row],[Admission_Date]])</f>
        <v>2025</v>
      </c>
      <c r="O987" t="str">
        <f>IF(Table1[[#This Row],[Age]]&lt;30, "Young Adult", IF(Table1[[#This Row],[Age]]&lt;60, "Adult", "Senior"))</f>
        <v>Young Adult</v>
      </c>
    </row>
    <row r="988" spans="1:15" x14ac:dyDescent="0.25">
      <c r="A988" t="s">
        <v>1015</v>
      </c>
      <c r="B988">
        <v>86</v>
      </c>
      <c r="C988" t="s">
        <v>24</v>
      </c>
      <c r="D988" t="s">
        <v>32</v>
      </c>
      <c r="E988" s="4">
        <v>45875</v>
      </c>
      <c r="F988" s="4">
        <v>45886</v>
      </c>
      <c r="G988" s="8">
        <v>11</v>
      </c>
      <c r="H988" t="s">
        <v>20</v>
      </c>
      <c r="I988">
        <v>0</v>
      </c>
      <c r="J988" t="s">
        <v>16</v>
      </c>
      <c r="K988" t="s">
        <v>17</v>
      </c>
      <c r="L988" s="6">
        <v>11887.69</v>
      </c>
      <c r="M988" t="str">
        <f>TEXT(Table1[[#This Row],[Admission_Date]], "mmm")</f>
        <v>Aug</v>
      </c>
      <c r="N988">
        <f>YEAR(Table1[[#This Row],[Admission_Date]])</f>
        <v>2025</v>
      </c>
      <c r="O988" t="str">
        <f>IF(Table1[[#This Row],[Age]]&lt;30, "Young Adult", IF(Table1[[#This Row],[Age]]&lt;60, "Adult", "Senior"))</f>
        <v>Senior</v>
      </c>
    </row>
    <row r="989" spans="1:15" x14ac:dyDescent="0.25">
      <c r="A989" t="s">
        <v>1016</v>
      </c>
      <c r="B989">
        <v>60</v>
      </c>
      <c r="C989" t="s">
        <v>24</v>
      </c>
      <c r="D989" t="s">
        <v>40</v>
      </c>
      <c r="E989" s="4">
        <v>45729</v>
      </c>
      <c r="F989" s="4">
        <v>45732</v>
      </c>
      <c r="G989" s="8">
        <v>3</v>
      </c>
      <c r="H989" t="s">
        <v>20</v>
      </c>
      <c r="I989">
        <v>0</v>
      </c>
      <c r="J989" t="s">
        <v>21</v>
      </c>
      <c r="K989" t="s">
        <v>47</v>
      </c>
      <c r="L989" s="6">
        <v>1423.78</v>
      </c>
      <c r="M989" t="str">
        <f>TEXT(Table1[[#This Row],[Admission_Date]], "mmm")</f>
        <v>Mar</v>
      </c>
      <c r="N989">
        <f>YEAR(Table1[[#This Row],[Admission_Date]])</f>
        <v>2025</v>
      </c>
      <c r="O989" t="str">
        <f>IF(Table1[[#This Row],[Age]]&lt;30, "Young Adult", IF(Table1[[#This Row],[Age]]&lt;60, "Adult", "Senior"))</f>
        <v>Senior</v>
      </c>
    </row>
    <row r="990" spans="1:15" x14ac:dyDescent="0.25">
      <c r="A990" t="s">
        <v>1017</v>
      </c>
      <c r="B990">
        <v>60</v>
      </c>
      <c r="C990" t="s">
        <v>24</v>
      </c>
      <c r="D990" t="s">
        <v>28</v>
      </c>
      <c r="E990" s="4">
        <v>45855</v>
      </c>
      <c r="F990" s="4">
        <v>45859</v>
      </c>
      <c r="G990" s="8">
        <v>4</v>
      </c>
      <c r="H990" t="s">
        <v>20</v>
      </c>
      <c r="I990">
        <v>0</v>
      </c>
      <c r="J990" t="s">
        <v>25</v>
      </c>
      <c r="K990" t="s">
        <v>22</v>
      </c>
      <c r="L990" s="6">
        <v>2985.64</v>
      </c>
      <c r="M990" t="str">
        <f>TEXT(Table1[[#This Row],[Admission_Date]], "mmm")</f>
        <v>Jul</v>
      </c>
      <c r="N990">
        <f>YEAR(Table1[[#This Row],[Admission_Date]])</f>
        <v>2025</v>
      </c>
      <c r="O990" t="str">
        <f>IF(Table1[[#This Row],[Age]]&lt;30, "Young Adult", IF(Table1[[#This Row],[Age]]&lt;60, "Adult", "Senior"))</f>
        <v>Senior</v>
      </c>
    </row>
    <row r="991" spans="1:15" x14ac:dyDescent="0.25">
      <c r="A991" t="s">
        <v>1018</v>
      </c>
      <c r="B991">
        <v>80</v>
      </c>
      <c r="C991" t="s">
        <v>13</v>
      </c>
      <c r="D991" t="s">
        <v>14</v>
      </c>
      <c r="E991" s="4">
        <v>46003</v>
      </c>
      <c r="F991" s="4">
        <v>46012</v>
      </c>
      <c r="G991" s="8">
        <v>9</v>
      </c>
      <c r="H991" t="s">
        <v>15</v>
      </c>
      <c r="I991">
        <v>7</v>
      </c>
      <c r="J991" t="s">
        <v>16</v>
      </c>
      <c r="K991" t="s">
        <v>47</v>
      </c>
      <c r="L991" s="6">
        <v>4615.3599999999997</v>
      </c>
      <c r="M991" t="str">
        <f>TEXT(Table1[[#This Row],[Admission_Date]], "mmm")</f>
        <v>Dec</v>
      </c>
      <c r="N991">
        <f>YEAR(Table1[[#This Row],[Admission_Date]])</f>
        <v>2025</v>
      </c>
      <c r="O991" t="str">
        <f>IF(Table1[[#This Row],[Age]]&lt;30, "Young Adult", IF(Table1[[#This Row],[Age]]&lt;60, "Adult", "Senior"))</f>
        <v>Senior</v>
      </c>
    </row>
    <row r="992" spans="1:15" x14ac:dyDescent="0.25">
      <c r="A992" t="s">
        <v>1019</v>
      </c>
      <c r="B992">
        <v>26</v>
      </c>
      <c r="C992" t="s">
        <v>24</v>
      </c>
      <c r="D992" t="s">
        <v>19</v>
      </c>
      <c r="E992" s="4">
        <v>45777</v>
      </c>
      <c r="F992" s="4">
        <v>45782</v>
      </c>
      <c r="G992" s="8">
        <v>5</v>
      </c>
      <c r="H992" t="s">
        <v>20</v>
      </c>
      <c r="I992">
        <v>0</v>
      </c>
      <c r="J992" t="s">
        <v>25</v>
      </c>
      <c r="K992" t="s">
        <v>17</v>
      </c>
      <c r="L992" s="6">
        <v>660.18</v>
      </c>
      <c r="M992" t="str">
        <f>TEXT(Table1[[#This Row],[Admission_Date]], "mmm")</f>
        <v>Apr</v>
      </c>
      <c r="N992">
        <f>YEAR(Table1[[#This Row],[Admission_Date]])</f>
        <v>2025</v>
      </c>
      <c r="O992" t="str">
        <f>IF(Table1[[#This Row],[Age]]&lt;30, "Young Adult", IF(Table1[[#This Row],[Age]]&lt;60, "Adult", "Senior"))</f>
        <v>Young Adult</v>
      </c>
    </row>
    <row r="993" spans="1:15" x14ac:dyDescent="0.25">
      <c r="A993" t="s">
        <v>1020</v>
      </c>
      <c r="B993">
        <v>68</v>
      </c>
      <c r="C993" t="s">
        <v>13</v>
      </c>
      <c r="D993" t="s">
        <v>19</v>
      </c>
      <c r="E993" s="4">
        <v>45825</v>
      </c>
      <c r="F993" s="4">
        <v>45839</v>
      </c>
      <c r="G993" s="8">
        <v>14</v>
      </c>
      <c r="H993" t="s">
        <v>20</v>
      </c>
      <c r="I993">
        <v>0</v>
      </c>
      <c r="J993" t="s">
        <v>21</v>
      </c>
      <c r="K993" t="s">
        <v>17</v>
      </c>
      <c r="L993" s="6">
        <v>6566.99</v>
      </c>
      <c r="M993" t="str">
        <f>TEXT(Table1[[#This Row],[Admission_Date]], "mmm")</f>
        <v>Jun</v>
      </c>
      <c r="N993">
        <f>YEAR(Table1[[#This Row],[Admission_Date]])</f>
        <v>2025</v>
      </c>
      <c r="O993" t="str">
        <f>IF(Table1[[#This Row],[Age]]&lt;30, "Young Adult", IF(Table1[[#This Row],[Age]]&lt;60, "Adult", "Senior"))</f>
        <v>Senior</v>
      </c>
    </row>
    <row r="994" spans="1:15" x14ac:dyDescent="0.25">
      <c r="A994" t="s">
        <v>1021</v>
      </c>
      <c r="B994">
        <v>44</v>
      </c>
      <c r="C994" t="s">
        <v>13</v>
      </c>
      <c r="D994" t="s">
        <v>14</v>
      </c>
      <c r="E994" s="4">
        <v>45693</v>
      </c>
      <c r="F994" s="4">
        <v>45700</v>
      </c>
      <c r="G994" s="8">
        <v>7</v>
      </c>
      <c r="H994" t="s">
        <v>20</v>
      </c>
      <c r="I994">
        <v>0</v>
      </c>
      <c r="J994" t="s">
        <v>25</v>
      </c>
      <c r="K994" t="s">
        <v>47</v>
      </c>
      <c r="L994" s="6">
        <v>12359.49</v>
      </c>
      <c r="M994" t="str">
        <f>TEXT(Table1[[#This Row],[Admission_Date]], "mmm")</f>
        <v>Feb</v>
      </c>
      <c r="N994">
        <f>YEAR(Table1[[#This Row],[Admission_Date]])</f>
        <v>2025</v>
      </c>
      <c r="O994" t="str">
        <f>IF(Table1[[#This Row],[Age]]&lt;30, "Young Adult", IF(Table1[[#This Row],[Age]]&lt;60, "Adult", "Senior"))</f>
        <v>Adult</v>
      </c>
    </row>
    <row r="995" spans="1:15" x14ac:dyDescent="0.25">
      <c r="A995" t="s">
        <v>1022</v>
      </c>
      <c r="B995">
        <v>57</v>
      </c>
      <c r="C995" t="s">
        <v>13</v>
      </c>
      <c r="D995" t="s">
        <v>34</v>
      </c>
      <c r="E995" s="4">
        <v>45998</v>
      </c>
      <c r="F995" s="4">
        <v>46006</v>
      </c>
      <c r="G995" s="8">
        <v>8</v>
      </c>
      <c r="H995" t="s">
        <v>15</v>
      </c>
      <c r="I995">
        <v>23</v>
      </c>
      <c r="J995" t="s">
        <v>29</v>
      </c>
      <c r="K995" t="s">
        <v>47</v>
      </c>
      <c r="L995" s="6">
        <v>3424.69</v>
      </c>
      <c r="M995" t="str">
        <f>TEXT(Table1[[#This Row],[Admission_Date]], "mmm")</f>
        <v>Dec</v>
      </c>
      <c r="N995">
        <f>YEAR(Table1[[#This Row],[Admission_Date]])</f>
        <v>2025</v>
      </c>
      <c r="O995" t="str">
        <f>IF(Table1[[#This Row],[Age]]&lt;30, "Young Adult", IF(Table1[[#This Row],[Age]]&lt;60, "Adult", "Senior"))</f>
        <v>Adult</v>
      </c>
    </row>
    <row r="996" spans="1:15" x14ac:dyDescent="0.25">
      <c r="A996" t="s">
        <v>1023</v>
      </c>
      <c r="B996">
        <v>69</v>
      </c>
      <c r="C996" t="s">
        <v>13</v>
      </c>
      <c r="D996" t="s">
        <v>34</v>
      </c>
      <c r="E996" s="4">
        <v>45731</v>
      </c>
      <c r="F996" s="4">
        <v>45739</v>
      </c>
      <c r="G996" s="8">
        <v>8</v>
      </c>
      <c r="H996" t="s">
        <v>15</v>
      </c>
      <c r="I996">
        <v>11</v>
      </c>
      <c r="J996" t="s">
        <v>29</v>
      </c>
      <c r="K996" t="s">
        <v>47</v>
      </c>
      <c r="L996" s="6">
        <v>7209.08</v>
      </c>
      <c r="M996" t="str">
        <f>TEXT(Table1[[#This Row],[Admission_Date]], "mmm")</f>
        <v>Mar</v>
      </c>
      <c r="N996">
        <f>YEAR(Table1[[#This Row],[Admission_Date]])</f>
        <v>2025</v>
      </c>
      <c r="O996" t="str">
        <f>IF(Table1[[#This Row],[Age]]&lt;30, "Young Adult", IF(Table1[[#This Row],[Age]]&lt;60, "Adult", "Senior"))</f>
        <v>Senior</v>
      </c>
    </row>
    <row r="997" spans="1:15" x14ac:dyDescent="0.25">
      <c r="A997" t="s">
        <v>1024</v>
      </c>
      <c r="B997">
        <v>76</v>
      </c>
      <c r="C997" t="s">
        <v>24</v>
      </c>
      <c r="D997" t="s">
        <v>28</v>
      </c>
      <c r="E997" s="4">
        <v>45678</v>
      </c>
      <c r="F997" s="4">
        <v>45690</v>
      </c>
      <c r="G997" s="8">
        <v>12</v>
      </c>
      <c r="H997" t="s">
        <v>15</v>
      </c>
      <c r="I997">
        <v>27</v>
      </c>
      <c r="J997" t="s">
        <v>25</v>
      </c>
      <c r="K997" t="s">
        <v>47</v>
      </c>
      <c r="L997" s="6">
        <v>9388.9</v>
      </c>
      <c r="M997" t="str">
        <f>TEXT(Table1[[#This Row],[Admission_Date]], "mmm")</f>
        <v>Jan</v>
      </c>
      <c r="N997">
        <f>YEAR(Table1[[#This Row],[Admission_Date]])</f>
        <v>2025</v>
      </c>
      <c r="O997" t="str">
        <f>IF(Table1[[#This Row],[Age]]&lt;30, "Young Adult", IF(Table1[[#This Row],[Age]]&lt;60, "Adult", "Senior"))</f>
        <v>Senior</v>
      </c>
    </row>
    <row r="998" spans="1:15" x14ac:dyDescent="0.25">
      <c r="A998" t="s">
        <v>1025</v>
      </c>
      <c r="B998">
        <v>73</v>
      </c>
      <c r="C998" t="s">
        <v>24</v>
      </c>
      <c r="D998" t="s">
        <v>40</v>
      </c>
      <c r="E998" s="4">
        <v>45747</v>
      </c>
      <c r="F998" s="4">
        <v>45754</v>
      </c>
      <c r="G998" s="8">
        <v>7</v>
      </c>
      <c r="H998" t="s">
        <v>15</v>
      </c>
      <c r="I998">
        <v>30</v>
      </c>
      <c r="J998" t="s">
        <v>21</v>
      </c>
      <c r="K998" t="s">
        <v>17</v>
      </c>
      <c r="L998" s="6">
        <v>8744.92</v>
      </c>
      <c r="M998" t="str">
        <f>TEXT(Table1[[#This Row],[Admission_Date]], "mmm")</f>
        <v>Mar</v>
      </c>
      <c r="N998">
        <f>YEAR(Table1[[#This Row],[Admission_Date]])</f>
        <v>2025</v>
      </c>
      <c r="O998" t="str">
        <f>IF(Table1[[#This Row],[Age]]&lt;30, "Young Adult", IF(Table1[[#This Row],[Age]]&lt;60, "Adult", "Senior"))</f>
        <v>Senior</v>
      </c>
    </row>
    <row r="999" spans="1:15" x14ac:dyDescent="0.25">
      <c r="A999" t="s">
        <v>1026</v>
      </c>
      <c r="B999">
        <v>48</v>
      </c>
      <c r="C999" t="s">
        <v>13</v>
      </c>
      <c r="D999" t="s">
        <v>32</v>
      </c>
      <c r="E999" s="4">
        <v>45859</v>
      </c>
      <c r="F999" s="4">
        <v>45871</v>
      </c>
      <c r="G999" s="8">
        <v>12</v>
      </c>
      <c r="H999" t="s">
        <v>20</v>
      </c>
      <c r="I999">
        <v>0</v>
      </c>
      <c r="J999" t="s">
        <v>25</v>
      </c>
      <c r="K999" t="s">
        <v>17</v>
      </c>
      <c r="L999" s="6">
        <v>13786.3</v>
      </c>
      <c r="M999" t="str">
        <f>TEXT(Table1[[#This Row],[Admission_Date]], "mmm")</f>
        <v>Jul</v>
      </c>
      <c r="N999">
        <f>YEAR(Table1[[#This Row],[Admission_Date]])</f>
        <v>2025</v>
      </c>
      <c r="O999" t="str">
        <f>IF(Table1[[#This Row],[Age]]&lt;30, "Young Adult", IF(Table1[[#This Row],[Age]]&lt;60, "Adult", "Senior"))</f>
        <v>Adult</v>
      </c>
    </row>
    <row r="1000" spans="1:15" x14ac:dyDescent="0.25">
      <c r="A1000" t="s">
        <v>1027</v>
      </c>
      <c r="B1000">
        <v>45</v>
      </c>
      <c r="C1000" t="s">
        <v>24</v>
      </c>
      <c r="D1000" t="s">
        <v>40</v>
      </c>
      <c r="E1000" s="4">
        <v>46015</v>
      </c>
      <c r="F1000" s="4">
        <v>46027</v>
      </c>
      <c r="G1000" s="8">
        <v>12</v>
      </c>
      <c r="H1000" t="s">
        <v>20</v>
      </c>
      <c r="I1000">
        <v>0</v>
      </c>
      <c r="J1000" t="s">
        <v>16</v>
      </c>
      <c r="K1000" t="s">
        <v>47</v>
      </c>
      <c r="L1000" s="6">
        <v>1609.74</v>
      </c>
      <c r="M1000" t="str">
        <f>TEXT(Table1[[#This Row],[Admission_Date]], "mmm")</f>
        <v>Dec</v>
      </c>
      <c r="N1000">
        <f>YEAR(Table1[[#This Row],[Admission_Date]])</f>
        <v>2025</v>
      </c>
      <c r="O1000" t="str">
        <f>IF(Table1[[#This Row],[Age]]&lt;30, "Young Adult", IF(Table1[[#This Row],[Age]]&lt;60, "Adult", "Senior"))</f>
        <v>Adult</v>
      </c>
    </row>
    <row r="1001" spans="1:15" x14ac:dyDescent="0.25">
      <c r="A1001" t="s">
        <v>1028</v>
      </c>
      <c r="B1001">
        <v>59</v>
      </c>
      <c r="C1001" t="s">
        <v>24</v>
      </c>
      <c r="D1001" t="s">
        <v>40</v>
      </c>
      <c r="E1001" s="4">
        <v>45711</v>
      </c>
      <c r="F1001" s="4">
        <v>45720</v>
      </c>
      <c r="G1001" s="8">
        <v>9</v>
      </c>
      <c r="H1001" t="s">
        <v>20</v>
      </c>
      <c r="I1001">
        <v>0</v>
      </c>
      <c r="J1001" t="s">
        <v>21</v>
      </c>
      <c r="K1001" t="s">
        <v>47</v>
      </c>
      <c r="L1001" s="6">
        <v>3506.9</v>
      </c>
      <c r="M1001" t="str">
        <f>TEXT(Table1[[#This Row],[Admission_Date]], "mmm")</f>
        <v>Feb</v>
      </c>
      <c r="N1001">
        <f>YEAR(Table1[[#This Row],[Admission_Date]])</f>
        <v>2025</v>
      </c>
      <c r="O1001" t="str">
        <f>IF(Table1[[#This Row],[Age]]&lt;30, "Young Adult", IF(Table1[[#This Row],[Age]]&lt;60, "Adult", "Senior"))</f>
        <v>Adult</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BD27-5132-49F7-97D8-795CC374442A}">
  <dimension ref="A1:L1001"/>
  <sheetViews>
    <sheetView tabSelected="1" workbookViewId="0">
      <selection activeCell="M13" sqref="M13"/>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v>53</v>
      </c>
      <c r="C2" t="s">
        <v>13</v>
      </c>
      <c r="D2" t="s">
        <v>14</v>
      </c>
      <c r="E2" s="2">
        <v>45985</v>
      </c>
      <c r="F2" s="2">
        <v>45987</v>
      </c>
      <c r="G2">
        <v>2</v>
      </c>
      <c r="H2" t="s">
        <v>15</v>
      </c>
      <c r="I2">
        <v>5</v>
      </c>
      <c r="J2" t="s">
        <v>16</v>
      </c>
      <c r="K2" t="s">
        <v>17</v>
      </c>
      <c r="L2">
        <v>11239.68</v>
      </c>
    </row>
    <row r="3" spans="1:12" x14ac:dyDescent="0.25">
      <c r="A3" t="s">
        <v>18</v>
      </c>
      <c r="B3">
        <v>22</v>
      </c>
      <c r="C3" t="s">
        <v>13</v>
      </c>
      <c r="D3" t="s">
        <v>19</v>
      </c>
      <c r="E3" s="2">
        <v>45937</v>
      </c>
      <c r="F3" s="2">
        <v>45939</v>
      </c>
      <c r="G3">
        <v>2</v>
      </c>
      <c r="H3" t="s">
        <v>20</v>
      </c>
      <c r="I3">
        <v>0</v>
      </c>
      <c r="J3" t="s">
        <v>21</v>
      </c>
      <c r="K3" t="s">
        <v>22</v>
      </c>
      <c r="L3">
        <v>7827.65</v>
      </c>
    </row>
    <row r="4" spans="1:12" x14ac:dyDescent="0.25">
      <c r="A4" t="s">
        <v>23</v>
      </c>
      <c r="B4">
        <v>87</v>
      </c>
      <c r="C4" t="s">
        <v>24</v>
      </c>
      <c r="D4" t="s">
        <v>14</v>
      </c>
      <c r="E4" s="2">
        <v>45671</v>
      </c>
      <c r="F4" s="2">
        <v>45680</v>
      </c>
      <c r="G4">
        <v>9</v>
      </c>
      <c r="H4" t="s">
        <v>15</v>
      </c>
      <c r="I4">
        <v>15</v>
      </c>
      <c r="J4" t="s">
        <v>25</v>
      </c>
      <c r="K4" t="s">
        <v>22</v>
      </c>
      <c r="L4">
        <v>11502.71</v>
      </c>
    </row>
    <row r="5" spans="1:12" x14ac:dyDescent="0.25">
      <c r="A5" t="s">
        <v>26</v>
      </c>
      <c r="B5">
        <v>53</v>
      </c>
      <c r="C5" t="s">
        <v>13</v>
      </c>
      <c r="D5" t="s">
        <v>14</v>
      </c>
      <c r="E5" s="2">
        <v>45739</v>
      </c>
      <c r="F5" s="2">
        <v>45751</v>
      </c>
      <c r="G5">
        <v>12</v>
      </c>
      <c r="H5" t="s">
        <v>20</v>
      </c>
      <c r="I5">
        <v>0</v>
      </c>
      <c r="J5" t="s">
        <v>25</v>
      </c>
      <c r="K5" t="s">
        <v>22</v>
      </c>
      <c r="L5">
        <v>1844.81</v>
      </c>
    </row>
    <row r="6" spans="1:12" x14ac:dyDescent="0.25">
      <c r="A6" t="s">
        <v>27</v>
      </c>
      <c r="B6">
        <v>51</v>
      </c>
      <c r="C6" t="s">
        <v>13</v>
      </c>
      <c r="D6" t="s">
        <v>28</v>
      </c>
      <c r="E6" s="2">
        <v>45707</v>
      </c>
      <c r="F6" s="2">
        <v>45713</v>
      </c>
      <c r="G6">
        <v>6</v>
      </c>
      <c r="H6" t="s">
        <v>20</v>
      </c>
      <c r="I6">
        <v>0</v>
      </c>
      <c r="J6" t="s">
        <v>29</v>
      </c>
      <c r="K6" t="s">
        <v>17</v>
      </c>
      <c r="L6">
        <v>2309.98</v>
      </c>
    </row>
    <row r="7" spans="1:12" x14ac:dyDescent="0.25">
      <c r="A7" t="s">
        <v>30</v>
      </c>
      <c r="B7">
        <v>64</v>
      </c>
      <c r="C7" t="s">
        <v>13</v>
      </c>
      <c r="D7" t="s">
        <v>28</v>
      </c>
      <c r="E7" s="2">
        <v>45851</v>
      </c>
      <c r="F7" s="2">
        <v>45853</v>
      </c>
      <c r="G7">
        <v>2</v>
      </c>
      <c r="H7" t="s">
        <v>20</v>
      </c>
      <c r="I7">
        <v>0</v>
      </c>
      <c r="J7" t="s">
        <v>16</v>
      </c>
      <c r="K7" t="s">
        <v>22</v>
      </c>
      <c r="L7">
        <v>10088.32</v>
      </c>
    </row>
    <row r="8" spans="1:12" x14ac:dyDescent="0.25">
      <c r="A8" t="s">
        <v>31</v>
      </c>
      <c r="B8">
        <v>30</v>
      </c>
      <c r="C8" t="s">
        <v>24</v>
      </c>
      <c r="D8" t="s">
        <v>32</v>
      </c>
      <c r="E8" s="2">
        <v>45806</v>
      </c>
      <c r="F8" s="2">
        <v>45808</v>
      </c>
      <c r="G8">
        <v>2</v>
      </c>
      <c r="H8" t="s">
        <v>20</v>
      </c>
      <c r="I8">
        <v>0</v>
      </c>
      <c r="J8" t="s">
        <v>29</v>
      </c>
      <c r="K8" t="s">
        <v>17</v>
      </c>
      <c r="L8">
        <v>12594.6</v>
      </c>
    </row>
    <row r="9" spans="1:12" x14ac:dyDescent="0.25">
      <c r="A9" t="s">
        <v>33</v>
      </c>
      <c r="B9">
        <v>52</v>
      </c>
      <c r="C9" t="s">
        <v>13</v>
      </c>
      <c r="D9" t="s">
        <v>34</v>
      </c>
      <c r="E9" s="2">
        <v>45741</v>
      </c>
      <c r="F9" s="2">
        <v>45747</v>
      </c>
      <c r="G9">
        <v>6</v>
      </c>
      <c r="H9" t="s">
        <v>20</v>
      </c>
      <c r="I9">
        <v>0</v>
      </c>
      <c r="J9" t="s">
        <v>21</v>
      </c>
      <c r="K9" t="s">
        <v>17</v>
      </c>
      <c r="L9">
        <v>11072.34</v>
      </c>
    </row>
    <row r="10" spans="1:12" x14ac:dyDescent="0.25">
      <c r="A10" t="s">
        <v>35</v>
      </c>
      <c r="B10">
        <v>89</v>
      </c>
      <c r="C10" t="s">
        <v>13</v>
      </c>
      <c r="D10" t="s">
        <v>28</v>
      </c>
      <c r="E10" s="2">
        <v>45741</v>
      </c>
      <c r="F10" s="2">
        <v>45749</v>
      </c>
      <c r="G10">
        <v>8</v>
      </c>
      <c r="H10" t="s">
        <v>20</v>
      </c>
      <c r="I10">
        <v>0</v>
      </c>
      <c r="J10" t="s">
        <v>25</v>
      </c>
      <c r="K10" t="s">
        <v>22</v>
      </c>
      <c r="L10">
        <v>3821.2</v>
      </c>
    </row>
    <row r="11" spans="1:12" x14ac:dyDescent="0.25">
      <c r="A11" t="s">
        <v>36</v>
      </c>
      <c r="B11">
        <v>52</v>
      </c>
      <c r="C11" t="s">
        <v>13</v>
      </c>
      <c r="D11" t="s">
        <v>14</v>
      </c>
      <c r="E11" s="2">
        <v>45674</v>
      </c>
      <c r="F11" s="2">
        <v>45687</v>
      </c>
      <c r="G11">
        <v>13</v>
      </c>
      <c r="H11" t="s">
        <v>20</v>
      </c>
      <c r="I11">
        <v>0</v>
      </c>
      <c r="J11" t="s">
        <v>25</v>
      </c>
      <c r="K11" t="s">
        <v>22</v>
      </c>
      <c r="L11">
        <v>10003.86</v>
      </c>
    </row>
    <row r="12" spans="1:12" x14ac:dyDescent="0.25">
      <c r="A12" t="s">
        <v>37</v>
      </c>
      <c r="B12">
        <v>51</v>
      </c>
      <c r="C12" t="s">
        <v>13</v>
      </c>
      <c r="D12" t="s">
        <v>14</v>
      </c>
      <c r="E12" s="2">
        <v>45860</v>
      </c>
      <c r="F12" s="2">
        <v>45871</v>
      </c>
      <c r="G12">
        <v>11</v>
      </c>
      <c r="H12" t="s">
        <v>20</v>
      </c>
      <c r="I12">
        <v>0</v>
      </c>
      <c r="J12" t="s">
        <v>25</v>
      </c>
      <c r="K12" t="s">
        <v>17</v>
      </c>
      <c r="L12">
        <v>8976.5</v>
      </c>
    </row>
    <row r="13" spans="1:12" x14ac:dyDescent="0.25">
      <c r="A13" t="s">
        <v>38</v>
      </c>
      <c r="B13">
        <v>35</v>
      </c>
      <c r="C13" t="s">
        <v>24</v>
      </c>
      <c r="D13" t="s">
        <v>19</v>
      </c>
      <c r="E13" s="2">
        <v>45956</v>
      </c>
      <c r="F13" s="2">
        <v>45963</v>
      </c>
      <c r="G13">
        <v>7</v>
      </c>
      <c r="H13" t="s">
        <v>20</v>
      </c>
      <c r="I13">
        <v>0</v>
      </c>
      <c r="J13" t="s">
        <v>16</v>
      </c>
      <c r="K13" t="s">
        <v>22</v>
      </c>
      <c r="L13">
        <v>2716.2</v>
      </c>
    </row>
    <row r="14" spans="1:12" x14ac:dyDescent="0.25">
      <c r="A14" t="s">
        <v>39</v>
      </c>
      <c r="B14">
        <v>26</v>
      </c>
      <c r="C14" t="s">
        <v>24</v>
      </c>
      <c r="D14" t="s">
        <v>40</v>
      </c>
      <c r="E14" s="2">
        <v>45739</v>
      </c>
      <c r="F14" s="2">
        <v>45752</v>
      </c>
      <c r="G14">
        <v>13</v>
      </c>
      <c r="H14" t="s">
        <v>20</v>
      </c>
      <c r="I14">
        <v>0</v>
      </c>
      <c r="J14" t="s">
        <v>29</v>
      </c>
      <c r="K14" t="s">
        <v>17</v>
      </c>
      <c r="L14">
        <v>4145.5</v>
      </c>
    </row>
    <row r="15" spans="1:12" x14ac:dyDescent="0.25">
      <c r="A15" t="s">
        <v>41</v>
      </c>
      <c r="B15">
        <v>32</v>
      </c>
      <c r="C15" t="s">
        <v>24</v>
      </c>
      <c r="D15" t="s">
        <v>28</v>
      </c>
      <c r="E15" s="2">
        <v>45941</v>
      </c>
      <c r="F15" s="2">
        <v>45955</v>
      </c>
      <c r="G15">
        <v>14</v>
      </c>
      <c r="H15" t="s">
        <v>20</v>
      </c>
      <c r="I15">
        <v>0</v>
      </c>
      <c r="J15" t="s">
        <v>25</v>
      </c>
      <c r="K15" t="s">
        <v>22</v>
      </c>
      <c r="L15">
        <v>4755.75</v>
      </c>
    </row>
    <row r="16" spans="1:12" x14ac:dyDescent="0.25">
      <c r="A16" t="s">
        <v>42</v>
      </c>
      <c r="B16">
        <v>51</v>
      </c>
      <c r="C16" t="s">
        <v>13</v>
      </c>
      <c r="D16" t="s">
        <v>34</v>
      </c>
      <c r="E16" s="2">
        <v>45738</v>
      </c>
      <c r="F16" s="2">
        <v>45746</v>
      </c>
      <c r="G16">
        <v>8</v>
      </c>
      <c r="H16" t="s">
        <v>15</v>
      </c>
      <c r="I16">
        <v>30</v>
      </c>
      <c r="J16" t="s">
        <v>16</v>
      </c>
      <c r="K16" t="s">
        <v>17</v>
      </c>
      <c r="L16">
        <v>4827.45</v>
      </c>
    </row>
    <row r="17" spans="1:12" x14ac:dyDescent="0.25">
      <c r="A17" t="s">
        <v>43</v>
      </c>
      <c r="B17">
        <v>37</v>
      </c>
      <c r="C17" t="s">
        <v>24</v>
      </c>
      <c r="D17" t="s">
        <v>14</v>
      </c>
      <c r="E17" s="2">
        <v>45985</v>
      </c>
      <c r="F17" s="2">
        <v>45994</v>
      </c>
      <c r="G17">
        <v>9</v>
      </c>
      <c r="H17" t="s">
        <v>20</v>
      </c>
      <c r="I17">
        <v>0</v>
      </c>
      <c r="J17" t="s">
        <v>16</v>
      </c>
      <c r="K17" t="s">
        <v>17</v>
      </c>
      <c r="L17">
        <v>5200.26</v>
      </c>
    </row>
    <row r="18" spans="1:12" x14ac:dyDescent="0.25">
      <c r="A18" t="s">
        <v>44</v>
      </c>
      <c r="B18">
        <v>57</v>
      </c>
      <c r="C18" t="s">
        <v>13</v>
      </c>
      <c r="D18" t="s">
        <v>19</v>
      </c>
      <c r="E18" s="2">
        <v>45667</v>
      </c>
      <c r="F18" s="2">
        <v>45669</v>
      </c>
      <c r="G18">
        <v>2</v>
      </c>
      <c r="H18" t="s">
        <v>20</v>
      </c>
      <c r="I18">
        <v>0</v>
      </c>
      <c r="J18" t="s">
        <v>21</v>
      </c>
      <c r="K18" t="s">
        <v>17</v>
      </c>
      <c r="L18">
        <v>14230.77</v>
      </c>
    </row>
    <row r="19" spans="1:12" x14ac:dyDescent="0.25">
      <c r="A19" t="s">
        <v>45</v>
      </c>
      <c r="B19">
        <v>26</v>
      </c>
      <c r="C19" t="s">
        <v>13</v>
      </c>
      <c r="D19" t="s">
        <v>14</v>
      </c>
      <c r="E19" s="2">
        <v>45701</v>
      </c>
      <c r="F19" s="2">
        <v>45713</v>
      </c>
      <c r="G19">
        <v>12</v>
      </c>
      <c r="H19" t="s">
        <v>20</v>
      </c>
      <c r="I19">
        <v>0</v>
      </c>
      <c r="J19" t="s">
        <v>29</v>
      </c>
      <c r="K19" t="s">
        <v>17</v>
      </c>
      <c r="L19">
        <v>2894.34</v>
      </c>
    </row>
    <row r="20" spans="1:12" x14ac:dyDescent="0.25">
      <c r="A20" t="s">
        <v>46</v>
      </c>
      <c r="B20">
        <v>45</v>
      </c>
      <c r="C20" t="s">
        <v>13</v>
      </c>
      <c r="D20" t="s">
        <v>28</v>
      </c>
      <c r="E20" s="2">
        <v>45928</v>
      </c>
      <c r="F20" s="2">
        <v>45942</v>
      </c>
      <c r="G20">
        <v>14</v>
      </c>
      <c r="H20" t="s">
        <v>20</v>
      </c>
      <c r="I20">
        <v>0</v>
      </c>
      <c r="J20" t="s">
        <v>25</v>
      </c>
      <c r="K20" t="s">
        <v>47</v>
      </c>
      <c r="L20">
        <v>14929.67</v>
      </c>
    </row>
    <row r="21" spans="1:12" x14ac:dyDescent="0.25">
      <c r="A21" t="s">
        <v>48</v>
      </c>
      <c r="B21">
        <v>84</v>
      </c>
      <c r="C21" t="s">
        <v>24</v>
      </c>
      <c r="D21" t="s">
        <v>19</v>
      </c>
      <c r="E21" s="2">
        <v>45990</v>
      </c>
      <c r="F21" s="2">
        <v>45996</v>
      </c>
      <c r="G21">
        <v>6</v>
      </c>
      <c r="H21" t="s">
        <v>20</v>
      </c>
      <c r="I21">
        <v>0</v>
      </c>
      <c r="J21" t="s">
        <v>21</v>
      </c>
      <c r="K21" t="s">
        <v>22</v>
      </c>
      <c r="L21">
        <v>1428.38</v>
      </c>
    </row>
    <row r="22" spans="1:12" x14ac:dyDescent="0.25">
      <c r="A22" t="s">
        <v>49</v>
      </c>
      <c r="B22">
        <v>46</v>
      </c>
      <c r="C22" t="s">
        <v>13</v>
      </c>
      <c r="D22" t="s">
        <v>19</v>
      </c>
      <c r="E22" s="2">
        <v>45668</v>
      </c>
      <c r="F22" s="2">
        <v>45678</v>
      </c>
      <c r="G22">
        <v>10</v>
      </c>
      <c r="H22" t="s">
        <v>20</v>
      </c>
      <c r="I22">
        <v>0</v>
      </c>
      <c r="J22" t="s">
        <v>16</v>
      </c>
      <c r="K22" t="s">
        <v>22</v>
      </c>
      <c r="L22">
        <v>1477.3</v>
      </c>
    </row>
    <row r="23" spans="1:12" x14ac:dyDescent="0.25">
      <c r="A23" t="s">
        <v>50</v>
      </c>
      <c r="B23">
        <v>83</v>
      </c>
      <c r="C23" t="s">
        <v>13</v>
      </c>
      <c r="D23" t="s">
        <v>32</v>
      </c>
      <c r="E23" s="2">
        <v>45674</v>
      </c>
      <c r="F23" s="2">
        <v>45688</v>
      </c>
      <c r="G23">
        <v>14</v>
      </c>
      <c r="H23" t="s">
        <v>20</v>
      </c>
      <c r="I23">
        <v>0</v>
      </c>
      <c r="J23" t="s">
        <v>29</v>
      </c>
      <c r="K23" t="s">
        <v>22</v>
      </c>
      <c r="L23">
        <v>8318.89</v>
      </c>
    </row>
    <row r="24" spans="1:12" x14ac:dyDescent="0.25">
      <c r="A24" t="s">
        <v>51</v>
      </c>
      <c r="B24">
        <v>78</v>
      </c>
      <c r="C24" t="s">
        <v>24</v>
      </c>
      <c r="D24" t="s">
        <v>14</v>
      </c>
      <c r="E24" s="2">
        <v>45950</v>
      </c>
      <c r="F24" s="2">
        <v>45960</v>
      </c>
      <c r="G24">
        <v>10</v>
      </c>
      <c r="H24" t="s">
        <v>20</v>
      </c>
      <c r="I24">
        <v>0</v>
      </c>
      <c r="J24" t="s">
        <v>16</v>
      </c>
      <c r="K24" t="s">
        <v>22</v>
      </c>
      <c r="L24">
        <v>10055.25</v>
      </c>
    </row>
    <row r="25" spans="1:12" x14ac:dyDescent="0.25">
      <c r="A25" t="s">
        <v>52</v>
      </c>
      <c r="B25">
        <v>24</v>
      </c>
      <c r="C25" t="s">
        <v>13</v>
      </c>
      <c r="D25" t="s">
        <v>19</v>
      </c>
      <c r="E25" s="2">
        <v>45839</v>
      </c>
      <c r="F25" s="2">
        <v>45846</v>
      </c>
      <c r="G25">
        <v>7</v>
      </c>
      <c r="H25" t="s">
        <v>20</v>
      </c>
      <c r="I25">
        <v>0</v>
      </c>
      <c r="J25" t="s">
        <v>29</v>
      </c>
      <c r="K25" t="s">
        <v>17</v>
      </c>
      <c r="L25">
        <v>5419.89</v>
      </c>
    </row>
    <row r="26" spans="1:12" x14ac:dyDescent="0.25">
      <c r="A26" t="s">
        <v>53</v>
      </c>
      <c r="B26">
        <v>86</v>
      </c>
      <c r="C26" t="s">
        <v>24</v>
      </c>
      <c r="D26" t="s">
        <v>14</v>
      </c>
      <c r="E26" s="2">
        <v>45713</v>
      </c>
      <c r="F26" s="2">
        <v>45717</v>
      </c>
      <c r="G26">
        <v>4</v>
      </c>
      <c r="H26" t="s">
        <v>15</v>
      </c>
      <c r="I26">
        <v>14</v>
      </c>
      <c r="J26" t="s">
        <v>21</v>
      </c>
      <c r="K26" t="s">
        <v>47</v>
      </c>
      <c r="L26">
        <v>7208.11</v>
      </c>
    </row>
    <row r="27" spans="1:12" x14ac:dyDescent="0.25">
      <c r="A27" t="s">
        <v>54</v>
      </c>
      <c r="B27">
        <v>88</v>
      </c>
      <c r="C27" t="s">
        <v>13</v>
      </c>
      <c r="D27" t="s">
        <v>19</v>
      </c>
      <c r="E27" s="2">
        <v>45696</v>
      </c>
      <c r="F27" s="2">
        <v>45704</v>
      </c>
      <c r="G27">
        <v>8</v>
      </c>
      <c r="H27" t="s">
        <v>20</v>
      </c>
      <c r="I27">
        <v>0</v>
      </c>
      <c r="J27" t="s">
        <v>16</v>
      </c>
      <c r="K27" t="s">
        <v>22</v>
      </c>
      <c r="L27">
        <v>13932.32</v>
      </c>
    </row>
    <row r="28" spans="1:12" x14ac:dyDescent="0.25">
      <c r="A28" t="s">
        <v>55</v>
      </c>
      <c r="B28">
        <v>79</v>
      </c>
      <c r="C28" t="s">
        <v>13</v>
      </c>
      <c r="D28" t="s">
        <v>40</v>
      </c>
      <c r="E28" s="2">
        <v>45779</v>
      </c>
      <c r="F28" s="2">
        <v>45782</v>
      </c>
      <c r="G28">
        <v>3</v>
      </c>
      <c r="H28" t="s">
        <v>20</v>
      </c>
      <c r="I28">
        <v>0</v>
      </c>
      <c r="J28" t="s">
        <v>16</v>
      </c>
      <c r="K28" t="s">
        <v>22</v>
      </c>
      <c r="L28">
        <v>5995.11</v>
      </c>
    </row>
    <row r="29" spans="1:12" x14ac:dyDescent="0.25">
      <c r="A29" t="s">
        <v>56</v>
      </c>
      <c r="B29">
        <v>76</v>
      </c>
      <c r="C29" t="s">
        <v>24</v>
      </c>
      <c r="D29" t="s">
        <v>40</v>
      </c>
      <c r="E29" s="2">
        <v>45857</v>
      </c>
      <c r="F29" s="2">
        <v>45862</v>
      </c>
      <c r="G29">
        <v>5</v>
      </c>
      <c r="H29" t="s">
        <v>20</v>
      </c>
      <c r="I29">
        <v>0</v>
      </c>
      <c r="J29" t="s">
        <v>29</v>
      </c>
      <c r="K29" t="s">
        <v>22</v>
      </c>
      <c r="L29">
        <v>3253.52</v>
      </c>
    </row>
    <row r="30" spans="1:12" x14ac:dyDescent="0.25">
      <c r="A30" t="s">
        <v>57</v>
      </c>
      <c r="B30">
        <v>87</v>
      </c>
      <c r="C30" t="s">
        <v>13</v>
      </c>
      <c r="D30" t="s">
        <v>28</v>
      </c>
      <c r="E30" s="2">
        <v>45769</v>
      </c>
      <c r="F30" s="2">
        <v>45770</v>
      </c>
      <c r="G30">
        <v>1</v>
      </c>
      <c r="H30" t="s">
        <v>20</v>
      </c>
      <c r="I30">
        <v>0</v>
      </c>
      <c r="J30" t="s">
        <v>25</v>
      </c>
      <c r="K30" t="s">
        <v>22</v>
      </c>
      <c r="L30">
        <v>1227.06</v>
      </c>
    </row>
    <row r="31" spans="1:12" x14ac:dyDescent="0.25">
      <c r="A31" t="s">
        <v>58</v>
      </c>
      <c r="B31">
        <v>85</v>
      </c>
      <c r="C31" t="s">
        <v>13</v>
      </c>
      <c r="D31" t="s">
        <v>19</v>
      </c>
      <c r="E31" s="2">
        <v>45902</v>
      </c>
      <c r="F31" s="2">
        <v>45911</v>
      </c>
      <c r="G31">
        <v>9</v>
      </c>
      <c r="H31" t="s">
        <v>20</v>
      </c>
      <c r="I31">
        <v>0</v>
      </c>
      <c r="J31" t="s">
        <v>16</v>
      </c>
      <c r="K31" t="s">
        <v>22</v>
      </c>
      <c r="L31">
        <v>1493.56</v>
      </c>
    </row>
    <row r="32" spans="1:12" x14ac:dyDescent="0.25">
      <c r="A32" t="s">
        <v>59</v>
      </c>
      <c r="B32">
        <v>69</v>
      </c>
      <c r="C32" t="s">
        <v>13</v>
      </c>
      <c r="D32" t="s">
        <v>34</v>
      </c>
      <c r="E32" s="2">
        <v>45692</v>
      </c>
      <c r="F32" s="2">
        <v>45703</v>
      </c>
      <c r="G32">
        <v>11</v>
      </c>
      <c r="H32" t="s">
        <v>20</v>
      </c>
      <c r="I32">
        <v>0</v>
      </c>
      <c r="J32" t="s">
        <v>21</v>
      </c>
      <c r="K32" t="s">
        <v>17</v>
      </c>
      <c r="L32">
        <v>9120.5300000000007</v>
      </c>
    </row>
    <row r="33" spans="1:12" x14ac:dyDescent="0.25">
      <c r="A33" t="s">
        <v>60</v>
      </c>
      <c r="B33">
        <v>90</v>
      </c>
      <c r="C33" t="s">
        <v>24</v>
      </c>
      <c r="D33" t="s">
        <v>32</v>
      </c>
      <c r="E33" s="2">
        <v>45975</v>
      </c>
      <c r="F33" s="2">
        <v>45977</v>
      </c>
      <c r="G33">
        <v>2</v>
      </c>
      <c r="H33" t="s">
        <v>20</v>
      </c>
      <c r="I33">
        <v>0</v>
      </c>
      <c r="J33" t="s">
        <v>21</v>
      </c>
      <c r="K33" t="s">
        <v>17</v>
      </c>
      <c r="L33">
        <v>10884.78</v>
      </c>
    </row>
    <row r="34" spans="1:12" x14ac:dyDescent="0.25">
      <c r="A34" t="s">
        <v>61</v>
      </c>
      <c r="B34">
        <v>56</v>
      </c>
      <c r="C34" t="s">
        <v>24</v>
      </c>
      <c r="D34" t="s">
        <v>32</v>
      </c>
      <c r="E34" s="2">
        <v>45780</v>
      </c>
      <c r="F34" s="2">
        <v>45785</v>
      </c>
      <c r="G34">
        <v>5</v>
      </c>
      <c r="H34" t="s">
        <v>20</v>
      </c>
      <c r="I34">
        <v>0</v>
      </c>
      <c r="J34" t="s">
        <v>16</v>
      </c>
      <c r="K34" t="s">
        <v>22</v>
      </c>
      <c r="L34">
        <v>7145.14</v>
      </c>
    </row>
    <row r="35" spans="1:12" x14ac:dyDescent="0.25">
      <c r="A35" t="s">
        <v>62</v>
      </c>
      <c r="B35">
        <v>45</v>
      </c>
      <c r="C35" t="s">
        <v>24</v>
      </c>
      <c r="D35" t="s">
        <v>14</v>
      </c>
      <c r="E35" s="2">
        <v>45946</v>
      </c>
      <c r="F35" s="2">
        <v>45948</v>
      </c>
      <c r="G35">
        <v>2</v>
      </c>
      <c r="H35" t="s">
        <v>15</v>
      </c>
      <c r="I35">
        <v>30</v>
      </c>
      <c r="J35" t="s">
        <v>25</v>
      </c>
      <c r="K35" t="s">
        <v>22</v>
      </c>
      <c r="L35">
        <v>13249.42</v>
      </c>
    </row>
    <row r="36" spans="1:12" x14ac:dyDescent="0.25">
      <c r="A36" t="s">
        <v>63</v>
      </c>
      <c r="B36">
        <v>87</v>
      </c>
      <c r="C36" t="s">
        <v>24</v>
      </c>
      <c r="D36" t="s">
        <v>34</v>
      </c>
      <c r="E36" s="2">
        <v>45847</v>
      </c>
      <c r="F36" s="2">
        <v>45852</v>
      </c>
      <c r="G36">
        <v>5</v>
      </c>
      <c r="H36" t="s">
        <v>15</v>
      </c>
      <c r="I36">
        <v>26</v>
      </c>
      <c r="J36" t="s">
        <v>16</v>
      </c>
      <c r="K36" t="s">
        <v>17</v>
      </c>
      <c r="L36">
        <v>12348.01</v>
      </c>
    </row>
    <row r="37" spans="1:12" x14ac:dyDescent="0.25">
      <c r="A37" t="s">
        <v>64</v>
      </c>
      <c r="B37">
        <v>35</v>
      </c>
      <c r="C37" t="s">
        <v>24</v>
      </c>
      <c r="D37" t="s">
        <v>19</v>
      </c>
      <c r="E37" s="2">
        <v>45811</v>
      </c>
      <c r="F37" s="2">
        <v>45822</v>
      </c>
      <c r="G37">
        <v>11</v>
      </c>
      <c r="H37" t="s">
        <v>15</v>
      </c>
      <c r="I37">
        <v>29</v>
      </c>
      <c r="J37" t="s">
        <v>16</v>
      </c>
      <c r="K37" t="s">
        <v>17</v>
      </c>
      <c r="L37">
        <v>8521.74</v>
      </c>
    </row>
    <row r="38" spans="1:12" x14ac:dyDescent="0.25">
      <c r="A38" t="s">
        <v>65</v>
      </c>
      <c r="B38">
        <v>61</v>
      </c>
      <c r="C38" t="s">
        <v>13</v>
      </c>
      <c r="D38" t="s">
        <v>28</v>
      </c>
      <c r="E38" s="2">
        <v>45797</v>
      </c>
      <c r="F38" s="2">
        <v>45802</v>
      </c>
      <c r="G38">
        <v>5</v>
      </c>
      <c r="H38" t="s">
        <v>20</v>
      </c>
      <c r="I38">
        <v>0</v>
      </c>
      <c r="J38" t="s">
        <v>25</v>
      </c>
      <c r="K38" t="s">
        <v>17</v>
      </c>
      <c r="L38">
        <v>7583.71</v>
      </c>
    </row>
    <row r="39" spans="1:12" x14ac:dyDescent="0.25">
      <c r="A39" t="s">
        <v>66</v>
      </c>
      <c r="B39">
        <v>53</v>
      </c>
      <c r="C39" t="s">
        <v>13</v>
      </c>
      <c r="D39" t="s">
        <v>19</v>
      </c>
      <c r="E39" s="2">
        <v>45684</v>
      </c>
      <c r="F39" s="2">
        <v>45686</v>
      </c>
      <c r="G39">
        <v>2</v>
      </c>
      <c r="H39" t="s">
        <v>20</v>
      </c>
      <c r="I39">
        <v>0</v>
      </c>
      <c r="J39" t="s">
        <v>25</v>
      </c>
      <c r="K39" t="s">
        <v>22</v>
      </c>
      <c r="L39">
        <v>9738.14</v>
      </c>
    </row>
    <row r="40" spans="1:12" x14ac:dyDescent="0.25">
      <c r="A40" t="s">
        <v>67</v>
      </c>
      <c r="B40">
        <v>88</v>
      </c>
      <c r="C40" t="s">
        <v>24</v>
      </c>
      <c r="D40" t="s">
        <v>34</v>
      </c>
      <c r="E40" s="2">
        <v>45792</v>
      </c>
      <c r="F40" s="2">
        <v>45795</v>
      </c>
      <c r="G40">
        <v>3</v>
      </c>
      <c r="H40" t="s">
        <v>20</v>
      </c>
      <c r="I40">
        <v>0</v>
      </c>
      <c r="J40" t="s">
        <v>16</v>
      </c>
      <c r="K40" t="s">
        <v>22</v>
      </c>
      <c r="L40">
        <v>1591.04</v>
      </c>
    </row>
    <row r="41" spans="1:12" x14ac:dyDescent="0.25">
      <c r="A41" t="s">
        <v>68</v>
      </c>
      <c r="B41">
        <v>65</v>
      </c>
      <c r="C41" t="s">
        <v>13</v>
      </c>
      <c r="D41" t="s">
        <v>40</v>
      </c>
      <c r="E41" s="2">
        <v>46011</v>
      </c>
      <c r="F41" s="2">
        <v>46014</v>
      </c>
      <c r="G41">
        <v>3</v>
      </c>
      <c r="H41" t="s">
        <v>20</v>
      </c>
      <c r="I41">
        <v>0</v>
      </c>
      <c r="J41" t="s">
        <v>21</v>
      </c>
      <c r="K41" t="s">
        <v>22</v>
      </c>
      <c r="L41">
        <v>4969.75</v>
      </c>
    </row>
    <row r="42" spans="1:12" x14ac:dyDescent="0.25">
      <c r="A42" t="s">
        <v>69</v>
      </c>
      <c r="B42">
        <v>49</v>
      </c>
      <c r="C42" t="s">
        <v>13</v>
      </c>
      <c r="D42" t="s">
        <v>32</v>
      </c>
      <c r="E42" s="2">
        <v>45678</v>
      </c>
      <c r="F42" s="2">
        <v>45684</v>
      </c>
      <c r="G42">
        <v>6</v>
      </c>
      <c r="H42" t="s">
        <v>15</v>
      </c>
      <c r="I42">
        <v>25</v>
      </c>
      <c r="J42" t="s">
        <v>29</v>
      </c>
      <c r="K42" t="s">
        <v>17</v>
      </c>
      <c r="L42">
        <v>11367.43</v>
      </c>
    </row>
    <row r="43" spans="1:12" x14ac:dyDescent="0.25">
      <c r="A43" t="s">
        <v>70</v>
      </c>
      <c r="B43">
        <v>40</v>
      </c>
      <c r="C43" t="s">
        <v>24</v>
      </c>
      <c r="D43" t="s">
        <v>19</v>
      </c>
      <c r="E43" s="2">
        <v>45779</v>
      </c>
      <c r="F43" s="2">
        <v>45793</v>
      </c>
      <c r="G43">
        <v>14</v>
      </c>
      <c r="H43" t="s">
        <v>15</v>
      </c>
      <c r="I43">
        <v>6</v>
      </c>
      <c r="J43" t="s">
        <v>25</v>
      </c>
      <c r="K43" t="s">
        <v>47</v>
      </c>
      <c r="L43">
        <v>12132.41</v>
      </c>
    </row>
    <row r="44" spans="1:12" x14ac:dyDescent="0.25">
      <c r="A44" t="s">
        <v>71</v>
      </c>
      <c r="B44">
        <v>31</v>
      </c>
      <c r="C44" t="s">
        <v>24</v>
      </c>
      <c r="D44" t="s">
        <v>19</v>
      </c>
      <c r="E44" s="2">
        <v>45785</v>
      </c>
      <c r="F44" s="2">
        <v>45790</v>
      </c>
      <c r="G44">
        <v>5</v>
      </c>
      <c r="H44" t="s">
        <v>15</v>
      </c>
      <c r="I44">
        <v>28</v>
      </c>
      <c r="J44" t="s">
        <v>29</v>
      </c>
      <c r="K44" t="s">
        <v>22</v>
      </c>
      <c r="L44">
        <v>3393.81</v>
      </c>
    </row>
    <row r="45" spans="1:12" x14ac:dyDescent="0.25">
      <c r="A45" t="s">
        <v>72</v>
      </c>
      <c r="B45">
        <v>47</v>
      </c>
      <c r="C45" t="s">
        <v>13</v>
      </c>
      <c r="D45" t="s">
        <v>19</v>
      </c>
      <c r="E45" s="2">
        <v>45893</v>
      </c>
      <c r="F45" s="2">
        <v>45899</v>
      </c>
      <c r="G45">
        <v>6</v>
      </c>
      <c r="H45" t="s">
        <v>20</v>
      </c>
      <c r="I45">
        <v>0</v>
      </c>
      <c r="J45" t="s">
        <v>21</v>
      </c>
      <c r="K45" t="s">
        <v>47</v>
      </c>
      <c r="L45">
        <v>5259.8</v>
      </c>
    </row>
    <row r="46" spans="1:12" x14ac:dyDescent="0.25">
      <c r="A46" t="s">
        <v>73</v>
      </c>
      <c r="B46">
        <v>83</v>
      </c>
      <c r="C46" t="s">
        <v>24</v>
      </c>
      <c r="D46" t="s">
        <v>28</v>
      </c>
      <c r="E46" s="2">
        <v>45693</v>
      </c>
      <c r="F46" s="2">
        <v>45706</v>
      </c>
      <c r="G46">
        <v>13</v>
      </c>
      <c r="H46" t="s">
        <v>15</v>
      </c>
      <c r="I46">
        <v>27</v>
      </c>
      <c r="J46" t="s">
        <v>25</v>
      </c>
      <c r="K46" t="s">
        <v>22</v>
      </c>
      <c r="L46">
        <v>2172.46</v>
      </c>
    </row>
    <row r="47" spans="1:12" x14ac:dyDescent="0.25">
      <c r="A47" t="s">
        <v>74</v>
      </c>
      <c r="B47">
        <v>51</v>
      </c>
      <c r="C47" t="s">
        <v>13</v>
      </c>
      <c r="D47" t="s">
        <v>19</v>
      </c>
      <c r="E47" s="2">
        <v>45791</v>
      </c>
      <c r="F47" s="2">
        <v>45794</v>
      </c>
      <c r="G47">
        <v>3</v>
      </c>
      <c r="H47" t="s">
        <v>20</v>
      </c>
      <c r="I47">
        <v>0</v>
      </c>
      <c r="J47" t="s">
        <v>29</v>
      </c>
      <c r="K47" t="s">
        <v>47</v>
      </c>
      <c r="L47">
        <v>11063.9</v>
      </c>
    </row>
    <row r="48" spans="1:12" x14ac:dyDescent="0.25">
      <c r="A48" t="s">
        <v>75</v>
      </c>
      <c r="B48">
        <v>83</v>
      </c>
      <c r="C48" t="s">
        <v>13</v>
      </c>
      <c r="D48" t="s">
        <v>40</v>
      </c>
      <c r="E48" s="2">
        <v>45818</v>
      </c>
      <c r="F48" s="2">
        <v>45825</v>
      </c>
      <c r="G48">
        <v>7</v>
      </c>
      <c r="H48" t="s">
        <v>20</v>
      </c>
      <c r="I48">
        <v>0</v>
      </c>
      <c r="J48" t="s">
        <v>21</v>
      </c>
      <c r="K48" t="s">
        <v>47</v>
      </c>
      <c r="L48">
        <v>1143.5999999999999</v>
      </c>
    </row>
    <row r="49" spans="1:12" x14ac:dyDescent="0.25">
      <c r="A49" t="s">
        <v>76</v>
      </c>
      <c r="B49">
        <v>86</v>
      </c>
      <c r="C49" t="s">
        <v>13</v>
      </c>
      <c r="D49" t="s">
        <v>32</v>
      </c>
      <c r="E49" s="2">
        <v>45881</v>
      </c>
      <c r="F49" s="2">
        <v>45882</v>
      </c>
      <c r="G49">
        <v>1</v>
      </c>
      <c r="H49" t="s">
        <v>20</v>
      </c>
      <c r="I49">
        <v>0</v>
      </c>
      <c r="J49" t="s">
        <v>29</v>
      </c>
      <c r="K49" t="s">
        <v>22</v>
      </c>
      <c r="L49">
        <v>14258.68</v>
      </c>
    </row>
    <row r="50" spans="1:12" x14ac:dyDescent="0.25">
      <c r="A50" t="s">
        <v>77</v>
      </c>
      <c r="B50">
        <v>33</v>
      </c>
      <c r="C50" t="s">
        <v>24</v>
      </c>
      <c r="D50" t="s">
        <v>34</v>
      </c>
      <c r="E50" s="2">
        <v>45827</v>
      </c>
      <c r="F50" s="2">
        <v>45837</v>
      </c>
      <c r="G50">
        <v>10</v>
      </c>
      <c r="H50" t="s">
        <v>20</v>
      </c>
      <c r="I50">
        <v>0</v>
      </c>
      <c r="J50" t="s">
        <v>25</v>
      </c>
      <c r="K50" t="s">
        <v>17</v>
      </c>
      <c r="L50">
        <v>6421.7</v>
      </c>
    </row>
    <row r="51" spans="1:12" x14ac:dyDescent="0.25">
      <c r="A51" t="s">
        <v>78</v>
      </c>
      <c r="B51">
        <v>34</v>
      </c>
      <c r="C51" t="s">
        <v>13</v>
      </c>
      <c r="D51" t="s">
        <v>40</v>
      </c>
      <c r="E51" s="2">
        <v>45864</v>
      </c>
      <c r="F51" s="2">
        <v>45876</v>
      </c>
      <c r="G51">
        <v>12</v>
      </c>
      <c r="H51" t="s">
        <v>15</v>
      </c>
      <c r="I51">
        <v>22</v>
      </c>
      <c r="J51" t="s">
        <v>29</v>
      </c>
      <c r="K51" t="s">
        <v>17</v>
      </c>
      <c r="L51">
        <v>11347.95</v>
      </c>
    </row>
    <row r="52" spans="1:12" x14ac:dyDescent="0.25">
      <c r="A52" t="s">
        <v>79</v>
      </c>
      <c r="B52">
        <v>69</v>
      </c>
      <c r="C52" t="s">
        <v>13</v>
      </c>
      <c r="D52" t="s">
        <v>32</v>
      </c>
      <c r="E52" s="2">
        <v>45747</v>
      </c>
      <c r="F52" s="2">
        <v>45757</v>
      </c>
      <c r="G52">
        <v>10</v>
      </c>
      <c r="H52" t="s">
        <v>20</v>
      </c>
      <c r="I52">
        <v>0</v>
      </c>
      <c r="J52" t="s">
        <v>25</v>
      </c>
      <c r="K52" t="s">
        <v>22</v>
      </c>
      <c r="L52">
        <v>6733.38</v>
      </c>
    </row>
    <row r="53" spans="1:12" x14ac:dyDescent="0.25">
      <c r="A53" t="s">
        <v>80</v>
      </c>
      <c r="B53">
        <v>77</v>
      </c>
      <c r="C53" t="s">
        <v>24</v>
      </c>
      <c r="D53" t="s">
        <v>40</v>
      </c>
      <c r="E53" s="2">
        <v>45954</v>
      </c>
      <c r="F53" s="2">
        <v>45964</v>
      </c>
      <c r="G53">
        <v>10</v>
      </c>
      <c r="H53" t="s">
        <v>20</v>
      </c>
      <c r="I53">
        <v>0</v>
      </c>
      <c r="J53" t="s">
        <v>21</v>
      </c>
      <c r="K53" t="s">
        <v>17</v>
      </c>
      <c r="L53">
        <v>7361.2</v>
      </c>
    </row>
    <row r="54" spans="1:12" x14ac:dyDescent="0.25">
      <c r="A54" t="s">
        <v>81</v>
      </c>
      <c r="B54">
        <v>83</v>
      </c>
      <c r="C54" t="s">
        <v>24</v>
      </c>
      <c r="D54" t="s">
        <v>19</v>
      </c>
      <c r="E54" s="2">
        <v>45744</v>
      </c>
      <c r="F54" s="2">
        <v>45755</v>
      </c>
      <c r="G54">
        <v>11</v>
      </c>
      <c r="H54" t="s">
        <v>15</v>
      </c>
      <c r="I54">
        <v>27</v>
      </c>
      <c r="J54" t="s">
        <v>21</v>
      </c>
      <c r="K54" t="s">
        <v>17</v>
      </c>
      <c r="L54">
        <v>5001.08</v>
      </c>
    </row>
    <row r="55" spans="1:12" x14ac:dyDescent="0.25">
      <c r="A55" t="s">
        <v>82</v>
      </c>
      <c r="B55">
        <v>49</v>
      </c>
      <c r="C55" t="s">
        <v>24</v>
      </c>
      <c r="D55" t="s">
        <v>34</v>
      </c>
      <c r="E55" s="2">
        <v>45759</v>
      </c>
      <c r="F55" s="2">
        <v>45762</v>
      </c>
      <c r="G55">
        <v>3</v>
      </c>
      <c r="H55" t="s">
        <v>15</v>
      </c>
      <c r="I55">
        <v>28</v>
      </c>
      <c r="J55" t="s">
        <v>16</v>
      </c>
      <c r="K55" t="s">
        <v>47</v>
      </c>
      <c r="L55">
        <v>6509.39</v>
      </c>
    </row>
    <row r="56" spans="1:12" x14ac:dyDescent="0.25">
      <c r="A56" t="s">
        <v>83</v>
      </c>
      <c r="B56">
        <v>67</v>
      </c>
      <c r="C56" t="s">
        <v>24</v>
      </c>
      <c r="D56" t="s">
        <v>40</v>
      </c>
      <c r="E56" s="2">
        <v>45980</v>
      </c>
      <c r="F56" s="2">
        <v>45990</v>
      </c>
      <c r="G56">
        <v>10</v>
      </c>
      <c r="H56" t="s">
        <v>15</v>
      </c>
      <c r="I56">
        <v>8</v>
      </c>
      <c r="J56" t="s">
        <v>21</v>
      </c>
      <c r="K56" t="s">
        <v>17</v>
      </c>
      <c r="L56">
        <v>10470.52</v>
      </c>
    </row>
    <row r="57" spans="1:12" x14ac:dyDescent="0.25">
      <c r="A57" t="s">
        <v>84</v>
      </c>
      <c r="B57">
        <v>40</v>
      </c>
      <c r="C57" t="s">
        <v>24</v>
      </c>
      <c r="D57" t="s">
        <v>19</v>
      </c>
      <c r="E57" s="2">
        <v>45712</v>
      </c>
      <c r="F57" s="2">
        <v>45725</v>
      </c>
      <c r="G57">
        <v>13</v>
      </c>
      <c r="H57" t="s">
        <v>20</v>
      </c>
      <c r="I57">
        <v>0</v>
      </c>
      <c r="J57" t="s">
        <v>21</v>
      </c>
      <c r="K57" t="s">
        <v>22</v>
      </c>
      <c r="L57">
        <v>7118.7</v>
      </c>
    </row>
    <row r="58" spans="1:12" x14ac:dyDescent="0.25">
      <c r="A58" t="s">
        <v>85</v>
      </c>
      <c r="B58">
        <v>89</v>
      </c>
      <c r="C58" t="s">
        <v>24</v>
      </c>
      <c r="D58" t="s">
        <v>40</v>
      </c>
      <c r="E58" s="2">
        <v>45895</v>
      </c>
      <c r="F58" s="2">
        <v>45906</v>
      </c>
      <c r="G58">
        <v>11</v>
      </c>
      <c r="H58" t="s">
        <v>20</v>
      </c>
      <c r="I58">
        <v>0</v>
      </c>
      <c r="J58" t="s">
        <v>29</v>
      </c>
      <c r="K58" t="s">
        <v>17</v>
      </c>
      <c r="L58">
        <v>6965.75</v>
      </c>
    </row>
    <row r="59" spans="1:12" x14ac:dyDescent="0.25">
      <c r="A59" t="s">
        <v>86</v>
      </c>
      <c r="B59">
        <v>75</v>
      </c>
      <c r="C59" t="s">
        <v>24</v>
      </c>
      <c r="D59" t="s">
        <v>14</v>
      </c>
      <c r="E59" s="2">
        <v>45739</v>
      </c>
      <c r="F59" s="2">
        <v>45751</v>
      </c>
      <c r="G59">
        <v>12</v>
      </c>
      <c r="H59" t="s">
        <v>20</v>
      </c>
      <c r="I59">
        <v>0</v>
      </c>
      <c r="J59" t="s">
        <v>25</v>
      </c>
      <c r="K59" t="s">
        <v>17</v>
      </c>
      <c r="L59">
        <v>7526.66</v>
      </c>
    </row>
    <row r="60" spans="1:12" x14ac:dyDescent="0.25">
      <c r="A60" t="s">
        <v>87</v>
      </c>
      <c r="B60">
        <v>54</v>
      </c>
      <c r="C60" t="s">
        <v>13</v>
      </c>
      <c r="D60" t="s">
        <v>32</v>
      </c>
      <c r="E60" s="2">
        <v>45780</v>
      </c>
      <c r="F60" s="2">
        <v>45785</v>
      </c>
      <c r="G60">
        <v>5</v>
      </c>
      <c r="H60" t="s">
        <v>20</v>
      </c>
      <c r="I60">
        <v>0</v>
      </c>
      <c r="J60" t="s">
        <v>25</v>
      </c>
      <c r="K60" t="s">
        <v>47</v>
      </c>
      <c r="L60">
        <v>13448.89</v>
      </c>
    </row>
    <row r="61" spans="1:12" x14ac:dyDescent="0.25">
      <c r="A61" t="s">
        <v>88</v>
      </c>
      <c r="B61">
        <v>67</v>
      </c>
      <c r="C61" t="s">
        <v>13</v>
      </c>
      <c r="D61" t="s">
        <v>28</v>
      </c>
      <c r="E61" s="2">
        <v>45699</v>
      </c>
      <c r="F61" s="2">
        <v>45702</v>
      </c>
      <c r="G61">
        <v>3</v>
      </c>
      <c r="H61" t="s">
        <v>15</v>
      </c>
      <c r="I61">
        <v>7</v>
      </c>
      <c r="J61" t="s">
        <v>16</v>
      </c>
      <c r="K61" t="s">
        <v>47</v>
      </c>
      <c r="L61">
        <v>6410.19</v>
      </c>
    </row>
    <row r="62" spans="1:12" x14ac:dyDescent="0.25">
      <c r="A62" t="s">
        <v>89</v>
      </c>
      <c r="B62">
        <v>44</v>
      </c>
      <c r="C62" t="s">
        <v>24</v>
      </c>
      <c r="D62" t="s">
        <v>40</v>
      </c>
      <c r="E62" s="2">
        <v>45935</v>
      </c>
      <c r="F62" s="2">
        <v>45943</v>
      </c>
      <c r="G62">
        <v>8</v>
      </c>
      <c r="H62" t="s">
        <v>20</v>
      </c>
      <c r="I62">
        <v>0</v>
      </c>
      <c r="J62" t="s">
        <v>16</v>
      </c>
      <c r="K62" t="s">
        <v>17</v>
      </c>
      <c r="L62">
        <v>6015.52</v>
      </c>
    </row>
    <row r="63" spans="1:12" x14ac:dyDescent="0.25">
      <c r="A63" t="s">
        <v>90</v>
      </c>
      <c r="B63">
        <v>67</v>
      </c>
      <c r="C63" t="s">
        <v>24</v>
      </c>
      <c r="D63" t="s">
        <v>34</v>
      </c>
      <c r="E63" s="2">
        <v>45661</v>
      </c>
      <c r="F63" s="2">
        <v>45667</v>
      </c>
      <c r="G63">
        <v>6</v>
      </c>
      <c r="H63" t="s">
        <v>15</v>
      </c>
      <c r="I63">
        <v>24</v>
      </c>
      <c r="J63" t="s">
        <v>21</v>
      </c>
      <c r="K63" t="s">
        <v>47</v>
      </c>
      <c r="L63">
        <v>3681.61</v>
      </c>
    </row>
    <row r="64" spans="1:12" x14ac:dyDescent="0.25">
      <c r="A64" t="s">
        <v>91</v>
      </c>
      <c r="B64">
        <v>61</v>
      </c>
      <c r="C64" t="s">
        <v>24</v>
      </c>
      <c r="D64" t="s">
        <v>28</v>
      </c>
      <c r="E64" s="2">
        <v>45881</v>
      </c>
      <c r="F64" s="2">
        <v>45889</v>
      </c>
      <c r="G64">
        <v>8</v>
      </c>
      <c r="H64" t="s">
        <v>15</v>
      </c>
      <c r="I64">
        <v>6</v>
      </c>
      <c r="J64" t="s">
        <v>29</v>
      </c>
      <c r="K64" t="s">
        <v>22</v>
      </c>
      <c r="L64">
        <v>14720.47</v>
      </c>
    </row>
    <row r="65" spans="1:12" x14ac:dyDescent="0.25">
      <c r="A65" t="s">
        <v>92</v>
      </c>
      <c r="B65">
        <v>90</v>
      </c>
      <c r="C65" t="s">
        <v>13</v>
      </c>
      <c r="D65" t="s">
        <v>19</v>
      </c>
      <c r="E65" s="2">
        <v>45931</v>
      </c>
      <c r="F65" s="2">
        <v>45932</v>
      </c>
      <c r="G65">
        <v>1</v>
      </c>
      <c r="H65" t="s">
        <v>20</v>
      </c>
      <c r="I65">
        <v>0</v>
      </c>
      <c r="J65" t="s">
        <v>29</v>
      </c>
      <c r="K65" t="s">
        <v>22</v>
      </c>
      <c r="L65">
        <v>13069.34</v>
      </c>
    </row>
    <row r="66" spans="1:12" x14ac:dyDescent="0.25">
      <c r="A66" t="s">
        <v>93</v>
      </c>
      <c r="B66">
        <v>59</v>
      </c>
      <c r="C66" t="s">
        <v>13</v>
      </c>
      <c r="D66" t="s">
        <v>40</v>
      </c>
      <c r="E66" s="2">
        <v>45751</v>
      </c>
      <c r="F66" s="2">
        <v>45752</v>
      </c>
      <c r="G66">
        <v>1</v>
      </c>
      <c r="H66" t="s">
        <v>15</v>
      </c>
      <c r="I66">
        <v>11</v>
      </c>
      <c r="J66" t="s">
        <v>25</v>
      </c>
      <c r="K66" t="s">
        <v>47</v>
      </c>
      <c r="L66">
        <v>4534.72</v>
      </c>
    </row>
    <row r="67" spans="1:12" x14ac:dyDescent="0.25">
      <c r="A67" t="s">
        <v>94</v>
      </c>
      <c r="B67">
        <v>78</v>
      </c>
      <c r="C67" t="s">
        <v>13</v>
      </c>
      <c r="D67" t="s">
        <v>28</v>
      </c>
      <c r="E67" s="2">
        <v>45873</v>
      </c>
      <c r="F67" s="2">
        <v>45878</v>
      </c>
      <c r="G67">
        <v>5</v>
      </c>
      <c r="H67" t="s">
        <v>20</v>
      </c>
      <c r="I67">
        <v>0</v>
      </c>
      <c r="J67" t="s">
        <v>16</v>
      </c>
      <c r="K67" t="s">
        <v>47</v>
      </c>
      <c r="L67">
        <v>3751.22</v>
      </c>
    </row>
    <row r="68" spans="1:12" x14ac:dyDescent="0.25">
      <c r="A68" t="s">
        <v>95</v>
      </c>
      <c r="B68">
        <v>23</v>
      </c>
      <c r="C68" t="s">
        <v>13</v>
      </c>
      <c r="D68" t="s">
        <v>14</v>
      </c>
      <c r="E68" s="2">
        <v>45693</v>
      </c>
      <c r="F68" s="2">
        <v>45706</v>
      </c>
      <c r="G68">
        <v>13</v>
      </c>
      <c r="H68" t="s">
        <v>20</v>
      </c>
      <c r="I68">
        <v>0</v>
      </c>
      <c r="J68" t="s">
        <v>21</v>
      </c>
      <c r="K68" t="s">
        <v>22</v>
      </c>
      <c r="L68">
        <v>9509.3700000000008</v>
      </c>
    </row>
    <row r="69" spans="1:12" x14ac:dyDescent="0.25">
      <c r="A69" t="s">
        <v>96</v>
      </c>
      <c r="B69">
        <v>32</v>
      </c>
      <c r="C69" t="s">
        <v>13</v>
      </c>
      <c r="D69" t="s">
        <v>40</v>
      </c>
      <c r="E69" s="2">
        <v>45780</v>
      </c>
      <c r="F69" s="2">
        <v>45783</v>
      </c>
      <c r="G69">
        <v>3</v>
      </c>
      <c r="H69" t="s">
        <v>20</v>
      </c>
      <c r="I69">
        <v>0</v>
      </c>
      <c r="J69" t="s">
        <v>25</v>
      </c>
      <c r="K69" t="s">
        <v>47</v>
      </c>
      <c r="L69">
        <v>2932.94</v>
      </c>
    </row>
    <row r="70" spans="1:12" x14ac:dyDescent="0.25">
      <c r="A70" t="s">
        <v>97</v>
      </c>
      <c r="B70">
        <v>38</v>
      </c>
      <c r="C70" t="s">
        <v>24</v>
      </c>
      <c r="D70" t="s">
        <v>19</v>
      </c>
      <c r="E70" s="2">
        <v>45968</v>
      </c>
      <c r="F70" s="2">
        <v>45980</v>
      </c>
      <c r="G70">
        <v>12</v>
      </c>
      <c r="H70" t="s">
        <v>20</v>
      </c>
      <c r="I70">
        <v>0</v>
      </c>
      <c r="J70" t="s">
        <v>16</v>
      </c>
      <c r="K70" t="s">
        <v>47</v>
      </c>
      <c r="L70">
        <v>8849.0499999999993</v>
      </c>
    </row>
    <row r="71" spans="1:12" x14ac:dyDescent="0.25">
      <c r="A71" t="s">
        <v>98</v>
      </c>
      <c r="B71">
        <v>43</v>
      </c>
      <c r="C71" t="s">
        <v>13</v>
      </c>
      <c r="D71" t="s">
        <v>34</v>
      </c>
      <c r="E71" s="2">
        <v>45850</v>
      </c>
      <c r="F71" s="2">
        <v>45857</v>
      </c>
      <c r="G71">
        <v>7</v>
      </c>
      <c r="H71" t="s">
        <v>20</v>
      </c>
      <c r="I71">
        <v>0</v>
      </c>
      <c r="J71" t="s">
        <v>21</v>
      </c>
      <c r="K71" t="s">
        <v>22</v>
      </c>
      <c r="L71">
        <v>10609.3</v>
      </c>
    </row>
    <row r="72" spans="1:12" x14ac:dyDescent="0.25">
      <c r="A72" t="s">
        <v>99</v>
      </c>
      <c r="B72">
        <v>33</v>
      </c>
      <c r="C72" t="s">
        <v>13</v>
      </c>
      <c r="D72" t="s">
        <v>32</v>
      </c>
      <c r="E72" s="2">
        <v>45812</v>
      </c>
      <c r="F72" s="2">
        <v>45826</v>
      </c>
      <c r="G72">
        <v>14</v>
      </c>
      <c r="H72" t="s">
        <v>20</v>
      </c>
      <c r="I72">
        <v>0</v>
      </c>
      <c r="J72" t="s">
        <v>29</v>
      </c>
      <c r="K72" t="s">
        <v>17</v>
      </c>
      <c r="L72">
        <v>5873.28</v>
      </c>
    </row>
    <row r="73" spans="1:12" x14ac:dyDescent="0.25">
      <c r="A73" t="s">
        <v>100</v>
      </c>
      <c r="B73">
        <v>71</v>
      </c>
      <c r="C73" t="s">
        <v>24</v>
      </c>
      <c r="D73" t="s">
        <v>19</v>
      </c>
      <c r="E73" s="2">
        <v>45917</v>
      </c>
      <c r="F73" s="2">
        <v>45928</v>
      </c>
      <c r="G73">
        <v>11</v>
      </c>
      <c r="H73" t="s">
        <v>20</v>
      </c>
      <c r="I73">
        <v>0</v>
      </c>
      <c r="J73" t="s">
        <v>29</v>
      </c>
      <c r="K73" t="s">
        <v>47</v>
      </c>
      <c r="L73">
        <v>9715.98</v>
      </c>
    </row>
    <row r="74" spans="1:12" x14ac:dyDescent="0.25">
      <c r="A74" t="s">
        <v>101</v>
      </c>
      <c r="B74">
        <v>40</v>
      </c>
      <c r="C74" t="s">
        <v>24</v>
      </c>
      <c r="D74" t="s">
        <v>34</v>
      </c>
      <c r="E74" s="2">
        <v>45893</v>
      </c>
      <c r="F74" s="2">
        <v>45905</v>
      </c>
      <c r="G74">
        <v>12</v>
      </c>
      <c r="H74" t="s">
        <v>15</v>
      </c>
      <c r="I74">
        <v>26</v>
      </c>
      <c r="J74" t="s">
        <v>29</v>
      </c>
      <c r="K74" t="s">
        <v>47</v>
      </c>
      <c r="L74">
        <v>6815.83</v>
      </c>
    </row>
    <row r="75" spans="1:12" x14ac:dyDescent="0.25">
      <c r="A75" t="s">
        <v>102</v>
      </c>
      <c r="B75">
        <v>49</v>
      </c>
      <c r="C75" t="s">
        <v>13</v>
      </c>
      <c r="D75" t="s">
        <v>32</v>
      </c>
      <c r="E75" s="2">
        <v>45961</v>
      </c>
      <c r="F75" s="2">
        <v>45966</v>
      </c>
      <c r="G75">
        <v>5</v>
      </c>
      <c r="H75" t="s">
        <v>20</v>
      </c>
      <c r="I75">
        <v>0</v>
      </c>
      <c r="J75" t="s">
        <v>29</v>
      </c>
      <c r="K75" t="s">
        <v>22</v>
      </c>
      <c r="L75">
        <v>11381.91</v>
      </c>
    </row>
    <row r="76" spans="1:12" x14ac:dyDescent="0.25">
      <c r="A76" t="s">
        <v>103</v>
      </c>
      <c r="B76">
        <v>61</v>
      </c>
      <c r="C76" t="s">
        <v>13</v>
      </c>
      <c r="D76" t="s">
        <v>40</v>
      </c>
      <c r="E76" s="2">
        <v>45949</v>
      </c>
      <c r="F76" s="2">
        <v>45959</v>
      </c>
      <c r="G76">
        <v>10</v>
      </c>
      <c r="H76" t="s">
        <v>20</v>
      </c>
      <c r="I76">
        <v>0</v>
      </c>
      <c r="J76" t="s">
        <v>25</v>
      </c>
      <c r="K76" t="s">
        <v>22</v>
      </c>
      <c r="L76">
        <v>7569.47</v>
      </c>
    </row>
    <row r="77" spans="1:12" x14ac:dyDescent="0.25">
      <c r="A77" t="s">
        <v>104</v>
      </c>
      <c r="B77">
        <v>53</v>
      </c>
      <c r="C77" t="s">
        <v>24</v>
      </c>
      <c r="D77" t="s">
        <v>34</v>
      </c>
      <c r="E77" s="2">
        <v>45839</v>
      </c>
      <c r="F77" s="2">
        <v>45852</v>
      </c>
      <c r="G77">
        <v>13</v>
      </c>
      <c r="H77" t="s">
        <v>15</v>
      </c>
      <c r="I77">
        <v>1</v>
      </c>
      <c r="J77" t="s">
        <v>21</v>
      </c>
      <c r="K77" t="s">
        <v>22</v>
      </c>
      <c r="L77">
        <v>3999.66</v>
      </c>
    </row>
    <row r="78" spans="1:12" x14ac:dyDescent="0.25">
      <c r="A78" t="s">
        <v>105</v>
      </c>
      <c r="B78">
        <v>48</v>
      </c>
      <c r="C78" t="s">
        <v>24</v>
      </c>
      <c r="D78" t="s">
        <v>28</v>
      </c>
      <c r="E78" s="2">
        <v>45866</v>
      </c>
      <c r="F78" s="2">
        <v>45874</v>
      </c>
      <c r="G78">
        <v>8</v>
      </c>
      <c r="H78" t="s">
        <v>20</v>
      </c>
      <c r="I78">
        <v>0</v>
      </c>
      <c r="J78" t="s">
        <v>29</v>
      </c>
      <c r="K78" t="s">
        <v>47</v>
      </c>
      <c r="L78">
        <v>11997.53</v>
      </c>
    </row>
    <row r="79" spans="1:12" x14ac:dyDescent="0.25">
      <c r="A79" t="s">
        <v>106</v>
      </c>
      <c r="B79">
        <v>49</v>
      </c>
      <c r="C79" t="s">
        <v>24</v>
      </c>
      <c r="D79" t="s">
        <v>28</v>
      </c>
      <c r="E79" s="2">
        <v>45705</v>
      </c>
      <c r="F79" s="2">
        <v>45710</v>
      </c>
      <c r="G79">
        <v>5</v>
      </c>
      <c r="H79" t="s">
        <v>15</v>
      </c>
      <c r="I79">
        <v>19</v>
      </c>
      <c r="J79" t="s">
        <v>25</v>
      </c>
      <c r="K79" t="s">
        <v>47</v>
      </c>
      <c r="L79">
        <v>8525.36</v>
      </c>
    </row>
    <row r="80" spans="1:12" x14ac:dyDescent="0.25">
      <c r="A80" t="s">
        <v>107</v>
      </c>
      <c r="B80">
        <v>88</v>
      </c>
      <c r="C80" t="s">
        <v>24</v>
      </c>
      <c r="D80" t="s">
        <v>32</v>
      </c>
      <c r="E80" s="2">
        <v>45834</v>
      </c>
      <c r="F80" s="2">
        <v>45841</v>
      </c>
      <c r="G80">
        <v>7</v>
      </c>
      <c r="H80" t="s">
        <v>20</v>
      </c>
      <c r="I80">
        <v>0</v>
      </c>
      <c r="J80" t="s">
        <v>29</v>
      </c>
      <c r="K80" t="s">
        <v>47</v>
      </c>
      <c r="L80">
        <v>4946.03</v>
      </c>
    </row>
    <row r="81" spans="1:12" x14ac:dyDescent="0.25">
      <c r="A81" t="s">
        <v>108</v>
      </c>
      <c r="B81">
        <v>58</v>
      </c>
      <c r="C81" t="s">
        <v>13</v>
      </c>
      <c r="D81" t="s">
        <v>28</v>
      </c>
      <c r="E81" s="2">
        <v>45776</v>
      </c>
      <c r="F81" s="2">
        <v>45778</v>
      </c>
      <c r="G81">
        <v>2</v>
      </c>
      <c r="H81" t="s">
        <v>20</v>
      </c>
      <c r="I81">
        <v>0</v>
      </c>
      <c r="J81" t="s">
        <v>21</v>
      </c>
      <c r="K81" t="s">
        <v>22</v>
      </c>
      <c r="L81">
        <v>3637.58</v>
      </c>
    </row>
    <row r="82" spans="1:12" x14ac:dyDescent="0.25">
      <c r="A82" t="s">
        <v>109</v>
      </c>
      <c r="B82">
        <v>85</v>
      </c>
      <c r="C82" t="s">
        <v>24</v>
      </c>
      <c r="D82" t="s">
        <v>19</v>
      </c>
      <c r="E82" s="2">
        <v>45905</v>
      </c>
      <c r="F82" s="2">
        <v>45910</v>
      </c>
      <c r="G82">
        <v>5</v>
      </c>
      <c r="H82" t="s">
        <v>20</v>
      </c>
      <c r="I82">
        <v>0</v>
      </c>
      <c r="J82" t="s">
        <v>21</v>
      </c>
      <c r="K82" t="s">
        <v>47</v>
      </c>
      <c r="L82">
        <v>3798.51</v>
      </c>
    </row>
    <row r="83" spans="1:12" x14ac:dyDescent="0.25">
      <c r="A83" t="s">
        <v>110</v>
      </c>
      <c r="B83">
        <v>86</v>
      </c>
      <c r="C83" t="s">
        <v>13</v>
      </c>
      <c r="D83" t="s">
        <v>32</v>
      </c>
      <c r="E83" s="2">
        <v>45749</v>
      </c>
      <c r="F83" s="2">
        <v>45754</v>
      </c>
      <c r="G83">
        <v>5</v>
      </c>
      <c r="H83" t="s">
        <v>15</v>
      </c>
      <c r="I83">
        <v>2</v>
      </c>
      <c r="J83" t="s">
        <v>16</v>
      </c>
      <c r="K83" t="s">
        <v>17</v>
      </c>
      <c r="L83">
        <v>4735.9799999999996</v>
      </c>
    </row>
    <row r="84" spans="1:12" x14ac:dyDescent="0.25">
      <c r="A84" t="s">
        <v>111</v>
      </c>
      <c r="B84">
        <v>80</v>
      </c>
      <c r="C84" t="s">
        <v>13</v>
      </c>
      <c r="D84" t="s">
        <v>19</v>
      </c>
      <c r="E84" s="2">
        <v>45722</v>
      </c>
      <c r="F84" s="2">
        <v>45733</v>
      </c>
      <c r="G84">
        <v>11</v>
      </c>
      <c r="H84" t="s">
        <v>20</v>
      </c>
      <c r="I84">
        <v>0</v>
      </c>
      <c r="J84" t="s">
        <v>25</v>
      </c>
      <c r="K84" t="s">
        <v>47</v>
      </c>
      <c r="L84">
        <v>7441.36</v>
      </c>
    </row>
    <row r="85" spans="1:12" x14ac:dyDescent="0.25">
      <c r="A85" t="s">
        <v>112</v>
      </c>
      <c r="B85">
        <v>50</v>
      </c>
      <c r="C85" t="s">
        <v>24</v>
      </c>
      <c r="D85" t="s">
        <v>19</v>
      </c>
      <c r="E85" s="2">
        <v>45832</v>
      </c>
      <c r="F85" s="2">
        <v>45835</v>
      </c>
      <c r="G85">
        <v>3</v>
      </c>
      <c r="H85" t="s">
        <v>20</v>
      </c>
      <c r="I85">
        <v>0</v>
      </c>
      <c r="J85" t="s">
        <v>16</v>
      </c>
      <c r="K85" t="s">
        <v>47</v>
      </c>
      <c r="L85">
        <v>7630.33</v>
      </c>
    </row>
    <row r="86" spans="1:12" x14ac:dyDescent="0.25">
      <c r="A86" t="s">
        <v>113</v>
      </c>
      <c r="B86">
        <v>37</v>
      </c>
      <c r="C86" t="s">
        <v>13</v>
      </c>
      <c r="D86" t="s">
        <v>34</v>
      </c>
      <c r="E86" s="2">
        <v>45953</v>
      </c>
      <c r="F86" s="2">
        <v>45964</v>
      </c>
      <c r="G86">
        <v>11</v>
      </c>
      <c r="H86" t="s">
        <v>20</v>
      </c>
      <c r="I86">
        <v>0</v>
      </c>
      <c r="J86" t="s">
        <v>25</v>
      </c>
      <c r="K86" t="s">
        <v>22</v>
      </c>
      <c r="L86">
        <v>14911.81</v>
      </c>
    </row>
    <row r="87" spans="1:12" x14ac:dyDescent="0.25">
      <c r="A87" t="s">
        <v>114</v>
      </c>
      <c r="B87">
        <v>46</v>
      </c>
      <c r="C87" t="s">
        <v>24</v>
      </c>
      <c r="D87" t="s">
        <v>40</v>
      </c>
      <c r="E87" s="2">
        <v>45718</v>
      </c>
      <c r="F87" s="2">
        <v>45727</v>
      </c>
      <c r="G87">
        <v>9</v>
      </c>
      <c r="H87" t="s">
        <v>20</v>
      </c>
      <c r="I87">
        <v>0</v>
      </c>
      <c r="J87" t="s">
        <v>29</v>
      </c>
      <c r="K87" t="s">
        <v>47</v>
      </c>
      <c r="L87">
        <v>12972.42</v>
      </c>
    </row>
    <row r="88" spans="1:12" x14ac:dyDescent="0.25">
      <c r="A88" t="s">
        <v>115</v>
      </c>
      <c r="B88">
        <v>25</v>
      </c>
      <c r="C88" t="s">
        <v>13</v>
      </c>
      <c r="D88" t="s">
        <v>14</v>
      </c>
      <c r="E88" s="2">
        <v>45877</v>
      </c>
      <c r="F88" s="2">
        <v>45882</v>
      </c>
      <c r="G88">
        <v>5</v>
      </c>
      <c r="H88" t="s">
        <v>20</v>
      </c>
      <c r="I88">
        <v>0</v>
      </c>
      <c r="J88" t="s">
        <v>21</v>
      </c>
      <c r="K88" t="s">
        <v>47</v>
      </c>
      <c r="L88">
        <v>10076.209999999999</v>
      </c>
    </row>
    <row r="89" spans="1:12" x14ac:dyDescent="0.25">
      <c r="A89" t="s">
        <v>116</v>
      </c>
      <c r="B89">
        <v>27</v>
      </c>
      <c r="C89" t="s">
        <v>13</v>
      </c>
      <c r="D89" t="s">
        <v>19</v>
      </c>
      <c r="E89" s="2">
        <v>45738</v>
      </c>
      <c r="F89" s="2">
        <v>45742</v>
      </c>
      <c r="G89">
        <v>4</v>
      </c>
      <c r="H89" t="s">
        <v>15</v>
      </c>
      <c r="I89">
        <v>14</v>
      </c>
      <c r="J89" t="s">
        <v>29</v>
      </c>
      <c r="K89" t="s">
        <v>17</v>
      </c>
      <c r="L89">
        <v>9110.26</v>
      </c>
    </row>
    <row r="90" spans="1:12" x14ac:dyDescent="0.25">
      <c r="A90" t="s">
        <v>117</v>
      </c>
      <c r="B90">
        <v>54</v>
      </c>
      <c r="C90" t="s">
        <v>24</v>
      </c>
      <c r="D90" t="s">
        <v>19</v>
      </c>
      <c r="E90" s="2">
        <v>45807</v>
      </c>
      <c r="F90" s="2">
        <v>45808</v>
      </c>
      <c r="G90">
        <v>1</v>
      </c>
      <c r="H90" t="s">
        <v>15</v>
      </c>
      <c r="I90">
        <v>22</v>
      </c>
      <c r="J90" t="s">
        <v>21</v>
      </c>
      <c r="K90" t="s">
        <v>47</v>
      </c>
      <c r="L90">
        <v>11923.51</v>
      </c>
    </row>
    <row r="91" spans="1:12" x14ac:dyDescent="0.25">
      <c r="A91" t="s">
        <v>118</v>
      </c>
      <c r="B91">
        <v>43</v>
      </c>
      <c r="C91" t="s">
        <v>24</v>
      </c>
      <c r="D91" t="s">
        <v>19</v>
      </c>
      <c r="E91" s="2">
        <v>45978</v>
      </c>
      <c r="F91" s="2">
        <v>45988</v>
      </c>
      <c r="G91">
        <v>10</v>
      </c>
      <c r="H91" t="s">
        <v>20</v>
      </c>
      <c r="I91">
        <v>0</v>
      </c>
      <c r="J91" t="s">
        <v>21</v>
      </c>
      <c r="K91" t="s">
        <v>17</v>
      </c>
      <c r="L91">
        <v>2660.35</v>
      </c>
    </row>
    <row r="92" spans="1:12" x14ac:dyDescent="0.25">
      <c r="A92" t="s">
        <v>119</v>
      </c>
      <c r="B92">
        <v>25</v>
      </c>
      <c r="C92" t="s">
        <v>13</v>
      </c>
      <c r="D92" t="s">
        <v>32</v>
      </c>
      <c r="E92" s="2">
        <v>45794</v>
      </c>
      <c r="F92" s="2">
        <v>45808</v>
      </c>
      <c r="G92">
        <v>14</v>
      </c>
      <c r="H92" t="s">
        <v>15</v>
      </c>
      <c r="I92">
        <v>20</v>
      </c>
      <c r="J92" t="s">
        <v>25</v>
      </c>
      <c r="K92" t="s">
        <v>47</v>
      </c>
      <c r="L92">
        <v>2303.13</v>
      </c>
    </row>
    <row r="93" spans="1:12" x14ac:dyDescent="0.25">
      <c r="A93" t="s">
        <v>120</v>
      </c>
      <c r="B93">
        <v>52</v>
      </c>
      <c r="C93" t="s">
        <v>24</v>
      </c>
      <c r="D93" t="s">
        <v>40</v>
      </c>
      <c r="E93" s="2">
        <v>46010</v>
      </c>
      <c r="F93" s="2">
        <v>46015</v>
      </c>
      <c r="G93">
        <v>5</v>
      </c>
      <c r="H93" t="s">
        <v>20</v>
      </c>
      <c r="I93">
        <v>0</v>
      </c>
      <c r="J93" t="s">
        <v>16</v>
      </c>
      <c r="K93" t="s">
        <v>17</v>
      </c>
      <c r="L93">
        <v>1077.98</v>
      </c>
    </row>
    <row r="94" spans="1:12" x14ac:dyDescent="0.25">
      <c r="A94" t="s">
        <v>121</v>
      </c>
      <c r="B94">
        <v>50</v>
      </c>
      <c r="C94" t="s">
        <v>13</v>
      </c>
      <c r="D94" t="s">
        <v>19</v>
      </c>
      <c r="E94" s="2">
        <v>45879</v>
      </c>
      <c r="F94" s="2">
        <v>45891</v>
      </c>
      <c r="G94">
        <v>12</v>
      </c>
      <c r="H94" t="s">
        <v>20</v>
      </c>
      <c r="I94">
        <v>0</v>
      </c>
      <c r="J94" t="s">
        <v>21</v>
      </c>
      <c r="K94" t="s">
        <v>17</v>
      </c>
      <c r="L94">
        <v>12621.4</v>
      </c>
    </row>
    <row r="95" spans="1:12" x14ac:dyDescent="0.25">
      <c r="A95" t="s">
        <v>122</v>
      </c>
      <c r="B95">
        <v>52</v>
      </c>
      <c r="C95" t="s">
        <v>13</v>
      </c>
      <c r="D95" t="s">
        <v>14</v>
      </c>
      <c r="E95" s="2">
        <v>45952</v>
      </c>
      <c r="F95" s="2">
        <v>45962</v>
      </c>
      <c r="G95">
        <v>10</v>
      </c>
      <c r="H95" t="s">
        <v>20</v>
      </c>
      <c r="I95">
        <v>0</v>
      </c>
      <c r="J95" t="s">
        <v>29</v>
      </c>
      <c r="K95" t="s">
        <v>17</v>
      </c>
      <c r="L95">
        <v>9946.89</v>
      </c>
    </row>
    <row r="96" spans="1:12" x14ac:dyDescent="0.25">
      <c r="A96" t="s">
        <v>123</v>
      </c>
      <c r="B96">
        <v>73</v>
      </c>
      <c r="C96" t="s">
        <v>24</v>
      </c>
      <c r="D96" t="s">
        <v>19</v>
      </c>
      <c r="E96" s="2">
        <v>45800</v>
      </c>
      <c r="F96" s="2">
        <v>45803</v>
      </c>
      <c r="G96">
        <v>3</v>
      </c>
      <c r="H96" t="s">
        <v>20</v>
      </c>
      <c r="I96">
        <v>0</v>
      </c>
      <c r="J96" t="s">
        <v>29</v>
      </c>
      <c r="K96" t="s">
        <v>47</v>
      </c>
      <c r="L96">
        <v>6421.05</v>
      </c>
    </row>
    <row r="97" spans="1:12" x14ac:dyDescent="0.25">
      <c r="A97" t="s">
        <v>124</v>
      </c>
      <c r="B97">
        <v>38</v>
      </c>
      <c r="C97" t="s">
        <v>24</v>
      </c>
      <c r="D97" t="s">
        <v>40</v>
      </c>
      <c r="E97" s="2">
        <v>45822</v>
      </c>
      <c r="F97" s="2">
        <v>45833</v>
      </c>
      <c r="G97">
        <v>11</v>
      </c>
      <c r="H97" t="s">
        <v>15</v>
      </c>
      <c r="I97">
        <v>23</v>
      </c>
      <c r="J97" t="s">
        <v>29</v>
      </c>
      <c r="K97" t="s">
        <v>47</v>
      </c>
      <c r="L97">
        <v>10107.459999999999</v>
      </c>
    </row>
    <row r="98" spans="1:12" x14ac:dyDescent="0.25">
      <c r="A98" t="s">
        <v>125</v>
      </c>
      <c r="B98">
        <v>22</v>
      </c>
      <c r="C98" t="s">
        <v>24</v>
      </c>
      <c r="D98" t="s">
        <v>19</v>
      </c>
      <c r="E98" s="2">
        <v>45863</v>
      </c>
      <c r="F98" s="2">
        <v>45877</v>
      </c>
      <c r="G98">
        <v>14</v>
      </c>
      <c r="H98" t="s">
        <v>20</v>
      </c>
      <c r="I98">
        <v>0</v>
      </c>
      <c r="J98" t="s">
        <v>25</v>
      </c>
      <c r="K98" t="s">
        <v>47</v>
      </c>
      <c r="L98">
        <v>5187.47</v>
      </c>
    </row>
    <row r="99" spans="1:12" x14ac:dyDescent="0.25">
      <c r="A99" t="s">
        <v>126</v>
      </c>
      <c r="B99">
        <v>18</v>
      </c>
      <c r="C99" t="s">
        <v>24</v>
      </c>
      <c r="D99" t="s">
        <v>40</v>
      </c>
      <c r="E99" s="2">
        <v>45864</v>
      </c>
      <c r="F99" s="2">
        <v>45878</v>
      </c>
      <c r="G99">
        <v>14</v>
      </c>
      <c r="H99" t="s">
        <v>20</v>
      </c>
      <c r="I99">
        <v>0</v>
      </c>
      <c r="J99" t="s">
        <v>16</v>
      </c>
      <c r="K99" t="s">
        <v>22</v>
      </c>
      <c r="L99">
        <v>8017.37</v>
      </c>
    </row>
    <row r="100" spans="1:12" x14ac:dyDescent="0.25">
      <c r="A100" t="s">
        <v>127</v>
      </c>
      <c r="B100">
        <v>74</v>
      </c>
      <c r="C100" t="s">
        <v>13</v>
      </c>
      <c r="D100" t="s">
        <v>14</v>
      </c>
      <c r="E100" s="2">
        <v>45976</v>
      </c>
      <c r="F100" s="2">
        <v>45989</v>
      </c>
      <c r="G100">
        <v>13</v>
      </c>
      <c r="H100" t="s">
        <v>20</v>
      </c>
      <c r="I100">
        <v>0</v>
      </c>
      <c r="J100" t="s">
        <v>25</v>
      </c>
      <c r="K100" t="s">
        <v>17</v>
      </c>
      <c r="L100">
        <v>2399.69</v>
      </c>
    </row>
    <row r="101" spans="1:12" x14ac:dyDescent="0.25">
      <c r="A101" t="s">
        <v>128</v>
      </c>
      <c r="B101">
        <v>80</v>
      </c>
      <c r="C101" t="s">
        <v>13</v>
      </c>
      <c r="D101" t="s">
        <v>19</v>
      </c>
      <c r="E101" s="2">
        <v>45805</v>
      </c>
      <c r="F101" s="2">
        <v>45813</v>
      </c>
      <c r="G101">
        <v>8</v>
      </c>
      <c r="H101" t="s">
        <v>20</v>
      </c>
      <c r="I101">
        <v>0</v>
      </c>
      <c r="J101" t="s">
        <v>21</v>
      </c>
      <c r="K101" t="s">
        <v>17</v>
      </c>
      <c r="L101">
        <v>2796.48</v>
      </c>
    </row>
    <row r="102" spans="1:12" x14ac:dyDescent="0.25">
      <c r="A102" t="s">
        <v>129</v>
      </c>
      <c r="B102">
        <v>29</v>
      </c>
      <c r="C102" t="s">
        <v>13</v>
      </c>
      <c r="D102" t="s">
        <v>19</v>
      </c>
      <c r="E102" s="2">
        <v>45940</v>
      </c>
      <c r="F102" s="2">
        <v>45941</v>
      </c>
      <c r="G102">
        <v>1</v>
      </c>
      <c r="H102" t="s">
        <v>20</v>
      </c>
      <c r="I102">
        <v>0</v>
      </c>
      <c r="J102" t="s">
        <v>29</v>
      </c>
      <c r="K102" t="s">
        <v>22</v>
      </c>
      <c r="L102">
        <v>9891.7900000000009</v>
      </c>
    </row>
    <row r="103" spans="1:12" x14ac:dyDescent="0.25">
      <c r="A103" t="s">
        <v>130</v>
      </c>
      <c r="B103">
        <v>55</v>
      </c>
      <c r="C103" t="s">
        <v>24</v>
      </c>
      <c r="D103" t="s">
        <v>40</v>
      </c>
      <c r="E103" s="2">
        <v>45736</v>
      </c>
      <c r="F103" s="2">
        <v>45744</v>
      </c>
      <c r="G103">
        <v>8</v>
      </c>
      <c r="H103" t="s">
        <v>20</v>
      </c>
      <c r="I103">
        <v>0</v>
      </c>
      <c r="J103" t="s">
        <v>29</v>
      </c>
      <c r="K103" t="s">
        <v>47</v>
      </c>
      <c r="L103">
        <v>4034.1</v>
      </c>
    </row>
    <row r="104" spans="1:12" x14ac:dyDescent="0.25">
      <c r="A104" t="s">
        <v>131</v>
      </c>
      <c r="B104">
        <v>83</v>
      </c>
      <c r="C104" t="s">
        <v>13</v>
      </c>
      <c r="D104" t="s">
        <v>19</v>
      </c>
      <c r="E104" s="2">
        <v>45940</v>
      </c>
      <c r="F104" s="2">
        <v>45943</v>
      </c>
      <c r="G104">
        <v>3</v>
      </c>
      <c r="H104" t="s">
        <v>20</v>
      </c>
      <c r="I104">
        <v>0</v>
      </c>
      <c r="J104" t="s">
        <v>25</v>
      </c>
      <c r="K104" t="s">
        <v>47</v>
      </c>
      <c r="L104">
        <v>5428.19</v>
      </c>
    </row>
    <row r="105" spans="1:12" x14ac:dyDescent="0.25">
      <c r="A105" t="s">
        <v>132</v>
      </c>
      <c r="B105">
        <v>54</v>
      </c>
      <c r="C105" t="s">
        <v>24</v>
      </c>
      <c r="D105" t="s">
        <v>34</v>
      </c>
      <c r="E105" s="2">
        <v>45917</v>
      </c>
      <c r="F105" s="2">
        <v>45922</v>
      </c>
      <c r="G105">
        <v>5</v>
      </c>
      <c r="H105" t="s">
        <v>20</v>
      </c>
      <c r="I105">
        <v>0</v>
      </c>
      <c r="J105" t="s">
        <v>29</v>
      </c>
      <c r="K105" t="s">
        <v>22</v>
      </c>
      <c r="L105">
        <v>6974.94</v>
      </c>
    </row>
    <row r="106" spans="1:12" x14ac:dyDescent="0.25">
      <c r="A106" t="s">
        <v>133</v>
      </c>
      <c r="B106">
        <v>87</v>
      </c>
      <c r="C106" t="s">
        <v>24</v>
      </c>
      <c r="D106" t="s">
        <v>40</v>
      </c>
      <c r="E106" s="2">
        <v>45905</v>
      </c>
      <c r="F106" s="2">
        <v>45911</v>
      </c>
      <c r="G106">
        <v>6</v>
      </c>
      <c r="H106" t="s">
        <v>20</v>
      </c>
      <c r="I106">
        <v>0</v>
      </c>
      <c r="J106" t="s">
        <v>25</v>
      </c>
      <c r="K106" t="s">
        <v>22</v>
      </c>
      <c r="L106">
        <v>14721.23</v>
      </c>
    </row>
    <row r="107" spans="1:12" x14ac:dyDescent="0.25">
      <c r="A107" t="s">
        <v>134</v>
      </c>
      <c r="B107">
        <v>70</v>
      </c>
      <c r="C107" t="s">
        <v>13</v>
      </c>
      <c r="D107" t="s">
        <v>32</v>
      </c>
      <c r="E107" s="2">
        <v>45780</v>
      </c>
      <c r="F107" s="2">
        <v>45790</v>
      </c>
      <c r="G107">
        <v>10</v>
      </c>
      <c r="H107" t="s">
        <v>20</v>
      </c>
      <c r="I107">
        <v>0</v>
      </c>
      <c r="J107" t="s">
        <v>29</v>
      </c>
      <c r="K107" t="s">
        <v>17</v>
      </c>
      <c r="L107">
        <v>13744.74</v>
      </c>
    </row>
    <row r="108" spans="1:12" x14ac:dyDescent="0.25">
      <c r="A108" t="s">
        <v>135</v>
      </c>
      <c r="B108">
        <v>37</v>
      </c>
      <c r="C108" t="s">
        <v>24</v>
      </c>
      <c r="D108" t="s">
        <v>19</v>
      </c>
      <c r="E108" s="2">
        <v>45853</v>
      </c>
      <c r="F108" s="2">
        <v>45860</v>
      </c>
      <c r="G108">
        <v>7</v>
      </c>
      <c r="H108" t="s">
        <v>20</v>
      </c>
      <c r="I108">
        <v>0</v>
      </c>
      <c r="J108" t="s">
        <v>21</v>
      </c>
      <c r="K108" t="s">
        <v>17</v>
      </c>
      <c r="L108">
        <v>14497.63</v>
      </c>
    </row>
    <row r="109" spans="1:12" x14ac:dyDescent="0.25">
      <c r="A109" t="s">
        <v>136</v>
      </c>
      <c r="B109">
        <v>74</v>
      </c>
      <c r="C109" t="s">
        <v>13</v>
      </c>
      <c r="D109" t="s">
        <v>34</v>
      </c>
      <c r="E109" s="2">
        <v>45827</v>
      </c>
      <c r="F109" s="2">
        <v>45841</v>
      </c>
      <c r="G109">
        <v>14</v>
      </c>
      <c r="H109" t="s">
        <v>15</v>
      </c>
      <c r="I109">
        <v>30</v>
      </c>
      <c r="J109" t="s">
        <v>29</v>
      </c>
      <c r="K109" t="s">
        <v>22</v>
      </c>
      <c r="L109">
        <v>10975.44</v>
      </c>
    </row>
    <row r="110" spans="1:12" x14ac:dyDescent="0.25">
      <c r="A110" t="s">
        <v>137</v>
      </c>
      <c r="B110">
        <v>37</v>
      </c>
      <c r="C110" t="s">
        <v>13</v>
      </c>
      <c r="D110" t="s">
        <v>40</v>
      </c>
      <c r="E110" s="2">
        <v>45867</v>
      </c>
      <c r="F110" s="2">
        <v>45881</v>
      </c>
      <c r="G110">
        <v>14</v>
      </c>
      <c r="H110" t="s">
        <v>20</v>
      </c>
      <c r="I110">
        <v>0</v>
      </c>
      <c r="J110" t="s">
        <v>25</v>
      </c>
      <c r="K110" t="s">
        <v>47</v>
      </c>
      <c r="L110">
        <v>9537.26</v>
      </c>
    </row>
    <row r="111" spans="1:12" x14ac:dyDescent="0.25">
      <c r="A111" t="s">
        <v>138</v>
      </c>
      <c r="B111">
        <v>60</v>
      </c>
      <c r="C111" t="s">
        <v>24</v>
      </c>
      <c r="D111" t="s">
        <v>32</v>
      </c>
      <c r="E111" s="2">
        <v>45861</v>
      </c>
      <c r="F111" s="2">
        <v>45872</v>
      </c>
      <c r="G111">
        <v>11</v>
      </c>
      <c r="H111" t="s">
        <v>15</v>
      </c>
      <c r="I111">
        <v>21</v>
      </c>
      <c r="J111" t="s">
        <v>29</v>
      </c>
      <c r="K111" t="s">
        <v>17</v>
      </c>
      <c r="L111">
        <v>1020.54</v>
      </c>
    </row>
    <row r="112" spans="1:12" x14ac:dyDescent="0.25">
      <c r="A112" t="s">
        <v>139</v>
      </c>
      <c r="B112">
        <v>54</v>
      </c>
      <c r="C112" t="s">
        <v>13</v>
      </c>
      <c r="D112" t="s">
        <v>28</v>
      </c>
      <c r="E112" s="2">
        <v>45693</v>
      </c>
      <c r="F112" s="2">
        <v>45697</v>
      </c>
      <c r="G112">
        <v>4</v>
      </c>
      <c r="H112" t="s">
        <v>20</v>
      </c>
      <c r="I112">
        <v>0</v>
      </c>
      <c r="J112" t="s">
        <v>16</v>
      </c>
      <c r="K112" t="s">
        <v>47</v>
      </c>
      <c r="L112">
        <v>14685.9</v>
      </c>
    </row>
    <row r="113" spans="1:12" x14ac:dyDescent="0.25">
      <c r="A113" t="s">
        <v>140</v>
      </c>
      <c r="B113">
        <v>74</v>
      </c>
      <c r="C113" t="s">
        <v>13</v>
      </c>
      <c r="D113" t="s">
        <v>28</v>
      </c>
      <c r="E113" s="2">
        <v>45982</v>
      </c>
      <c r="F113" s="2">
        <v>45994</v>
      </c>
      <c r="G113">
        <v>12</v>
      </c>
      <c r="H113" t="s">
        <v>20</v>
      </c>
      <c r="I113">
        <v>0</v>
      </c>
      <c r="J113" t="s">
        <v>25</v>
      </c>
      <c r="K113" t="s">
        <v>22</v>
      </c>
      <c r="L113">
        <v>1166.8699999999999</v>
      </c>
    </row>
    <row r="114" spans="1:12" x14ac:dyDescent="0.25">
      <c r="A114" t="s">
        <v>141</v>
      </c>
      <c r="B114">
        <v>73</v>
      </c>
      <c r="C114" t="s">
        <v>13</v>
      </c>
      <c r="D114" t="s">
        <v>14</v>
      </c>
      <c r="E114" s="2">
        <v>45686</v>
      </c>
      <c r="F114" s="2">
        <v>45691</v>
      </c>
      <c r="G114">
        <v>5</v>
      </c>
      <c r="H114" t="s">
        <v>20</v>
      </c>
      <c r="I114">
        <v>0</v>
      </c>
      <c r="J114" t="s">
        <v>29</v>
      </c>
      <c r="K114" t="s">
        <v>17</v>
      </c>
      <c r="L114">
        <v>10386.11</v>
      </c>
    </row>
    <row r="115" spans="1:12" x14ac:dyDescent="0.25">
      <c r="A115" t="s">
        <v>142</v>
      </c>
      <c r="B115">
        <v>66</v>
      </c>
      <c r="C115" t="s">
        <v>13</v>
      </c>
      <c r="D115" t="s">
        <v>40</v>
      </c>
      <c r="E115" s="2">
        <v>45750</v>
      </c>
      <c r="F115" s="2">
        <v>45753</v>
      </c>
      <c r="G115">
        <v>3</v>
      </c>
      <c r="H115" t="s">
        <v>15</v>
      </c>
      <c r="I115">
        <v>30</v>
      </c>
      <c r="J115" t="s">
        <v>21</v>
      </c>
      <c r="K115" t="s">
        <v>22</v>
      </c>
      <c r="L115">
        <v>7186.67</v>
      </c>
    </row>
    <row r="116" spans="1:12" x14ac:dyDescent="0.25">
      <c r="A116" t="s">
        <v>143</v>
      </c>
      <c r="B116">
        <v>19</v>
      </c>
      <c r="C116" t="s">
        <v>24</v>
      </c>
      <c r="D116" t="s">
        <v>32</v>
      </c>
      <c r="E116" s="2">
        <v>45788</v>
      </c>
      <c r="F116" s="2">
        <v>45796</v>
      </c>
      <c r="G116">
        <v>8</v>
      </c>
      <c r="H116" t="s">
        <v>15</v>
      </c>
      <c r="I116">
        <v>22</v>
      </c>
      <c r="J116" t="s">
        <v>21</v>
      </c>
      <c r="K116" t="s">
        <v>22</v>
      </c>
      <c r="L116">
        <v>6905.08</v>
      </c>
    </row>
    <row r="117" spans="1:12" x14ac:dyDescent="0.25">
      <c r="A117" t="s">
        <v>144</v>
      </c>
      <c r="B117">
        <v>72</v>
      </c>
      <c r="C117" t="s">
        <v>24</v>
      </c>
      <c r="D117" t="s">
        <v>40</v>
      </c>
      <c r="E117" s="2">
        <v>45834</v>
      </c>
      <c r="F117" s="2">
        <v>45844</v>
      </c>
      <c r="G117">
        <v>10</v>
      </c>
      <c r="H117" t="s">
        <v>15</v>
      </c>
      <c r="I117">
        <v>28</v>
      </c>
      <c r="J117" t="s">
        <v>25</v>
      </c>
      <c r="K117" t="s">
        <v>22</v>
      </c>
      <c r="L117">
        <v>14990.92</v>
      </c>
    </row>
    <row r="118" spans="1:12" x14ac:dyDescent="0.25">
      <c r="A118" t="s">
        <v>145</v>
      </c>
      <c r="B118">
        <v>63</v>
      </c>
      <c r="C118" t="s">
        <v>24</v>
      </c>
      <c r="D118" t="s">
        <v>28</v>
      </c>
      <c r="E118" s="2">
        <v>45905</v>
      </c>
      <c r="F118" s="2">
        <v>45907</v>
      </c>
      <c r="G118">
        <v>2</v>
      </c>
      <c r="H118" t="s">
        <v>15</v>
      </c>
      <c r="I118">
        <v>10</v>
      </c>
      <c r="J118" t="s">
        <v>16</v>
      </c>
      <c r="K118" t="s">
        <v>17</v>
      </c>
      <c r="L118">
        <v>6239.18</v>
      </c>
    </row>
    <row r="119" spans="1:12" x14ac:dyDescent="0.25">
      <c r="A119" t="s">
        <v>146</v>
      </c>
      <c r="B119">
        <v>24</v>
      </c>
      <c r="C119" t="s">
        <v>24</v>
      </c>
      <c r="D119" t="s">
        <v>32</v>
      </c>
      <c r="E119" s="2">
        <v>45662</v>
      </c>
      <c r="F119" s="2">
        <v>45672</v>
      </c>
      <c r="G119">
        <v>10</v>
      </c>
      <c r="H119" t="s">
        <v>20</v>
      </c>
      <c r="I119">
        <v>0</v>
      </c>
      <c r="J119" t="s">
        <v>21</v>
      </c>
      <c r="K119" t="s">
        <v>17</v>
      </c>
      <c r="L119">
        <v>12128.01</v>
      </c>
    </row>
    <row r="120" spans="1:12" x14ac:dyDescent="0.25">
      <c r="A120" t="s">
        <v>147</v>
      </c>
      <c r="B120">
        <v>50</v>
      </c>
      <c r="C120" t="s">
        <v>13</v>
      </c>
      <c r="D120" t="s">
        <v>28</v>
      </c>
      <c r="E120" s="2">
        <v>45770</v>
      </c>
      <c r="F120" s="2">
        <v>45781</v>
      </c>
      <c r="G120">
        <v>11</v>
      </c>
      <c r="H120" t="s">
        <v>15</v>
      </c>
      <c r="I120">
        <v>4</v>
      </c>
      <c r="J120" t="s">
        <v>16</v>
      </c>
      <c r="K120" t="s">
        <v>47</v>
      </c>
      <c r="L120">
        <v>11934.85</v>
      </c>
    </row>
    <row r="121" spans="1:12" x14ac:dyDescent="0.25">
      <c r="A121" t="s">
        <v>148</v>
      </c>
      <c r="B121">
        <v>34</v>
      </c>
      <c r="C121" t="s">
        <v>13</v>
      </c>
      <c r="D121" t="s">
        <v>32</v>
      </c>
      <c r="E121" s="2">
        <v>45675</v>
      </c>
      <c r="F121" s="2">
        <v>45685</v>
      </c>
      <c r="G121">
        <v>10</v>
      </c>
      <c r="H121" t="s">
        <v>20</v>
      </c>
      <c r="I121">
        <v>0</v>
      </c>
      <c r="J121" t="s">
        <v>25</v>
      </c>
      <c r="K121" t="s">
        <v>17</v>
      </c>
      <c r="L121">
        <v>6524.79</v>
      </c>
    </row>
    <row r="122" spans="1:12" x14ac:dyDescent="0.25">
      <c r="A122" t="s">
        <v>149</v>
      </c>
      <c r="B122">
        <v>64</v>
      </c>
      <c r="C122" t="s">
        <v>24</v>
      </c>
      <c r="D122" t="s">
        <v>14</v>
      </c>
      <c r="E122" s="2">
        <v>45760</v>
      </c>
      <c r="F122" s="2">
        <v>45763</v>
      </c>
      <c r="G122">
        <v>3</v>
      </c>
      <c r="H122" t="s">
        <v>20</v>
      </c>
      <c r="I122">
        <v>0</v>
      </c>
      <c r="J122" t="s">
        <v>25</v>
      </c>
      <c r="K122" t="s">
        <v>47</v>
      </c>
      <c r="L122">
        <v>14527.07</v>
      </c>
    </row>
    <row r="123" spans="1:12" x14ac:dyDescent="0.25">
      <c r="A123" t="s">
        <v>150</v>
      </c>
      <c r="B123">
        <v>32</v>
      </c>
      <c r="C123" t="s">
        <v>24</v>
      </c>
      <c r="D123" t="s">
        <v>19</v>
      </c>
      <c r="E123" s="2">
        <v>45809</v>
      </c>
      <c r="F123" s="2">
        <v>45821</v>
      </c>
      <c r="G123">
        <v>12</v>
      </c>
      <c r="H123" t="s">
        <v>20</v>
      </c>
      <c r="I123">
        <v>0</v>
      </c>
      <c r="J123" t="s">
        <v>21</v>
      </c>
      <c r="K123" t="s">
        <v>22</v>
      </c>
      <c r="L123">
        <v>12972.04</v>
      </c>
    </row>
    <row r="124" spans="1:12" x14ac:dyDescent="0.25">
      <c r="A124" t="s">
        <v>151</v>
      </c>
      <c r="B124">
        <v>89</v>
      </c>
      <c r="C124" t="s">
        <v>24</v>
      </c>
      <c r="D124" t="s">
        <v>19</v>
      </c>
      <c r="E124" s="2">
        <v>46003</v>
      </c>
      <c r="F124" s="2">
        <v>46010</v>
      </c>
      <c r="G124">
        <v>7</v>
      </c>
      <c r="H124" t="s">
        <v>20</v>
      </c>
      <c r="I124">
        <v>0</v>
      </c>
      <c r="J124" t="s">
        <v>29</v>
      </c>
      <c r="K124" t="s">
        <v>22</v>
      </c>
      <c r="L124">
        <v>4334.6499999999996</v>
      </c>
    </row>
    <row r="125" spans="1:12" x14ac:dyDescent="0.25">
      <c r="A125" t="s">
        <v>152</v>
      </c>
      <c r="B125">
        <v>51</v>
      </c>
      <c r="C125" t="s">
        <v>24</v>
      </c>
      <c r="D125" t="s">
        <v>28</v>
      </c>
      <c r="E125" s="2">
        <v>45721</v>
      </c>
      <c r="F125" s="2">
        <v>45729</v>
      </c>
      <c r="G125">
        <v>8</v>
      </c>
      <c r="H125" t="s">
        <v>20</v>
      </c>
      <c r="I125">
        <v>0</v>
      </c>
      <c r="J125" t="s">
        <v>25</v>
      </c>
      <c r="K125" t="s">
        <v>22</v>
      </c>
      <c r="L125">
        <v>10285.129999999999</v>
      </c>
    </row>
    <row r="126" spans="1:12" x14ac:dyDescent="0.25">
      <c r="A126" t="s">
        <v>153</v>
      </c>
      <c r="B126">
        <v>89</v>
      </c>
      <c r="C126" t="s">
        <v>24</v>
      </c>
      <c r="D126" t="s">
        <v>34</v>
      </c>
      <c r="E126" s="2">
        <v>45899</v>
      </c>
      <c r="F126" s="2">
        <v>45900</v>
      </c>
      <c r="G126">
        <v>1</v>
      </c>
      <c r="H126" t="s">
        <v>20</v>
      </c>
      <c r="I126">
        <v>0</v>
      </c>
      <c r="J126" t="s">
        <v>21</v>
      </c>
      <c r="K126" t="s">
        <v>17</v>
      </c>
      <c r="L126">
        <v>1416.65</v>
      </c>
    </row>
    <row r="127" spans="1:12" x14ac:dyDescent="0.25">
      <c r="A127" t="s">
        <v>154</v>
      </c>
      <c r="B127">
        <v>70</v>
      </c>
      <c r="C127" t="s">
        <v>13</v>
      </c>
      <c r="D127" t="s">
        <v>14</v>
      </c>
      <c r="E127" s="2">
        <v>45895</v>
      </c>
      <c r="F127" s="2">
        <v>45907</v>
      </c>
      <c r="G127">
        <v>12</v>
      </c>
      <c r="H127" t="s">
        <v>20</v>
      </c>
      <c r="I127">
        <v>0</v>
      </c>
      <c r="J127" t="s">
        <v>16</v>
      </c>
      <c r="K127" t="s">
        <v>22</v>
      </c>
      <c r="L127">
        <v>4913.29</v>
      </c>
    </row>
    <row r="128" spans="1:12" x14ac:dyDescent="0.25">
      <c r="A128" t="s">
        <v>155</v>
      </c>
      <c r="B128">
        <v>86</v>
      </c>
      <c r="C128" t="s">
        <v>13</v>
      </c>
      <c r="D128" t="s">
        <v>40</v>
      </c>
      <c r="E128" s="2">
        <v>45910</v>
      </c>
      <c r="F128" s="2">
        <v>45912</v>
      </c>
      <c r="G128">
        <v>2</v>
      </c>
      <c r="H128" t="s">
        <v>15</v>
      </c>
      <c r="I128">
        <v>15</v>
      </c>
      <c r="J128" t="s">
        <v>25</v>
      </c>
      <c r="K128" t="s">
        <v>17</v>
      </c>
      <c r="L128">
        <v>14266.02</v>
      </c>
    </row>
    <row r="129" spans="1:12" x14ac:dyDescent="0.25">
      <c r="A129" t="s">
        <v>156</v>
      </c>
      <c r="B129">
        <v>37</v>
      </c>
      <c r="C129" t="s">
        <v>24</v>
      </c>
      <c r="D129" t="s">
        <v>28</v>
      </c>
      <c r="E129" s="2">
        <v>46014</v>
      </c>
      <c r="F129" s="2">
        <v>46023</v>
      </c>
      <c r="G129">
        <v>9</v>
      </c>
      <c r="H129" t="s">
        <v>20</v>
      </c>
      <c r="I129">
        <v>0</v>
      </c>
      <c r="J129" t="s">
        <v>16</v>
      </c>
      <c r="K129" t="s">
        <v>47</v>
      </c>
      <c r="L129">
        <v>9426.9599999999991</v>
      </c>
    </row>
    <row r="130" spans="1:12" x14ac:dyDescent="0.25">
      <c r="A130" t="s">
        <v>157</v>
      </c>
      <c r="B130">
        <v>45</v>
      </c>
      <c r="C130" t="s">
        <v>24</v>
      </c>
      <c r="D130" t="s">
        <v>40</v>
      </c>
      <c r="E130" s="2">
        <v>45801</v>
      </c>
      <c r="F130" s="2">
        <v>45802</v>
      </c>
      <c r="G130">
        <v>1</v>
      </c>
      <c r="H130" t="s">
        <v>20</v>
      </c>
      <c r="I130">
        <v>0</v>
      </c>
      <c r="J130" t="s">
        <v>21</v>
      </c>
      <c r="K130" t="s">
        <v>47</v>
      </c>
      <c r="L130">
        <v>1940.64</v>
      </c>
    </row>
    <row r="131" spans="1:12" x14ac:dyDescent="0.25">
      <c r="A131" t="s">
        <v>158</v>
      </c>
      <c r="B131">
        <v>63</v>
      </c>
      <c r="C131" t="s">
        <v>13</v>
      </c>
      <c r="D131" t="s">
        <v>40</v>
      </c>
      <c r="E131" s="2">
        <v>46009</v>
      </c>
      <c r="F131" s="2">
        <v>46015</v>
      </c>
      <c r="G131">
        <v>6</v>
      </c>
      <c r="H131" t="s">
        <v>20</v>
      </c>
      <c r="I131">
        <v>0</v>
      </c>
      <c r="J131" t="s">
        <v>25</v>
      </c>
      <c r="K131" t="s">
        <v>22</v>
      </c>
      <c r="L131">
        <v>14539</v>
      </c>
    </row>
    <row r="132" spans="1:12" x14ac:dyDescent="0.25">
      <c r="A132" t="s">
        <v>159</v>
      </c>
      <c r="B132">
        <v>20</v>
      </c>
      <c r="C132" t="s">
        <v>13</v>
      </c>
      <c r="D132" t="s">
        <v>32</v>
      </c>
      <c r="E132" s="2">
        <v>45890</v>
      </c>
      <c r="F132" s="2">
        <v>45892</v>
      </c>
      <c r="G132">
        <v>2</v>
      </c>
      <c r="H132" t="s">
        <v>20</v>
      </c>
      <c r="I132">
        <v>0</v>
      </c>
      <c r="J132" t="s">
        <v>21</v>
      </c>
      <c r="K132" t="s">
        <v>22</v>
      </c>
      <c r="L132">
        <v>11911.18</v>
      </c>
    </row>
    <row r="133" spans="1:12" x14ac:dyDescent="0.25">
      <c r="A133" t="s">
        <v>160</v>
      </c>
      <c r="B133">
        <v>88</v>
      </c>
      <c r="C133" t="s">
        <v>13</v>
      </c>
      <c r="D133" t="s">
        <v>34</v>
      </c>
      <c r="E133" s="2">
        <v>45763</v>
      </c>
      <c r="F133" s="2">
        <v>45765</v>
      </c>
      <c r="G133">
        <v>2</v>
      </c>
      <c r="H133" t="s">
        <v>20</v>
      </c>
      <c r="I133">
        <v>0</v>
      </c>
      <c r="J133" t="s">
        <v>21</v>
      </c>
      <c r="K133" t="s">
        <v>22</v>
      </c>
      <c r="L133">
        <v>5264.11</v>
      </c>
    </row>
    <row r="134" spans="1:12" x14ac:dyDescent="0.25">
      <c r="A134" t="s">
        <v>161</v>
      </c>
      <c r="B134">
        <v>18</v>
      </c>
      <c r="C134" t="s">
        <v>24</v>
      </c>
      <c r="D134" t="s">
        <v>14</v>
      </c>
      <c r="E134" s="2">
        <v>45733</v>
      </c>
      <c r="F134" s="2">
        <v>45746</v>
      </c>
      <c r="G134">
        <v>13</v>
      </c>
      <c r="H134" t="s">
        <v>20</v>
      </c>
      <c r="I134">
        <v>0</v>
      </c>
      <c r="J134" t="s">
        <v>21</v>
      </c>
      <c r="K134" t="s">
        <v>17</v>
      </c>
      <c r="L134">
        <v>4134.49</v>
      </c>
    </row>
    <row r="135" spans="1:12" x14ac:dyDescent="0.25">
      <c r="A135" t="s">
        <v>162</v>
      </c>
      <c r="B135">
        <v>21</v>
      </c>
      <c r="C135" t="s">
        <v>13</v>
      </c>
      <c r="D135" t="s">
        <v>19</v>
      </c>
      <c r="E135" s="2">
        <v>45747</v>
      </c>
      <c r="F135" s="2">
        <v>45749</v>
      </c>
      <c r="G135">
        <v>2</v>
      </c>
      <c r="H135" t="s">
        <v>20</v>
      </c>
      <c r="I135">
        <v>0</v>
      </c>
      <c r="J135" t="s">
        <v>25</v>
      </c>
      <c r="K135" t="s">
        <v>22</v>
      </c>
      <c r="L135">
        <v>9038.3700000000008</v>
      </c>
    </row>
    <row r="136" spans="1:12" x14ac:dyDescent="0.25">
      <c r="A136" t="s">
        <v>163</v>
      </c>
      <c r="B136">
        <v>34</v>
      </c>
      <c r="C136" t="s">
        <v>24</v>
      </c>
      <c r="D136" t="s">
        <v>34</v>
      </c>
      <c r="E136" s="2">
        <v>45666</v>
      </c>
      <c r="F136" s="2">
        <v>45669</v>
      </c>
      <c r="G136">
        <v>3</v>
      </c>
      <c r="H136" t="s">
        <v>15</v>
      </c>
      <c r="I136">
        <v>4</v>
      </c>
      <c r="J136" t="s">
        <v>16</v>
      </c>
      <c r="K136" t="s">
        <v>47</v>
      </c>
      <c r="L136">
        <v>6999.99</v>
      </c>
    </row>
    <row r="137" spans="1:12" x14ac:dyDescent="0.25">
      <c r="A137" t="s">
        <v>164</v>
      </c>
      <c r="B137">
        <v>75</v>
      </c>
      <c r="C137" t="s">
        <v>13</v>
      </c>
      <c r="D137" t="s">
        <v>34</v>
      </c>
      <c r="E137" s="2">
        <v>45843</v>
      </c>
      <c r="F137" s="2">
        <v>45852</v>
      </c>
      <c r="G137">
        <v>9</v>
      </c>
      <c r="H137" t="s">
        <v>20</v>
      </c>
      <c r="I137">
        <v>0</v>
      </c>
      <c r="J137" t="s">
        <v>16</v>
      </c>
      <c r="K137" t="s">
        <v>17</v>
      </c>
      <c r="L137">
        <v>11856.79</v>
      </c>
    </row>
    <row r="138" spans="1:12" x14ac:dyDescent="0.25">
      <c r="A138" t="s">
        <v>165</v>
      </c>
      <c r="B138">
        <v>21</v>
      </c>
      <c r="C138" t="s">
        <v>13</v>
      </c>
      <c r="D138" t="s">
        <v>40</v>
      </c>
      <c r="E138" s="2">
        <v>45995</v>
      </c>
      <c r="F138" s="2">
        <v>46004</v>
      </c>
      <c r="G138">
        <v>9</v>
      </c>
      <c r="H138" t="s">
        <v>20</v>
      </c>
      <c r="I138">
        <v>0</v>
      </c>
      <c r="J138" t="s">
        <v>29</v>
      </c>
      <c r="K138" t="s">
        <v>47</v>
      </c>
      <c r="L138">
        <v>10448.41</v>
      </c>
    </row>
    <row r="139" spans="1:12" x14ac:dyDescent="0.25">
      <c r="A139" t="s">
        <v>166</v>
      </c>
      <c r="B139">
        <v>27</v>
      </c>
      <c r="C139" t="s">
        <v>13</v>
      </c>
      <c r="D139" t="s">
        <v>32</v>
      </c>
      <c r="E139" s="2">
        <v>45909</v>
      </c>
      <c r="F139" s="2">
        <v>45921</v>
      </c>
      <c r="G139">
        <v>12</v>
      </c>
      <c r="H139" t="s">
        <v>20</v>
      </c>
      <c r="I139">
        <v>0</v>
      </c>
      <c r="J139" t="s">
        <v>21</v>
      </c>
      <c r="K139" t="s">
        <v>22</v>
      </c>
      <c r="L139">
        <v>2329.7800000000002</v>
      </c>
    </row>
    <row r="140" spans="1:12" x14ac:dyDescent="0.25">
      <c r="A140" t="s">
        <v>167</v>
      </c>
      <c r="B140">
        <v>59</v>
      </c>
      <c r="C140" t="s">
        <v>24</v>
      </c>
      <c r="D140" t="s">
        <v>34</v>
      </c>
      <c r="E140" s="2">
        <v>45977</v>
      </c>
      <c r="F140" s="2">
        <v>45988</v>
      </c>
      <c r="G140">
        <v>11</v>
      </c>
      <c r="H140" t="s">
        <v>20</v>
      </c>
      <c r="I140">
        <v>0</v>
      </c>
      <c r="J140" t="s">
        <v>25</v>
      </c>
      <c r="K140" t="s">
        <v>47</v>
      </c>
      <c r="L140">
        <v>7830.49</v>
      </c>
    </row>
    <row r="141" spans="1:12" x14ac:dyDescent="0.25">
      <c r="A141" t="s">
        <v>168</v>
      </c>
      <c r="B141">
        <v>32</v>
      </c>
      <c r="C141" t="s">
        <v>13</v>
      </c>
      <c r="D141" t="s">
        <v>40</v>
      </c>
      <c r="E141" s="2">
        <v>45878</v>
      </c>
      <c r="F141" s="2">
        <v>45880</v>
      </c>
      <c r="G141">
        <v>2</v>
      </c>
      <c r="H141" t="s">
        <v>20</v>
      </c>
      <c r="I141">
        <v>0</v>
      </c>
      <c r="J141" t="s">
        <v>29</v>
      </c>
      <c r="K141" t="s">
        <v>22</v>
      </c>
      <c r="L141">
        <v>6500.3</v>
      </c>
    </row>
    <row r="142" spans="1:12" x14ac:dyDescent="0.25">
      <c r="A142" t="s">
        <v>169</v>
      </c>
      <c r="B142">
        <v>30</v>
      </c>
      <c r="C142" t="s">
        <v>24</v>
      </c>
      <c r="D142" t="s">
        <v>40</v>
      </c>
      <c r="E142" s="2">
        <v>45890</v>
      </c>
      <c r="F142" s="2">
        <v>45897</v>
      </c>
      <c r="G142">
        <v>7</v>
      </c>
      <c r="H142" t="s">
        <v>20</v>
      </c>
      <c r="I142">
        <v>0</v>
      </c>
      <c r="J142" t="s">
        <v>25</v>
      </c>
      <c r="K142" t="s">
        <v>17</v>
      </c>
      <c r="L142">
        <v>4195.8999999999996</v>
      </c>
    </row>
    <row r="143" spans="1:12" x14ac:dyDescent="0.25">
      <c r="A143" t="s">
        <v>170</v>
      </c>
      <c r="B143">
        <v>26</v>
      </c>
      <c r="C143" t="s">
        <v>13</v>
      </c>
      <c r="D143" t="s">
        <v>19</v>
      </c>
      <c r="E143" s="2">
        <v>45736</v>
      </c>
      <c r="F143" s="2">
        <v>45747</v>
      </c>
      <c r="G143">
        <v>11</v>
      </c>
      <c r="H143" t="s">
        <v>20</v>
      </c>
      <c r="I143">
        <v>0</v>
      </c>
      <c r="J143" t="s">
        <v>16</v>
      </c>
      <c r="K143" t="s">
        <v>47</v>
      </c>
      <c r="L143">
        <v>1900.18</v>
      </c>
    </row>
    <row r="144" spans="1:12" x14ac:dyDescent="0.25">
      <c r="A144" t="s">
        <v>171</v>
      </c>
      <c r="B144">
        <v>25</v>
      </c>
      <c r="C144" t="s">
        <v>24</v>
      </c>
      <c r="D144" t="s">
        <v>28</v>
      </c>
      <c r="E144" s="2">
        <v>45848</v>
      </c>
      <c r="F144" s="2">
        <v>45861</v>
      </c>
      <c r="G144">
        <v>13</v>
      </c>
      <c r="H144" t="s">
        <v>15</v>
      </c>
      <c r="I144">
        <v>4</v>
      </c>
      <c r="J144" t="s">
        <v>29</v>
      </c>
      <c r="K144" t="s">
        <v>47</v>
      </c>
      <c r="L144">
        <v>13167.31</v>
      </c>
    </row>
    <row r="145" spans="1:12" x14ac:dyDescent="0.25">
      <c r="A145" t="s">
        <v>172</v>
      </c>
      <c r="B145">
        <v>24</v>
      </c>
      <c r="C145" t="s">
        <v>24</v>
      </c>
      <c r="D145" t="s">
        <v>34</v>
      </c>
      <c r="E145" s="2">
        <v>45874</v>
      </c>
      <c r="F145" s="2">
        <v>45888</v>
      </c>
      <c r="G145">
        <v>14</v>
      </c>
      <c r="H145" t="s">
        <v>20</v>
      </c>
      <c r="I145">
        <v>0</v>
      </c>
      <c r="J145" t="s">
        <v>25</v>
      </c>
      <c r="K145" t="s">
        <v>47</v>
      </c>
      <c r="L145">
        <v>2002.21</v>
      </c>
    </row>
    <row r="146" spans="1:12" x14ac:dyDescent="0.25">
      <c r="A146" t="s">
        <v>173</v>
      </c>
      <c r="B146">
        <v>79</v>
      </c>
      <c r="C146" t="s">
        <v>13</v>
      </c>
      <c r="D146" t="s">
        <v>19</v>
      </c>
      <c r="E146" s="2">
        <v>45917</v>
      </c>
      <c r="F146" s="2">
        <v>45921</v>
      </c>
      <c r="G146">
        <v>4</v>
      </c>
      <c r="H146" t="s">
        <v>15</v>
      </c>
      <c r="I146">
        <v>12</v>
      </c>
      <c r="J146" t="s">
        <v>25</v>
      </c>
      <c r="K146" t="s">
        <v>22</v>
      </c>
      <c r="L146">
        <v>11557.78</v>
      </c>
    </row>
    <row r="147" spans="1:12" x14ac:dyDescent="0.25">
      <c r="A147" t="s">
        <v>174</v>
      </c>
      <c r="B147">
        <v>89</v>
      </c>
      <c r="C147" t="s">
        <v>13</v>
      </c>
      <c r="D147" t="s">
        <v>34</v>
      </c>
      <c r="E147" s="2">
        <v>45951</v>
      </c>
      <c r="F147" s="2">
        <v>45955</v>
      </c>
      <c r="G147">
        <v>4</v>
      </c>
      <c r="H147" t="s">
        <v>20</v>
      </c>
      <c r="I147">
        <v>0</v>
      </c>
      <c r="J147" t="s">
        <v>25</v>
      </c>
      <c r="K147" t="s">
        <v>22</v>
      </c>
      <c r="L147">
        <v>3116.03</v>
      </c>
    </row>
    <row r="148" spans="1:12" x14ac:dyDescent="0.25">
      <c r="A148" t="s">
        <v>175</v>
      </c>
      <c r="B148">
        <v>61</v>
      </c>
      <c r="C148" t="s">
        <v>24</v>
      </c>
      <c r="D148" t="s">
        <v>19</v>
      </c>
      <c r="E148" s="2">
        <v>46017</v>
      </c>
      <c r="F148" s="2">
        <v>46030</v>
      </c>
      <c r="G148">
        <v>13</v>
      </c>
      <c r="H148" t="s">
        <v>20</v>
      </c>
      <c r="I148">
        <v>0</v>
      </c>
      <c r="J148" t="s">
        <v>21</v>
      </c>
      <c r="K148" t="s">
        <v>22</v>
      </c>
      <c r="L148">
        <v>8711.66</v>
      </c>
    </row>
    <row r="149" spans="1:12" x14ac:dyDescent="0.25">
      <c r="A149" t="s">
        <v>176</v>
      </c>
      <c r="B149">
        <v>21</v>
      </c>
      <c r="C149" t="s">
        <v>13</v>
      </c>
      <c r="D149" t="s">
        <v>28</v>
      </c>
      <c r="E149" s="2">
        <v>45863</v>
      </c>
      <c r="F149" s="2">
        <v>45865</v>
      </c>
      <c r="G149">
        <v>2</v>
      </c>
      <c r="H149" t="s">
        <v>15</v>
      </c>
      <c r="I149">
        <v>17</v>
      </c>
      <c r="J149" t="s">
        <v>21</v>
      </c>
      <c r="K149" t="s">
        <v>47</v>
      </c>
      <c r="L149">
        <v>6587.57</v>
      </c>
    </row>
    <row r="150" spans="1:12" x14ac:dyDescent="0.25">
      <c r="A150" t="s">
        <v>177</v>
      </c>
      <c r="B150">
        <v>59</v>
      </c>
      <c r="C150" t="s">
        <v>13</v>
      </c>
      <c r="D150" t="s">
        <v>19</v>
      </c>
      <c r="E150" s="2">
        <v>45832</v>
      </c>
      <c r="F150" s="2">
        <v>45835</v>
      </c>
      <c r="G150">
        <v>3</v>
      </c>
      <c r="H150" t="s">
        <v>20</v>
      </c>
      <c r="I150">
        <v>0</v>
      </c>
      <c r="J150" t="s">
        <v>21</v>
      </c>
      <c r="K150" t="s">
        <v>22</v>
      </c>
      <c r="L150">
        <v>11439.32</v>
      </c>
    </row>
    <row r="151" spans="1:12" x14ac:dyDescent="0.25">
      <c r="A151" t="s">
        <v>178</v>
      </c>
      <c r="B151">
        <v>74</v>
      </c>
      <c r="C151" t="s">
        <v>24</v>
      </c>
      <c r="D151" t="s">
        <v>40</v>
      </c>
      <c r="E151" s="2">
        <v>45683</v>
      </c>
      <c r="F151" s="2">
        <v>45694</v>
      </c>
      <c r="G151">
        <v>11</v>
      </c>
      <c r="H151" t="s">
        <v>15</v>
      </c>
      <c r="I151">
        <v>20</v>
      </c>
      <c r="J151" t="s">
        <v>29</v>
      </c>
      <c r="K151" t="s">
        <v>47</v>
      </c>
      <c r="L151">
        <v>4460.92</v>
      </c>
    </row>
    <row r="152" spans="1:12" x14ac:dyDescent="0.25">
      <c r="A152" t="s">
        <v>179</v>
      </c>
      <c r="B152">
        <v>32</v>
      </c>
      <c r="C152" t="s">
        <v>24</v>
      </c>
      <c r="D152" t="s">
        <v>28</v>
      </c>
      <c r="E152" s="2">
        <v>45920</v>
      </c>
      <c r="F152" s="2">
        <v>45922</v>
      </c>
      <c r="G152">
        <v>2</v>
      </c>
      <c r="H152" t="s">
        <v>20</v>
      </c>
      <c r="I152">
        <v>0</v>
      </c>
      <c r="J152" t="s">
        <v>29</v>
      </c>
      <c r="K152" t="s">
        <v>17</v>
      </c>
      <c r="L152">
        <v>10173.42</v>
      </c>
    </row>
    <row r="153" spans="1:12" x14ac:dyDescent="0.25">
      <c r="A153" t="s">
        <v>180</v>
      </c>
      <c r="B153">
        <v>25</v>
      </c>
      <c r="C153" t="s">
        <v>13</v>
      </c>
      <c r="D153" t="s">
        <v>14</v>
      </c>
      <c r="E153" s="2">
        <v>45681</v>
      </c>
      <c r="F153" s="2">
        <v>45685</v>
      </c>
      <c r="G153">
        <v>4</v>
      </c>
      <c r="H153" t="s">
        <v>20</v>
      </c>
      <c r="I153">
        <v>0</v>
      </c>
      <c r="J153" t="s">
        <v>25</v>
      </c>
      <c r="K153" t="s">
        <v>22</v>
      </c>
      <c r="L153">
        <v>11626.57</v>
      </c>
    </row>
    <row r="154" spans="1:12" x14ac:dyDescent="0.25">
      <c r="A154" t="s">
        <v>181</v>
      </c>
      <c r="B154">
        <v>18</v>
      </c>
      <c r="C154" t="s">
        <v>24</v>
      </c>
      <c r="D154" t="s">
        <v>28</v>
      </c>
      <c r="E154" s="2">
        <v>45788</v>
      </c>
      <c r="F154" s="2">
        <v>45793</v>
      </c>
      <c r="G154">
        <v>5</v>
      </c>
      <c r="H154" t="s">
        <v>20</v>
      </c>
      <c r="I154">
        <v>0</v>
      </c>
      <c r="J154" t="s">
        <v>29</v>
      </c>
      <c r="K154" t="s">
        <v>22</v>
      </c>
      <c r="L154">
        <v>2373.19</v>
      </c>
    </row>
    <row r="155" spans="1:12" x14ac:dyDescent="0.25">
      <c r="A155" t="s">
        <v>182</v>
      </c>
      <c r="B155">
        <v>89</v>
      </c>
      <c r="C155" t="s">
        <v>24</v>
      </c>
      <c r="D155" t="s">
        <v>19</v>
      </c>
      <c r="E155" s="2">
        <v>45930</v>
      </c>
      <c r="F155" s="2">
        <v>45942</v>
      </c>
      <c r="G155">
        <v>12</v>
      </c>
      <c r="H155" t="s">
        <v>15</v>
      </c>
      <c r="I155">
        <v>13</v>
      </c>
      <c r="J155" t="s">
        <v>16</v>
      </c>
      <c r="K155" t="s">
        <v>47</v>
      </c>
      <c r="L155">
        <v>771.75</v>
      </c>
    </row>
    <row r="156" spans="1:12" x14ac:dyDescent="0.25">
      <c r="A156" t="s">
        <v>183</v>
      </c>
      <c r="B156">
        <v>72</v>
      </c>
      <c r="C156" t="s">
        <v>24</v>
      </c>
      <c r="D156" t="s">
        <v>28</v>
      </c>
      <c r="E156" s="2">
        <v>45697</v>
      </c>
      <c r="F156" s="2">
        <v>45711</v>
      </c>
      <c r="G156">
        <v>14</v>
      </c>
      <c r="H156" t="s">
        <v>20</v>
      </c>
      <c r="I156">
        <v>0</v>
      </c>
      <c r="J156" t="s">
        <v>29</v>
      </c>
      <c r="K156" t="s">
        <v>47</v>
      </c>
      <c r="L156">
        <v>2170.0100000000002</v>
      </c>
    </row>
    <row r="157" spans="1:12" x14ac:dyDescent="0.25">
      <c r="A157" t="s">
        <v>184</v>
      </c>
      <c r="B157">
        <v>76</v>
      </c>
      <c r="C157" t="s">
        <v>24</v>
      </c>
      <c r="D157" t="s">
        <v>19</v>
      </c>
      <c r="E157" s="2">
        <v>45668</v>
      </c>
      <c r="F157" s="2">
        <v>45674</v>
      </c>
      <c r="G157">
        <v>6</v>
      </c>
      <c r="H157" t="s">
        <v>15</v>
      </c>
      <c r="I157">
        <v>14</v>
      </c>
      <c r="J157" t="s">
        <v>16</v>
      </c>
      <c r="K157" t="s">
        <v>22</v>
      </c>
      <c r="L157">
        <v>6817.31</v>
      </c>
    </row>
    <row r="158" spans="1:12" x14ac:dyDescent="0.25">
      <c r="A158" t="s">
        <v>185</v>
      </c>
      <c r="B158">
        <v>57</v>
      </c>
      <c r="C158" t="s">
        <v>24</v>
      </c>
      <c r="D158" t="s">
        <v>14</v>
      </c>
      <c r="E158" s="2">
        <v>45863</v>
      </c>
      <c r="F158" s="2">
        <v>45872</v>
      </c>
      <c r="G158">
        <v>9</v>
      </c>
      <c r="H158" t="s">
        <v>15</v>
      </c>
      <c r="I158">
        <v>11</v>
      </c>
      <c r="J158" t="s">
        <v>21</v>
      </c>
      <c r="K158" t="s">
        <v>22</v>
      </c>
      <c r="L158">
        <v>7902.01</v>
      </c>
    </row>
    <row r="159" spans="1:12" x14ac:dyDescent="0.25">
      <c r="A159" t="s">
        <v>186</v>
      </c>
      <c r="B159">
        <v>62</v>
      </c>
      <c r="C159" t="s">
        <v>24</v>
      </c>
      <c r="D159" t="s">
        <v>28</v>
      </c>
      <c r="E159" s="2">
        <v>45716</v>
      </c>
      <c r="F159" s="2">
        <v>45725</v>
      </c>
      <c r="G159">
        <v>9</v>
      </c>
      <c r="H159" t="s">
        <v>20</v>
      </c>
      <c r="I159">
        <v>0</v>
      </c>
      <c r="J159" t="s">
        <v>21</v>
      </c>
      <c r="K159" t="s">
        <v>22</v>
      </c>
      <c r="L159">
        <v>1990.67</v>
      </c>
    </row>
    <row r="160" spans="1:12" x14ac:dyDescent="0.25">
      <c r="A160" t="s">
        <v>187</v>
      </c>
      <c r="B160">
        <v>37</v>
      </c>
      <c r="C160" t="s">
        <v>13</v>
      </c>
      <c r="D160" t="s">
        <v>14</v>
      </c>
      <c r="E160" s="2">
        <v>45789</v>
      </c>
      <c r="F160" s="2">
        <v>45793</v>
      </c>
      <c r="G160">
        <v>4</v>
      </c>
      <c r="H160" t="s">
        <v>15</v>
      </c>
      <c r="I160">
        <v>25</v>
      </c>
      <c r="J160" t="s">
        <v>29</v>
      </c>
      <c r="K160" t="s">
        <v>47</v>
      </c>
      <c r="L160">
        <v>11439.46</v>
      </c>
    </row>
    <row r="161" spans="1:12" x14ac:dyDescent="0.25">
      <c r="A161" t="s">
        <v>188</v>
      </c>
      <c r="B161">
        <v>90</v>
      </c>
      <c r="C161" t="s">
        <v>24</v>
      </c>
      <c r="D161" t="s">
        <v>28</v>
      </c>
      <c r="E161" s="2">
        <v>45954</v>
      </c>
      <c r="F161" s="2">
        <v>45962</v>
      </c>
      <c r="G161">
        <v>8</v>
      </c>
      <c r="H161" t="s">
        <v>20</v>
      </c>
      <c r="I161">
        <v>0</v>
      </c>
      <c r="J161" t="s">
        <v>25</v>
      </c>
      <c r="K161" t="s">
        <v>22</v>
      </c>
      <c r="L161">
        <v>6876.56</v>
      </c>
    </row>
    <row r="162" spans="1:12" x14ac:dyDescent="0.25">
      <c r="A162" t="s">
        <v>189</v>
      </c>
      <c r="B162">
        <v>53</v>
      </c>
      <c r="C162" t="s">
        <v>13</v>
      </c>
      <c r="D162" t="s">
        <v>32</v>
      </c>
      <c r="E162" s="2">
        <v>45898</v>
      </c>
      <c r="F162" s="2">
        <v>45906</v>
      </c>
      <c r="G162">
        <v>8</v>
      </c>
      <c r="H162" t="s">
        <v>20</v>
      </c>
      <c r="I162">
        <v>0</v>
      </c>
      <c r="J162" t="s">
        <v>16</v>
      </c>
      <c r="K162" t="s">
        <v>47</v>
      </c>
      <c r="L162">
        <v>7195.27</v>
      </c>
    </row>
    <row r="163" spans="1:12" x14ac:dyDescent="0.25">
      <c r="A163" t="s">
        <v>190</v>
      </c>
      <c r="B163">
        <v>54</v>
      </c>
      <c r="C163" t="s">
        <v>13</v>
      </c>
      <c r="D163" t="s">
        <v>28</v>
      </c>
      <c r="E163" s="2">
        <v>45677</v>
      </c>
      <c r="F163" s="2">
        <v>45678</v>
      </c>
      <c r="G163">
        <v>1</v>
      </c>
      <c r="H163" t="s">
        <v>20</v>
      </c>
      <c r="I163">
        <v>0</v>
      </c>
      <c r="J163" t="s">
        <v>16</v>
      </c>
      <c r="K163" t="s">
        <v>17</v>
      </c>
      <c r="L163">
        <v>9114.16</v>
      </c>
    </row>
    <row r="164" spans="1:12" x14ac:dyDescent="0.25">
      <c r="A164" t="s">
        <v>191</v>
      </c>
      <c r="B164">
        <v>23</v>
      </c>
      <c r="C164" t="s">
        <v>24</v>
      </c>
      <c r="D164" t="s">
        <v>34</v>
      </c>
      <c r="E164" s="2">
        <v>45854</v>
      </c>
      <c r="F164" s="2">
        <v>45862</v>
      </c>
      <c r="G164">
        <v>8</v>
      </c>
      <c r="H164" t="s">
        <v>20</v>
      </c>
      <c r="I164">
        <v>0</v>
      </c>
      <c r="J164" t="s">
        <v>21</v>
      </c>
      <c r="K164" t="s">
        <v>47</v>
      </c>
      <c r="L164">
        <v>9272.58</v>
      </c>
    </row>
    <row r="165" spans="1:12" x14ac:dyDescent="0.25">
      <c r="A165" t="s">
        <v>192</v>
      </c>
      <c r="B165">
        <v>75</v>
      </c>
      <c r="C165" t="s">
        <v>13</v>
      </c>
      <c r="D165" t="s">
        <v>32</v>
      </c>
      <c r="E165" s="2">
        <v>45914</v>
      </c>
      <c r="F165" s="2">
        <v>45917</v>
      </c>
      <c r="G165">
        <v>3</v>
      </c>
      <c r="H165" t="s">
        <v>20</v>
      </c>
      <c r="I165">
        <v>0</v>
      </c>
      <c r="J165" t="s">
        <v>16</v>
      </c>
      <c r="K165" t="s">
        <v>17</v>
      </c>
      <c r="L165">
        <v>9868.84</v>
      </c>
    </row>
    <row r="166" spans="1:12" x14ac:dyDescent="0.25">
      <c r="A166" t="s">
        <v>193</v>
      </c>
      <c r="B166">
        <v>74</v>
      </c>
      <c r="C166" t="s">
        <v>13</v>
      </c>
      <c r="D166" t="s">
        <v>32</v>
      </c>
      <c r="E166" s="2">
        <v>45678</v>
      </c>
      <c r="F166" s="2">
        <v>45682</v>
      </c>
      <c r="G166">
        <v>4</v>
      </c>
      <c r="H166" t="s">
        <v>20</v>
      </c>
      <c r="I166">
        <v>0</v>
      </c>
      <c r="J166" t="s">
        <v>25</v>
      </c>
      <c r="K166" t="s">
        <v>47</v>
      </c>
      <c r="L166">
        <v>6117.54</v>
      </c>
    </row>
    <row r="167" spans="1:12" x14ac:dyDescent="0.25">
      <c r="A167" t="s">
        <v>194</v>
      </c>
      <c r="B167">
        <v>60</v>
      </c>
      <c r="C167" t="s">
        <v>13</v>
      </c>
      <c r="D167" t="s">
        <v>32</v>
      </c>
      <c r="E167" s="2">
        <v>45831</v>
      </c>
      <c r="F167" s="2">
        <v>45842</v>
      </c>
      <c r="G167">
        <v>11</v>
      </c>
      <c r="H167" t="s">
        <v>20</v>
      </c>
      <c r="I167">
        <v>0</v>
      </c>
      <c r="J167" t="s">
        <v>16</v>
      </c>
      <c r="K167" t="s">
        <v>17</v>
      </c>
      <c r="L167">
        <v>10336.5</v>
      </c>
    </row>
    <row r="168" spans="1:12" x14ac:dyDescent="0.25">
      <c r="A168" t="s">
        <v>195</v>
      </c>
      <c r="B168">
        <v>37</v>
      </c>
      <c r="C168" t="s">
        <v>24</v>
      </c>
      <c r="D168" t="s">
        <v>19</v>
      </c>
      <c r="E168" s="2">
        <v>45803</v>
      </c>
      <c r="F168" s="2">
        <v>45808</v>
      </c>
      <c r="G168">
        <v>5</v>
      </c>
      <c r="H168" t="s">
        <v>20</v>
      </c>
      <c r="I168">
        <v>0</v>
      </c>
      <c r="J168" t="s">
        <v>21</v>
      </c>
      <c r="K168" t="s">
        <v>47</v>
      </c>
      <c r="L168">
        <v>4998.3599999999997</v>
      </c>
    </row>
    <row r="169" spans="1:12" x14ac:dyDescent="0.25">
      <c r="A169" t="s">
        <v>196</v>
      </c>
      <c r="B169">
        <v>34</v>
      </c>
      <c r="C169" t="s">
        <v>13</v>
      </c>
      <c r="D169" t="s">
        <v>32</v>
      </c>
      <c r="E169" s="2">
        <v>45993</v>
      </c>
      <c r="F169" s="2">
        <v>46005</v>
      </c>
      <c r="G169">
        <v>12</v>
      </c>
      <c r="H169" t="s">
        <v>20</v>
      </c>
      <c r="I169">
        <v>0</v>
      </c>
      <c r="J169" t="s">
        <v>29</v>
      </c>
      <c r="K169" t="s">
        <v>17</v>
      </c>
      <c r="L169">
        <v>11979.1</v>
      </c>
    </row>
    <row r="170" spans="1:12" x14ac:dyDescent="0.25">
      <c r="A170" t="s">
        <v>197</v>
      </c>
      <c r="B170">
        <v>85</v>
      </c>
      <c r="C170" t="s">
        <v>13</v>
      </c>
      <c r="D170" t="s">
        <v>28</v>
      </c>
      <c r="E170" s="2">
        <v>45723</v>
      </c>
      <c r="F170" s="2">
        <v>45734</v>
      </c>
      <c r="G170">
        <v>11</v>
      </c>
      <c r="H170" t="s">
        <v>20</v>
      </c>
      <c r="I170">
        <v>0</v>
      </c>
      <c r="J170" t="s">
        <v>29</v>
      </c>
      <c r="K170" t="s">
        <v>17</v>
      </c>
      <c r="L170">
        <v>5746.51</v>
      </c>
    </row>
    <row r="171" spans="1:12" x14ac:dyDescent="0.25">
      <c r="A171" t="s">
        <v>198</v>
      </c>
      <c r="B171">
        <v>45</v>
      </c>
      <c r="C171" t="s">
        <v>24</v>
      </c>
      <c r="D171" t="s">
        <v>40</v>
      </c>
      <c r="E171" s="2">
        <v>45843</v>
      </c>
      <c r="F171" s="2">
        <v>45848</v>
      </c>
      <c r="G171">
        <v>5</v>
      </c>
      <c r="H171" t="s">
        <v>15</v>
      </c>
      <c r="I171">
        <v>7</v>
      </c>
      <c r="J171" t="s">
        <v>21</v>
      </c>
      <c r="K171" t="s">
        <v>22</v>
      </c>
      <c r="L171">
        <v>2746.71</v>
      </c>
    </row>
    <row r="172" spans="1:12" x14ac:dyDescent="0.25">
      <c r="A172" t="s">
        <v>199</v>
      </c>
      <c r="B172">
        <v>82</v>
      </c>
      <c r="C172" t="s">
        <v>13</v>
      </c>
      <c r="D172" t="s">
        <v>28</v>
      </c>
      <c r="E172" s="2">
        <v>45809</v>
      </c>
      <c r="F172" s="2">
        <v>45823</v>
      </c>
      <c r="G172">
        <v>14</v>
      </c>
      <c r="H172" t="s">
        <v>20</v>
      </c>
      <c r="I172">
        <v>0</v>
      </c>
      <c r="J172" t="s">
        <v>25</v>
      </c>
      <c r="K172" t="s">
        <v>17</v>
      </c>
      <c r="L172">
        <v>2400.21</v>
      </c>
    </row>
    <row r="173" spans="1:12" x14ac:dyDescent="0.25">
      <c r="A173" t="s">
        <v>200</v>
      </c>
      <c r="B173">
        <v>39</v>
      </c>
      <c r="C173" t="s">
        <v>24</v>
      </c>
      <c r="D173" t="s">
        <v>19</v>
      </c>
      <c r="E173" s="2">
        <v>45850</v>
      </c>
      <c r="F173" s="2">
        <v>45853</v>
      </c>
      <c r="G173">
        <v>3</v>
      </c>
      <c r="H173" t="s">
        <v>15</v>
      </c>
      <c r="I173">
        <v>14</v>
      </c>
      <c r="J173" t="s">
        <v>25</v>
      </c>
      <c r="K173" t="s">
        <v>17</v>
      </c>
      <c r="L173">
        <v>10933.99</v>
      </c>
    </row>
    <row r="174" spans="1:12" x14ac:dyDescent="0.25">
      <c r="A174" t="s">
        <v>201</v>
      </c>
      <c r="B174">
        <v>75</v>
      </c>
      <c r="C174" t="s">
        <v>13</v>
      </c>
      <c r="D174" t="s">
        <v>34</v>
      </c>
      <c r="E174" s="2">
        <v>45885</v>
      </c>
      <c r="F174" s="2">
        <v>45895</v>
      </c>
      <c r="G174">
        <v>10</v>
      </c>
      <c r="H174" t="s">
        <v>15</v>
      </c>
      <c r="I174">
        <v>8</v>
      </c>
      <c r="J174" t="s">
        <v>25</v>
      </c>
      <c r="K174" t="s">
        <v>47</v>
      </c>
      <c r="L174">
        <v>13607.63</v>
      </c>
    </row>
    <row r="175" spans="1:12" x14ac:dyDescent="0.25">
      <c r="A175" t="s">
        <v>202</v>
      </c>
      <c r="B175">
        <v>74</v>
      </c>
      <c r="C175" t="s">
        <v>24</v>
      </c>
      <c r="D175" t="s">
        <v>32</v>
      </c>
      <c r="E175" s="2">
        <v>45757</v>
      </c>
      <c r="F175" s="2">
        <v>45763</v>
      </c>
      <c r="G175">
        <v>6</v>
      </c>
      <c r="H175" t="s">
        <v>20</v>
      </c>
      <c r="I175">
        <v>0</v>
      </c>
      <c r="J175" t="s">
        <v>29</v>
      </c>
      <c r="K175" t="s">
        <v>17</v>
      </c>
      <c r="L175">
        <v>8148.17</v>
      </c>
    </row>
    <row r="176" spans="1:12" x14ac:dyDescent="0.25">
      <c r="A176" t="s">
        <v>203</v>
      </c>
      <c r="B176">
        <v>35</v>
      </c>
      <c r="C176" t="s">
        <v>24</v>
      </c>
      <c r="D176" t="s">
        <v>19</v>
      </c>
      <c r="E176" s="2">
        <v>45740</v>
      </c>
      <c r="F176" s="2">
        <v>45754</v>
      </c>
      <c r="G176">
        <v>14</v>
      </c>
      <c r="H176" t="s">
        <v>15</v>
      </c>
      <c r="I176">
        <v>21</v>
      </c>
      <c r="J176" t="s">
        <v>29</v>
      </c>
      <c r="K176" t="s">
        <v>47</v>
      </c>
      <c r="L176">
        <v>8540.84</v>
      </c>
    </row>
    <row r="177" spans="1:12" x14ac:dyDescent="0.25">
      <c r="A177" t="s">
        <v>204</v>
      </c>
      <c r="B177">
        <v>33</v>
      </c>
      <c r="C177" t="s">
        <v>24</v>
      </c>
      <c r="D177" t="s">
        <v>19</v>
      </c>
      <c r="E177" s="2">
        <v>45710</v>
      </c>
      <c r="F177" s="2">
        <v>45722</v>
      </c>
      <c r="G177">
        <v>12</v>
      </c>
      <c r="H177" t="s">
        <v>20</v>
      </c>
      <c r="I177">
        <v>0</v>
      </c>
      <c r="J177" t="s">
        <v>21</v>
      </c>
      <c r="K177" t="s">
        <v>47</v>
      </c>
      <c r="L177">
        <v>7015.13</v>
      </c>
    </row>
    <row r="178" spans="1:12" x14ac:dyDescent="0.25">
      <c r="A178" t="s">
        <v>205</v>
      </c>
      <c r="B178">
        <v>29</v>
      </c>
      <c r="C178" t="s">
        <v>13</v>
      </c>
      <c r="D178" t="s">
        <v>40</v>
      </c>
      <c r="E178" s="2">
        <v>45920</v>
      </c>
      <c r="F178" s="2">
        <v>45923</v>
      </c>
      <c r="G178">
        <v>3</v>
      </c>
      <c r="H178" t="s">
        <v>20</v>
      </c>
      <c r="I178">
        <v>0</v>
      </c>
      <c r="J178" t="s">
        <v>25</v>
      </c>
      <c r="K178" t="s">
        <v>22</v>
      </c>
      <c r="L178">
        <v>6516.01</v>
      </c>
    </row>
    <row r="179" spans="1:12" x14ac:dyDescent="0.25">
      <c r="A179" t="s">
        <v>206</v>
      </c>
      <c r="B179">
        <v>67</v>
      </c>
      <c r="C179" t="s">
        <v>13</v>
      </c>
      <c r="D179" t="s">
        <v>32</v>
      </c>
      <c r="E179" s="2">
        <v>45860</v>
      </c>
      <c r="F179" s="2">
        <v>45869</v>
      </c>
      <c r="G179">
        <v>9</v>
      </c>
      <c r="H179" t="s">
        <v>20</v>
      </c>
      <c r="I179">
        <v>0</v>
      </c>
      <c r="J179" t="s">
        <v>21</v>
      </c>
      <c r="K179" t="s">
        <v>22</v>
      </c>
      <c r="L179">
        <v>5120.93</v>
      </c>
    </row>
    <row r="180" spans="1:12" x14ac:dyDescent="0.25">
      <c r="A180" t="s">
        <v>207</v>
      </c>
      <c r="B180">
        <v>60</v>
      </c>
      <c r="C180" t="s">
        <v>13</v>
      </c>
      <c r="D180" t="s">
        <v>14</v>
      </c>
      <c r="E180" s="2">
        <v>45708</v>
      </c>
      <c r="F180" s="2">
        <v>45722</v>
      </c>
      <c r="G180">
        <v>14</v>
      </c>
      <c r="H180" t="s">
        <v>20</v>
      </c>
      <c r="I180">
        <v>0</v>
      </c>
      <c r="J180" t="s">
        <v>16</v>
      </c>
      <c r="K180" t="s">
        <v>47</v>
      </c>
      <c r="L180">
        <v>13802.24</v>
      </c>
    </row>
    <row r="181" spans="1:12" x14ac:dyDescent="0.25">
      <c r="A181" t="s">
        <v>208</v>
      </c>
      <c r="B181">
        <v>78</v>
      </c>
      <c r="C181" t="s">
        <v>24</v>
      </c>
      <c r="D181" t="s">
        <v>34</v>
      </c>
      <c r="E181" s="2">
        <v>45899</v>
      </c>
      <c r="F181" s="2">
        <v>45911</v>
      </c>
      <c r="G181">
        <v>12</v>
      </c>
      <c r="H181" t="s">
        <v>20</v>
      </c>
      <c r="I181">
        <v>0</v>
      </c>
      <c r="J181" t="s">
        <v>16</v>
      </c>
      <c r="K181" t="s">
        <v>22</v>
      </c>
      <c r="L181">
        <v>775.56</v>
      </c>
    </row>
    <row r="182" spans="1:12" x14ac:dyDescent="0.25">
      <c r="A182" t="s">
        <v>209</v>
      </c>
      <c r="B182">
        <v>85</v>
      </c>
      <c r="C182" t="s">
        <v>24</v>
      </c>
      <c r="D182" t="s">
        <v>19</v>
      </c>
      <c r="E182" s="2">
        <v>45768</v>
      </c>
      <c r="F182" s="2">
        <v>45782</v>
      </c>
      <c r="G182">
        <v>14</v>
      </c>
      <c r="H182" t="s">
        <v>15</v>
      </c>
      <c r="I182">
        <v>25</v>
      </c>
      <c r="J182" t="s">
        <v>25</v>
      </c>
      <c r="K182" t="s">
        <v>22</v>
      </c>
      <c r="L182">
        <v>4866.6899999999996</v>
      </c>
    </row>
    <row r="183" spans="1:12" x14ac:dyDescent="0.25">
      <c r="A183" t="s">
        <v>210</v>
      </c>
      <c r="B183">
        <v>76</v>
      </c>
      <c r="C183" t="s">
        <v>13</v>
      </c>
      <c r="D183" t="s">
        <v>19</v>
      </c>
      <c r="E183" s="2">
        <v>45682</v>
      </c>
      <c r="F183" s="2">
        <v>45686</v>
      </c>
      <c r="G183">
        <v>4</v>
      </c>
      <c r="H183" t="s">
        <v>20</v>
      </c>
      <c r="I183">
        <v>0</v>
      </c>
      <c r="J183" t="s">
        <v>29</v>
      </c>
      <c r="K183" t="s">
        <v>17</v>
      </c>
      <c r="L183">
        <v>8272.7800000000007</v>
      </c>
    </row>
    <row r="184" spans="1:12" x14ac:dyDescent="0.25">
      <c r="A184" t="s">
        <v>211</v>
      </c>
      <c r="B184">
        <v>36</v>
      </c>
      <c r="C184" t="s">
        <v>24</v>
      </c>
      <c r="D184" t="s">
        <v>40</v>
      </c>
      <c r="E184" s="2">
        <v>45981</v>
      </c>
      <c r="F184" s="2">
        <v>45990</v>
      </c>
      <c r="G184">
        <v>9</v>
      </c>
      <c r="H184" t="s">
        <v>20</v>
      </c>
      <c r="I184">
        <v>0</v>
      </c>
      <c r="J184" t="s">
        <v>16</v>
      </c>
      <c r="K184" t="s">
        <v>17</v>
      </c>
      <c r="L184">
        <v>5615.83</v>
      </c>
    </row>
    <row r="185" spans="1:12" x14ac:dyDescent="0.25">
      <c r="A185" t="s">
        <v>212</v>
      </c>
      <c r="B185">
        <v>28</v>
      </c>
      <c r="C185" t="s">
        <v>24</v>
      </c>
      <c r="D185" t="s">
        <v>19</v>
      </c>
      <c r="E185" s="2">
        <v>45950</v>
      </c>
      <c r="F185" s="2">
        <v>45957</v>
      </c>
      <c r="G185">
        <v>7</v>
      </c>
      <c r="H185" t="s">
        <v>15</v>
      </c>
      <c r="I185">
        <v>17</v>
      </c>
      <c r="J185" t="s">
        <v>16</v>
      </c>
      <c r="K185" t="s">
        <v>47</v>
      </c>
      <c r="L185">
        <v>13163.31</v>
      </c>
    </row>
    <row r="186" spans="1:12" x14ac:dyDescent="0.25">
      <c r="A186" t="s">
        <v>213</v>
      </c>
      <c r="B186">
        <v>65</v>
      </c>
      <c r="C186" t="s">
        <v>24</v>
      </c>
      <c r="D186" t="s">
        <v>28</v>
      </c>
      <c r="E186" s="2">
        <v>45680</v>
      </c>
      <c r="F186" s="2">
        <v>45691</v>
      </c>
      <c r="G186">
        <v>11</v>
      </c>
      <c r="H186" t="s">
        <v>20</v>
      </c>
      <c r="I186">
        <v>0</v>
      </c>
      <c r="J186" t="s">
        <v>16</v>
      </c>
      <c r="K186" t="s">
        <v>47</v>
      </c>
      <c r="L186">
        <v>11933.54</v>
      </c>
    </row>
    <row r="187" spans="1:12" x14ac:dyDescent="0.25">
      <c r="A187" t="s">
        <v>214</v>
      </c>
      <c r="B187">
        <v>31</v>
      </c>
      <c r="C187" t="s">
        <v>24</v>
      </c>
      <c r="D187" t="s">
        <v>14</v>
      </c>
      <c r="E187" s="2">
        <v>45834</v>
      </c>
      <c r="F187" s="2">
        <v>45838</v>
      </c>
      <c r="G187">
        <v>4</v>
      </c>
      <c r="H187" t="s">
        <v>20</v>
      </c>
      <c r="I187">
        <v>0</v>
      </c>
      <c r="J187" t="s">
        <v>16</v>
      </c>
      <c r="K187" t="s">
        <v>47</v>
      </c>
      <c r="L187">
        <v>8417.2000000000007</v>
      </c>
    </row>
    <row r="188" spans="1:12" x14ac:dyDescent="0.25">
      <c r="A188" t="s">
        <v>215</v>
      </c>
      <c r="B188">
        <v>77</v>
      </c>
      <c r="C188" t="s">
        <v>24</v>
      </c>
      <c r="D188" t="s">
        <v>28</v>
      </c>
      <c r="E188" s="2">
        <v>45987</v>
      </c>
      <c r="F188" s="2">
        <v>45990</v>
      </c>
      <c r="G188">
        <v>3</v>
      </c>
      <c r="H188" t="s">
        <v>20</v>
      </c>
      <c r="I188">
        <v>0</v>
      </c>
      <c r="J188" t="s">
        <v>21</v>
      </c>
      <c r="K188" t="s">
        <v>22</v>
      </c>
      <c r="L188">
        <v>1414.96</v>
      </c>
    </row>
    <row r="189" spans="1:12" x14ac:dyDescent="0.25">
      <c r="A189" t="s">
        <v>216</v>
      </c>
      <c r="B189">
        <v>23</v>
      </c>
      <c r="C189" t="s">
        <v>13</v>
      </c>
      <c r="D189" t="s">
        <v>19</v>
      </c>
      <c r="E189" s="2">
        <v>45892</v>
      </c>
      <c r="F189" s="2">
        <v>45893</v>
      </c>
      <c r="G189">
        <v>1</v>
      </c>
      <c r="H189" t="s">
        <v>15</v>
      </c>
      <c r="I189">
        <v>11</v>
      </c>
      <c r="J189" t="s">
        <v>25</v>
      </c>
      <c r="K189" t="s">
        <v>17</v>
      </c>
      <c r="L189">
        <v>6274.25</v>
      </c>
    </row>
    <row r="190" spans="1:12" x14ac:dyDescent="0.25">
      <c r="A190" t="s">
        <v>217</v>
      </c>
      <c r="B190">
        <v>42</v>
      </c>
      <c r="C190" t="s">
        <v>24</v>
      </c>
      <c r="D190" t="s">
        <v>32</v>
      </c>
      <c r="E190" s="2">
        <v>45936</v>
      </c>
      <c r="F190" s="2">
        <v>45944</v>
      </c>
      <c r="G190">
        <v>8</v>
      </c>
      <c r="H190" t="s">
        <v>15</v>
      </c>
      <c r="I190">
        <v>28</v>
      </c>
      <c r="J190" t="s">
        <v>16</v>
      </c>
      <c r="K190" t="s">
        <v>17</v>
      </c>
      <c r="L190">
        <v>5312.91</v>
      </c>
    </row>
    <row r="191" spans="1:12" x14ac:dyDescent="0.25">
      <c r="A191" t="s">
        <v>218</v>
      </c>
      <c r="B191">
        <v>69</v>
      </c>
      <c r="C191" t="s">
        <v>24</v>
      </c>
      <c r="D191" t="s">
        <v>40</v>
      </c>
      <c r="E191" s="2">
        <v>45721</v>
      </c>
      <c r="F191" s="2">
        <v>45734</v>
      </c>
      <c r="G191">
        <v>13</v>
      </c>
      <c r="H191" t="s">
        <v>20</v>
      </c>
      <c r="I191">
        <v>0</v>
      </c>
      <c r="J191" t="s">
        <v>25</v>
      </c>
      <c r="K191" t="s">
        <v>22</v>
      </c>
      <c r="L191">
        <v>7694.95</v>
      </c>
    </row>
    <row r="192" spans="1:12" x14ac:dyDescent="0.25">
      <c r="A192" t="s">
        <v>219</v>
      </c>
      <c r="B192">
        <v>84</v>
      </c>
      <c r="C192" t="s">
        <v>24</v>
      </c>
      <c r="D192" t="s">
        <v>19</v>
      </c>
      <c r="E192" s="2">
        <v>45912</v>
      </c>
      <c r="F192" s="2">
        <v>45918</v>
      </c>
      <c r="G192">
        <v>6</v>
      </c>
      <c r="H192" t="s">
        <v>20</v>
      </c>
      <c r="I192">
        <v>0</v>
      </c>
      <c r="J192" t="s">
        <v>29</v>
      </c>
      <c r="K192" t="s">
        <v>22</v>
      </c>
      <c r="L192">
        <v>6743.8</v>
      </c>
    </row>
    <row r="193" spans="1:12" x14ac:dyDescent="0.25">
      <c r="A193" t="s">
        <v>220</v>
      </c>
      <c r="B193">
        <v>31</v>
      </c>
      <c r="C193" t="s">
        <v>13</v>
      </c>
      <c r="D193" t="s">
        <v>32</v>
      </c>
      <c r="E193" s="2">
        <v>45750</v>
      </c>
      <c r="F193" s="2">
        <v>45759</v>
      </c>
      <c r="G193">
        <v>9</v>
      </c>
      <c r="H193" t="s">
        <v>15</v>
      </c>
      <c r="I193">
        <v>22</v>
      </c>
      <c r="J193" t="s">
        <v>25</v>
      </c>
      <c r="K193" t="s">
        <v>47</v>
      </c>
      <c r="L193">
        <v>6965.78</v>
      </c>
    </row>
    <row r="194" spans="1:12" x14ac:dyDescent="0.25">
      <c r="A194" t="s">
        <v>221</v>
      </c>
      <c r="B194">
        <v>62</v>
      </c>
      <c r="C194" t="s">
        <v>24</v>
      </c>
      <c r="D194" t="s">
        <v>19</v>
      </c>
      <c r="E194" s="2">
        <v>45876</v>
      </c>
      <c r="F194" s="2">
        <v>45879</v>
      </c>
      <c r="G194">
        <v>3</v>
      </c>
      <c r="H194" t="s">
        <v>20</v>
      </c>
      <c r="I194">
        <v>0</v>
      </c>
      <c r="J194" t="s">
        <v>25</v>
      </c>
      <c r="K194" t="s">
        <v>17</v>
      </c>
      <c r="L194">
        <v>14973.18</v>
      </c>
    </row>
    <row r="195" spans="1:12" x14ac:dyDescent="0.25">
      <c r="A195" t="s">
        <v>222</v>
      </c>
      <c r="B195">
        <v>25</v>
      </c>
      <c r="C195" t="s">
        <v>13</v>
      </c>
      <c r="D195" t="s">
        <v>28</v>
      </c>
      <c r="E195" s="2">
        <v>45798</v>
      </c>
      <c r="F195" s="2">
        <v>45809</v>
      </c>
      <c r="G195">
        <v>11</v>
      </c>
      <c r="H195" t="s">
        <v>20</v>
      </c>
      <c r="I195">
        <v>0</v>
      </c>
      <c r="J195" t="s">
        <v>29</v>
      </c>
      <c r="K195" t="s">
        <v>47</v>
      </c>
      <c r="L195">
        <v>7939.75</v>
      </c>
    </row>
    <row r="196" spans="1:12" x14ac:dyDescent="0.25">
      <c r="A196" t="s">
        <v>223</v>
      </c>
      <c r="B196">
        <v>36</v>
      </c>
      <c r="C196" t="s">
        <v>24</v>
      </c>
      <c r="D196" t="s">
        <v>19</v>
      </c>
      <c r="E196" s="2">
        <v>46005</v>
      </c>
      <c r="F196" s="2">
        <v>46008</v>
      </c>
      <c r="G196">
        <v>3</v>
      </c>
      <c r="H196" t="s">
        <v>20</v>
      </c>
      <c r="I196">
        <v>0</v>
      </c>
      <c r="J196" t="s">
        <v>21</v>
      </c>
      <c r="K196" t="s">
        <v>22</v>
      </c>
      <c r="L196">
        <v>3921.93</v>
      </c>
    </row>
    <row r="197" spans="1:12" x14ac:dyDescent="0.25">
      <c r="A197" t="s">
        <v>224</v>
      </c>
      <c r="B197">
        <v>90</v>
      </c>
      <c r="C197" t="s">
        <v>13</v>
      </c>
      <c r="D197" t="s">
        <v>34</v>
      </c>
      <c r="E197" s="2">
        <v>45988</v>
      </c>
      <c r="F197" s="2">
        <v>45994</v>
      </c>
      <c r="G197">
        <v>6</v>
      </c>
      <c r="H197" t="s">
        <v>20</v>
      </c>
      <c r="I197">
        <v>0</v>
      </c>
      <c r="J197" t="s">
        <v>21</v>
      </c>
      <c r="K197" t="s">
        <v>17</v>
      </c>
      <c r="L197">
        <v>7023.88</v>
      </c>
    </row>
    <row r="198" spans="1:12" x14ac:dyDescent="0.25">
      <c r="A198" t="s">
        <v>225</v>
      </c>
      <c r="B198">
        <v>27</v>
      </c>
      <c r="C198" t="s">
        <v>13</v>
      </c>
      <c r="D198" t="s">
        <v>34</v>
      </c>
      <c r="E198" s="2">
        <v>45847</v>
      </c>
      <c r="F198" s="2">
        <v>45853</v>
      </c>
      <c r="G198">
        <v>6</v>
      </c>
      <c r="H198" t="s">
        <v>20</v>
      </c>
      <c r="I198">
        <v>0</v>
      </c>
      <c r="J198" t="s">
        <v>25</v>
      </c>
      <c r="K198" t="s">
        <v>47</v>
      </c>
      <c r="L198">
        <v>5058.59</v>
      </c>
    </row>
    <row r="199" spans="1:12" x14ac:dyDescent="0.25">
      <c r="A199" t="s">
        <v>226</v>
      </c>
      <c r="B199">
        <v>21</v>
      </c>
      <c r="C199" t="s">
        <v>13</v>
      </c>
      <c r="D199" t="s">
        <v>40</v>
      </c>
      <c r="E199" s="2">
        <v>45800</v>
      </c>
      <c r="F199" s="2">
        <v>45804</v>
      </c>
      <c r="G199">
        <v>4</v>
      </c>
      <c r="H199" t="s">
        <v>20</v>
      </c>
      <c r="I199">
        <v>0</v>
      </c>
      <c r="J199" t="s">
        <v>29</v>
      </c>
      <c r="K199" t="s">
        <v>17</v>
      </c>
      <c r="L199">
        <v>2207.5300000000002</v>
      </c>
    </row>
    <row r="200" spans="1:12" x14ac:dyDescent="0.25">
      <c r="A200" t="s">
        <v>227</v>
      </c>
      <c r="B200">
        <v>54</v>
      </c>
      <c r="C200" t="s">
        <v>24</v>
      </c>
      <c r="D200" t="s">
        <v>14</v>
      </c>
      <c r="E200" s="2">
        <v>45791</v>
      </c>
      <c r="F200" s="2">
        <v>45803</v>
      </c>
      <c r="G200">
        <v>12</v>
      </c>
      <c r="H200" t="s">
        <v>20</v>
      </c>
      <c r="I200">
        <v>0</v>
      </c>
      <c r="J200" t="s">
        <v>16</v>
      </c>
      <c r="K200" t="s">
        <v>22</v>
      </c>
      <c r="L200">
        <v>12865.98</v>
      </c>
    </row>
    <row r="201" spans="1:12" x14ac:dyDescent="0.25">
      <c r="A201" t="s">
        <v>228</v>
      </c>
      <c r="B201">
        <v>74</v>
      </c>
      <c r="C201" t="s">
        <v>13</v>
      </c>
      <c r="D201" t="s">
        <v>28</v>
      </c>
      <c r="E201" s="2">
        <v>45889</v>
      </c>
      <c r="F201" s="2">
        <v>45892</v>
      </c>
      <c r="G201">
        <v>3</v>
      </c>
      <c r="H201" t="s">
        <v>20</v>
      </c>
      <c r="I201">
        <v>0</v>
      </c>
      <c r="J201" t="s">
        <v>25</v>
      </c>
      <c r="K201" t="s">
        <v>17</v>
      </c>
      <c r="L201">
        <v>5537.67</v>
      </c>
    </row>
    <row r="202" spans="1:12" x14ac:dyDescent="0.25">
      <c r="A202" t="s">
        <v>229</v>
      </c>
      <c r="B202">
        <v>56</v>
      </c>
      <c r="C202" t="s">
        <v>13</v>
      </c>
      <c r="D202" t="s">
        <v>28</v>
      </c>
      <c r="E202" s="2">
        <v>45691</v>
      </c>
      <c r="F202" s="2">
        <v>45700</v>
      </c>
      <c r="G202">
        <v>9</v>
      </c>
      <c r="H202" t="s">
        <v>20</v>
      </c>
      <c r="I202">
        <v>0</v>
      </c>
      <c r="J202" t="s">
        <v>21</v>
      </c>
      <c r="K202" t="s">
        <v>47</v>
      </c>
      <c r="L202">
        <v>7876.96</v>
      </c>
    </row>
    <row r="203" spans="1:12" x14ac:dyDescent="0.25">
      <c r="A203" t="s">
        <v>230</v>
      </c>
      <c r="B203">
        <v>48</v>
      </c>
      <c r="C203" t="s">
        <v>24</v>
      </c>
      <c r="D203" t="s">
        <v>19</v>
      </c>
      <c r="E203" s="2">
        <v>45720</v>
      </c>
      <c r="F203" s="2">
        <v>45724</v>
      </c>
      <c r="G203">
        <v>4</v>
      </c>
      <c r="H203" t="s">
        <v>20</v>
      </c>
      <c r="I203">
        <v>0</v>
      </c>
      <c r="J203" t="s">
        <v>25</v>
      </c>
      <c r="K203" t="s">
        <v>17</v>
      </c>
      <c r="L203">
        <v>8798.02</v>
      </c>
    </row>
    <row r="204" spans="1:12" x14ac:dyDescent="0.25">
      <c r="A204" t="s">
        <v>231</v>
      </c>
      <c r="B204">
        <v>34</v>
      </c>
      <c r="C204" t="s">
        <v>13</v>
      </c>
      <c r="D204" t="s">
        <v>19</v>
      </c>
      <c r="E204" s="2">
        <v>45897</v>
      </c>
      <c r="F204" s="2">
        <v>45910</v>
      </c>
      <c r="G204">
        <v>13</v>
      </c>
      <c r="H204" t="s">
        <v>20</v>
      </c>
      <c r="I204">
        <v>0</v>
      </c>
      <c r="J204" t="s">
        <v>25</v>
      </c>
      <c r="K204" t="s">
        <v>47</v>
      </c>
      <c r="L204">
        <v>14994.13</v>
      </c>
    </row>
    <row r="205" spans="1:12" x14ac:dyDescent="0.25">
      <c r="A205" t="s">
        <v>232</v>
      </c>
      <c r="B205">
        <v>70</v>
      </c>
      <c r="C205" t="s">
        <v>13</v>
      </c>
      <c r="D205" t="s">
        <v>14</v>
      </c>
      <c r="E205" s="2">
        <v>45903</v>
      </c>
      <c r="F205" s="2">
        <v>45912</v>
      </c>
      <c r="G205">
        <v>9</v>
      </c>
      <c r="H205" t="s">
        <v>20</v>
      </c>
      <c r="I205">
        <v>0</v>
      </c>
      <c r="J205" t="s">
        <v>25</v>
      </c>
      <c r="K205" t="s">
        <v>17</v>
      </c>
      <c r="L205">
        <v>1575.39</v>
      </c>
    </row>
    <row r="206" spans="1:12" x14ac:dyDescent="0.25">
      <c r="A206" t="s">
        <v>233</v>
      </c>
      <c r="B206">
        <v>34</v>
      </c>
      <c r="C206" t="s">
        <v>13</v>
      </c>
      <c r="D206" t="s">
        <v>14</v>
      </c>
      <c r="E206" s="2">
        <v>45896</v>
      </c>
      <c r="F206" s="2">
        <v>45907</v>
      </c>
      <c r="G206">
        <v>11</v>
      </c>
      <c r="H206" t="s">
        <v>20</v>
      </c>
      <c r="I206">
        <v>0</v>
      </c>
      <c r="J206" t="s">
        <v>29</v>
      </c>
      <c r="K206" t="s">
        <v>17</v>
      </c>
      <c r="L206">
        <v>13705.33</v>
      </c>
    </row>
    <row r="207" spans="1:12" x14ac:dyDescent="0.25">
      <c r="A207" t="s">
        <v>234</v>
      </c>
      <c r="B207">
        <v>37</v>
      </c>
      <c r="C207" t="s">
        <v>24</v>
      </c>
      <c r="D207" t="s">
        <v>14</v>
      </c>
      <c r="E207" s="2">
        <v>45686</v>
      </c>
      <c r="F207" s="2">
        <v>45700</v>
      </c>
      <c r="G207">
        <v>14</v>
      </c>
      <c r="H207" t="s">
        <v>15</v>
      </c>
      <c r="I207">
        <v>6</v>
      </c>
      <c r="J207" t="s">
        <v>25</v>
      </c>
      <c r="K207" t="s">
        <v>17</v>
      </c>
      <c r="L207">
        <v>3769.32</v>
      </c>
    </row>
    <row r="208" spans="1:12" x14ac:dyDescent="0.25">
      <c r="A208" t="s">
        <v>235</v>
      </c>
      <c r="B208">
        <v>50</v>
      </c>
      <c r="C208" t="s">
        <v>13</v>
      </c>
      <c r="D208" t="s">
        <v>28</v>
      </c>
      <c r="E208" s="2">
        <v>45923</v>
      </c>
      <c r="F208" s="2">
        <v>45928</v>
      </c>
      <c r="G208">
        <v>5</v>
      </c>
      <c r="H208" t="s">
        <v>20</v>
      </c>
      <c r="I208">
        <v>0</v>
      </c>
      <c r="J208" t="s">
        <v>25</v>
      </c>
      <c r="K208" t="s">
        <v>22</v>
      </c>
      <c r="L208">
        <v>9562.82</v>
      </c>
    </row>
    <row r="209" spans="1:12" x14ac:dyDescent="0.25">
      <c r="A209" t="s">
        <v>236</v>
      </c>
      <c r="B209">
        <v>39</v>
      </c>
      <c r="C209" t="s">
        <v>13</v>
      </c>
      <c r="D209" t="s">
        <v>14</v>
      </c>
      <c r="E209" s="2">
        <v>45972</v>
      </c>
      <c r="F209" s="2">
        <v>45981</v>
      </c>
      <c r="G209">
        <v>9</v>
      </c>
      <c r="H209" t="s">
        <v>15</v>
      </c>
      <c r="I209">
        <v>22</v>
      </c>
      <c r="J209" t="s">
        <v>25</v>
      </c>
      <c r="K209" t="s">
        <v>17</v>
      </c>
      <c r="L209">
        <v>1097.32</v>
      </c>
    </row>
    <row r="210" spans="1:12" x14ac:dyDescent="0.25">
      <c r="A210" t="s">
        <v>237</v>
      </c>
      <c r="B210">
        <v>51</v>
      </c>
      <c r="C210" t="s">
        <v>13</v>
      </c>
      <c r="D210" t="s">
        <v>34</v>
      </c>
      <c r="E210" s="2">
        <v>45672</v>
      </c>
      <c r="F210" s="2">
        <v>45674</v>
      </c>
      <c r="G210">
        <v>2</v>
      </c>
      <c r="H210" t="s">
        <v>15</v>
      </c>
      <c r="I210">
        <v>14</v>
      </c>
      <c r="J210" t="s">
        <v>16</v>
      </c>
      <c r="K210" t="s">
        <v>47</v>
      </c>
      <c r="L210">
        <v>13390.45</v>
      </c>
    </row>
    <row r="211" spans="1:12" x14ac:dyDescent="0.25">
      <c r="A211" t="s">
        <v>238</v>
      </c>
      <c r="B211">
        <v>56</v>
      </c>
      <c r="C211" t="s">
        <v>24</v>
      </c>
      <c r="D211" t="s">
        <v>14</v>
      </c>
      <c r="E211" s="2">
        <v>45937</v>
      </c>
      <c r="F211" s="2">
        <v>45942</v>
      </c>
      <c r="G211">
        <v>5</v>
      </c>
      <c r="H211" t="s">
        <v>20</v>
      </c>
      <c r="I211">
        <v>0</v>
      </c>
      <c r="J211" t="s">
        <v>29</v>
      </c>
      <c r="K211" t="s">
        <v>47</v>
      </c>
      <c r="L211">
        <v>7076.39</v>
      </c>
    </row>
    <row r="212" spans="1:12" x14ac:dyDescent="0.25">
      <c r="A212" t="s">
        <v>239</v>
      </c>
      <c r="B212">
        <v>71</v>
      </c>
      <c r="C212" t="s">
        <v>24</v>
      </c>
      <c r="D212" t="s">
        <v>40</v>
      </c>
      <c r="E212" s="2">
        <v>46010</v>
      </c>
      <c r="F212" s="2">
        <v>46011</v>
      </c>
      <c r="G212">
        <v>1</v>
      </c>
      <c r="H212" t="s">
        <v>15</v>
      </c>
      <c r="I212">
        <v>7</v>
      </c>
      <c r="J212" t="s">
        <v>25</v>
      </c>
      <c r="K212" t="s">
        <v>17</v>
      </c>
      <c r="L212">
        <v>2583.1999999999998</v>
      </c>
    </row>
    <row r="213" spans="1:12" x14ac:dyDescent="0.25">
      <c r="A213" t="s">
        <v>240</v>
      </c>
      <c r="B213">
        <v>62</v>
      </c>
      <c r="C213" t="s">
        <v>24</v>
      </c>
      <c r="D213" t="s">
        <v>14</v>
      </c>
      <c r="E213" s="2">
        <v>45821</v>
      </c>
      <c r="F213" s="2">
        <v>45833</v>
      </c>
      <c r="G213">
        <v>12</v>
      </c>
      <c r="H213" t="s">
        <v>20</v>
      </c>
      <c r="I213">
        <v>0</v>
      </c>
      <c r="J213" t="s">
        <v>25</v>
      </c>
      <c r="K213" t="s">
        <v>17</v>
      </c>
      <c r="L213">
        <v>8643.94</v>
      </c>
    </row>
    <row r="214" spans="1:12" x14ac:dyDescent="0.25">
      <c r="A214" t="s">
        <v>241</v>
      </c>
      <c r="B214">
        <v>52</v>
      </c>
      <c r="C214" t="s">
        <v>24</v>
      </c>
      <c r="D214" t="s">
        <v>14</v>
      </c>
      <c r="E214" s="2">
        <v>45821</v>
      </c>
      <c r="F214" s="2">
        <v>45825</v>
      </c>
      <c r="G214">
        <v>4</v>
      </c>
      <c r="H214" t="s">
        <v>20</v>
      </c>
      <c r="I214">
        <v>0</v>
      </c>
      <c r="J214" t="s">
        <v>21</v>
      </c>
      <c r="K214" t="s">
        <v>22</v>
      </c>
      <c r="L214">
        <v>1233.78</v>
      </c>
    </row>
    <row r="215" spans="1:12" x14ac:dyDescent="0.25">
      <c r="A215" t="s">
        <v>242</v>
      </c>
      <c r="B215">
        <v>49</v>
      </c>
      <c r="C215" t="s">
        <v>13</v>
      </c>
      <c r="D215" t="s">
        <v>32</v>
      </c>
      <c r="E215" s="2">
        <v>45854</v>
      </c>
      <c r="F215" s="2">
        <v>45868</v>
      </c>
      <c r="G215">
        <v>14</v>
      </c>
      <c r="H215" t="s">
        <v>20</v>
      </c>
      <c r="I215">
        <v>0</v>
      </c>
      <c r="J215" t="s">
        <v>25</v>
      </c>
      <c r="K215" t="s">
        <v>22</v>
      </c>
      <c r="L215">
        <v>11565.26</v>
      </c>
    </row>
    <row r="216" spans="1:12" x14ac:dyDescent="0.25">
      <c r="A216" t="s">
        <v>243</v>
      </c>
      <c r="B216">
        <v>57</v>
      </c>
      <c r="C216" t="s">
        <v>24</v>
      </c>
      <c r="D216" t="s">
        <v>19</v>
      </c>
      <c r="E216" s="2">
        <v>45913</v>
      </c>
      <c r="F216" s="2">
        <v>45922</v>
      </c>
      <c r="G216">
        <v>9</v>
      </c>
      <c r="H216" t="s">
        <v>20</v>
      </c>
      <c r="I216">
        <v>0</v>
      </c>
      <c r="J216" t="s">
        <v>16</v>
      </c>
      <c r="K216" t="s">
        <v>47</v>
      </c>
      <c r="L216">
        <v>7828.94</v>
      </c>
    </row>
    <row r="217" spans="1:12" x14ac:dyDescent="0.25">
      <c r="A217" t="s">
        <v>244</v>
      </c>
      <c r="B217">
        <v>24</v>
      </c>
      <c r="C217" t="s">
        <v>13</v>
      </c>
      <c r="D217" t="s">
        <v>32</v>
      </c>
      <c r="E217" s="2">
        <v>45781</v>
      </c>
      <c r="F217" s="2">
        <v>45785</v>
      </c>
      <c r="G217">
        <v>4</v>
      </c>
      <c r="H217" t="s">
        <v>20</v>
      </c>
      <c r="I217">
        <v>0</v>
      </c>
      <c r="J217" t="s">
        <v>29</v>
      </c>
      <c r="K217" t="s">
        <v>17</v>
      </c>
      <c r="L217">
        <v>13293.92</v>
      </c>
    </row>
    <row r="218" spans="1:12" x14ac:dyDescent="0.25">
      <c r="A218" t="s">
        <v>245</v>
      </c>
      <c r="B218">
        <v>86</v>
      </c>
      <c r="C218" t="s">
        <v>13</v>
      </c>
      <c r="D218" t="s">
        <v>19</v>
      </c>
      <c r="E218" s="2">
        <v>45992</v>
      </c>
      <c r="F218" s="2">
        <v>46003</v>
      </c>
      <c r="G218">
        <v>11</v>
      </c>
      <c r="H218" t="s">
        <v>20</v>
      </c>
      <c r="I218">
        <v>0</v>
      </c>
      <c r="J218" t="s">
        <v>29</v>
      </c>
      <c r="K218" t="s">
        <v>22</v>
      </c>
      <c r="L218">
        <v>13295.61</v>
      </c>
    </row>
    <row r="219" spans="1:12" x14ac:dyDescent="0.25">
      <c r="A219" t="s">
        <v>246</v>
      </c>
      <c r="B219">
        <v>23</v>
      </c>
      <c r="C219" t="s">
        <v>24</v>
      </c>
      <c r="D219" t="s">
        <v>19</v>
      </c>
      <c r="E219" s="2">
        <v>45845</v>
      </c>
      <c r="F219" s="2">
        <v>45858</v>
      </c>
      <c r="G219">
        <v>13</v>
      </c>
      <c r="H219" t="s">
        <v>20</v>
      </c>
      <c r="I219">
        <v>0</v>
      </c>
      <c r="J219" t="s">
        <v>21</v>
      </c>
      <c r="K219" t="s">
        <v>47</v>
      </c>
      <c r="L219">
        <v>8521.73</v>
      </c>
    </row>
    <row r="220" spans="1:12" x14ac:dyDescent="0.25">
      <c r="A220" t="s">
        <v>247</v>
      </c>
      <c r="B220">
        <v>88</v>
      </c>
      <c r="C220" t="s">
        <v>24</v>
      </c>
      <c r="D220" t="s">
        <v>34</v>
      </c>
      <c r="E220" s="2">
        <v>45695</v>
      </c>
      <c r="F220" s="2">
        <v>45702</v>
      </c>
      <c r="G220">
        <v>7</v>
      </c>
      <c r="H220" t="s">
        <v>20</v>
      </c>
      <c r="I220">
        <v>0</v>
      </c>
      <c r="J220" t="s">
        <v>16</v>
      </c>
      <c r="K220" t="s">
        <v>22</v>
      </c>
      <c r="L220">
        <v>14638.7</v>
      </c>
    </row>
    <row r="221" spans="1:12" x14ac:dyDescent="0.25">
      <c r="A221" t="s">
        <v>248</v>
      </c>
      <c r="B221">
        <v>61</v>
      </c>
      <c r="C221" t="s">
        <v>24</v>
      </c>
      <c r="D221" t="s">
        <v>14</v>
      </c>
      <c r="E221" s="2">
        <v>45859</v>
      </c>
      <c r="F221" s="2">
        <v>45865</v>
      </c>
      <c r="G221">
        <v>6</v>
      </c>
      <c r="H221" t="s">
        <v>20</v>
      </c>
      <c r="I221">
        <v>0</v>
      </c>
      <c r="J221" t="s">
        <v>21</v>
      </c>
      <c r="K221" t="s">
        <v>17</v>
      </c>
      <c r="L221">
        <v>7882.28</v>
      </c>
    </row>
    <row r="222" spans="1:12" x14ac:dyDescent="0.25">
      <c r="A222" t="s">
        <v>249</v>
      </c>
      <c r="B222">
        <v>35</v>
      </c>
      <c r="C222" t="s">
        <v>24</v>
      </c>
      <c r="D222" t="s">
        <v>40</v>
      </c>
      <c r="E222" s="2">
        <v>45914</v>
      </c>
      <c r="F222" s="2">
        <v>45915</v>
      </c>
      <c r="G222">
        <v>1</v>
      </c>
      <c r="H222" t="s">
        <v>15</v>
      </c>
      <c r="I222">
        <v>17</v>
      </c>
      <c r="J222" t="s">
        <v>29</v>
      </c>
      <c r="K222" t="s">
        <v>22</v>
      </c>
      <c r="L222">
        <v>9290.7800000000007</v>
      </c>
    </row>
    <row r="223" spans="1:12" x14ac:dyDescent="0.25">
      <c r="A223" t="s">
        <v>250</v>
      </c>
      <c r="B223">
        <v>58</v>
      </c>
      <c r="C223" t="s">
        <v>13</v>
      </c>
      <c r="D223" t="s">
        <v>40</v>
      </c>
      <c r="E223" s="2">
        <v>45921</v>
      </c>
      <c r="F223" s="2">
        <v>45924</v>
      </c>
      <c r="G223">
        <v>3</v>
      </c>
      <c r="H223" t="s">
        <v>20</v>
      </c>
      <c r="I223">
        <v>0</v>
      </c>
      <c r="J223" t="s">
        <v>25</v>
      </c>
      <c r="K223" t="s">
        <v>17</v>
      </c>
      <c r="L223">
        <v>5377.42</v>
      </c>
    </row>
    <row r="224" spans="1:12" x14ac:dyDescent="0.25">
      <c r="A224" t="s">
        <v>251</v>
      </c>
      <c r="B224">
        <v>90</v>
      </c>
      <c r="C224" t="s">
        <v>24</v>
      </c>
      <c r="D224" t="s">
        <v>40</v>
      </c>
      <c r="E224" s="2">
        <v>45918</v>
      </c>
      <c r="F224" s="2">
        <v>45927</v>
      </c>
      <c r="G224">
        <v>9</v>
      </c>
      <c r="H224" t="s">
        <v>20</v>
      </c>
      <c r="I224">
        <v>0</v>
      </c>
      <c r="J224" t="s">
        <v>16</v>
      </c>
      <c r="K224" t="s">
        <v>47</v>
      </c>
      <c r="L224">
        <v>5302.97</v>
      </c>
    </row>
    <row r="225" spans="1:12" x14ac:dyDescent="0.25">
      <c r="A225" t="s">
        <v>252</v>
      </c>
      <c r="B225">
        <v>21</v>
      </c>
      <c r="C225" t="s">
        <v>24</v>
      </c>
      <c r="D225" t="s">
        <v>32</v>
      </c>
      <c r="E225" s="2">
        <v>45714</v>
      </c>
      <c r="F225" s="2">
        <v>45721</v>
      </c>
      <c r="G225">
        <v>7</v>
      </c>
      <c r="H225" t="s">
        <v>20</v>
      </c>
      <c r="I225">
        <v>0</v>
      </c>
      <c r="J225" t="s">
        <v>21</v>
      </c>
      <c r="K225" t="s">
        <v>17</v>
      </c>
      <c r="L225">
        <v>1244.6500000000001</v>
      </c>
    </row>
    <row r="226" spans="1:12" x14ac:dyDescent="0.25">
      <c r="A226" t="s">
        <v>253</v>
      </c>
      <c r="B226">
        <v>66</v>
      </c>
      <c r="C226" t="s">
        <v>13</v>
      </c>
      <c r="D226" t="s">
        <v>28</v>
      </c>
      <c r="E226" s="2">
        <v>45903</v>
      </c>
      <c r="F226" s="2">
        <v>45906</v>
      </c>
      <c r="G226">
        <v>3</v>
      </c>
      <c r="H226" t="s">
        <v>20</v>
      </c>
      <c r="I226">
        <v>0</v>
      </c>
      <c r="J226" t="s">
        <v>21</v>
      </c>
      <c r="K226" t="s">
        <v>22</v>
      </c>
      <c r="L226">
        <v>8802.27</v>
      </c>
    </row>
    <row r="227" spans="1:12" x14ac:dyDescent="0.25">
      <c r="A227" t="s">
        <v>254</v>
      </c>
      <c r="B227">
        <v>74</v>
      </c>
      <c r="C227" t="s">
        <v>24</v>
      </c>
      <c r="D227" t="s">
        <v>40</v>
      </c>
      <c r="E227" s="2">
        <v>46016</v>
      </c>
      <c r="F227" s="2">
        <v>46018</v>
      </c>
      <c r="G227">
        <v>2</v>
      </c>
      <c r="H227" t="s">
        <v>15</v>
      </c>
      <c r="I227">
        <v>5</v>
      </c>
      <c r="J227" t="s">
        <v>29</v>
      </c>
      <c r="K227" t="s">
        <v>17</v>
      </c>
      <c r="L227">
        <v>3456.43</v>
      </c>
    </row>
    <row r="228" spans="1:12" x14ac:dyDescent="0.25">
      <c r="A228" t="s">
        <v>255</v>
      </c>
      <c r="B228">
        <v>78</v>
      </c>
      <c r="C228" t="s">
        <v>13</v>
      </c>
      <c r="D228" t="s">
        <v>28</v>
      </c>
      <c r="E228" s="2">
        <v>45914</v>
      </c>
      <c r="F228" s="2">
        <v>45927</v>
      </c>
      <c r="G228">
        <v>13</v>
      </c>
      <c r="H228" t="s">
        <v>20</v>
      </c>
      <c r="I228">
        <v>0</v>
      </c>
      <c r="J228" t="s">
        <v>21</v>
      </c>
      <c r="K228" t="s">
        <v>17</v>
      </c>
      <c r="L228">
        <v>3506.45</v>
      </c>
    </row>
    <row r="229" spans="1:12" x14ac:dyDescent="0.25">
      <c r="A229" t="s">
        <v>256</v>
      </c>
      <c r="B229">
        <v>66</v>
      </c>
      <c r="C229" t="s">
        <v>24</v>
      </c>
      <c r="D229" t="s">
        <v>14</v>
      </c>
      <c r="E229" s="2">
        <v>45824</v>
      </c>
      <c r="F229" s="2">
        <v>45835</v>
      </c>
      <c r="G229">
        <v>11</v>
      </c>
      <c r="H229" t="s">
        <v>20</v>
      </c>
      <c r="I229">
        <v>0</v>
      </c>
      <c r="J229" t="s">
        <v>29</v>
      </c>
      <c r="K229" t="s">
        <v>17</v>
      </c>
      <c r="L229">
        <v>5463.74</v>
      </c>
    </row>
    <row r="230" spans="1:12" x14ac:dyDescent="0.25">
      <c r="A230" t="s">
        <v>257</v>
      </c>
      <c r="B230">
        <v>51</v>
      </c>
      <c r="C230" t="s">
        <v>24</v>
      </c>
      <c r="D230" t="s">
        <v>14</v>
      </c>
      <c r="E230" s="2">
        <v>45839</v>
      </c>
      <c r="F230" s="2">
        <v>45850</v>
      </c>
      <c r="G230">
        <v>11</v>
      </c>
      <c r="H230" t="s">
        <v>20</v>
      </c>
      <c r="I230">
        <v>0</v>
      </c>
      <c r="J230" t="s">
        <v>21</v>
      </c>
      <c r="K230" t="s">
        <v>47</v>
      </c>
      <c r="L230">
        <v>8592.26</v>
      </c>
    </row>
    <row r="231" spans="1:12" x14ac:dyDescent="0.25">
      <c r="A231" t="s">
        <v>258</v>
      </c>
      <c r="B231">
        <v>44</v>
      </c>
      <c r="C231" t="s">
        <v>24</v>
      </c>
      <c r="D231" t="s">
        <v>32</v>
      </c>
      <c r="E231" s="2">
        <v>45773</v>
      </c>
      <c r="F231" s="2">
        <v>45778</v>
      </c>
      <c r="G231">
        <v>5</v>
      </c>
      <c r="H231" t="s">
        <v>20</v>
      </c>
      <c r="I231">
        <v>0</v>
      </c>
      <c r="J231" t="s">
        <v>29</v>
      </c>
      <c r="K231" t="s">
        <v>47</v>
      </c>
      <c r="L231">
        <v>8627.07</v>
      </c>
    </row>
    <row r="232" spans="1:12" x14ac:dyDescent="0.25">
      <c r="A232" t="s">
        <v>259</v>
      </c>
      <c r="B232">
        <v>87</v>
      </c>
      <c r="C232" t="s">
        <v>24</v>
      </c>
      <c r="D232" t="s">
        <v>40</v>
      </c>
      <c r="E232" s="2">
        <v>45798</v>
      </c>
      <c r="F232" s="2">
        <v>45803</v>
      </c>
      <c r="G232">
        <v>5</v>
      </c>
      <c r="H232" t="s">
        <v>15</v>
      </c>
      <c r="I232">
        <v>27</v>
      </c>
      <c r="J232" t="s">
        <v>25</v>
      </c>
      <c r="K232" t="s">
        <v>22</v>
      </c>
      <c r="L232">
        <v>4711.5600000000004</v>
      </c>
    </row>
    <row r="233" spans="1:12" x14ac:dyDescent="0.25">
      <c r="A233" t="s">
        <v>260</v>
      </c>
      <c r="B233">
        <v>74</v>
      </c>
      <c r="C233" t="s">
        <v>24</v>
      </c>
      <c r="D233" t="s">
        <v>28</v>
      </c>
      <c r="E233" s="2">
        <v>45805</v>
      </c>
      <c r="F233" s="2">
        <v>45817</v>
      </c>
      <c r="G233">
        <v>12</v>
      </c>
      <c r="H233" t="s">
        <v>15</v>
      </c>
      <c r="I233">
        <v>16</v>
      </c>
      <c r="J233" t="s">
        <v>21</v>
      </c>
      <c r="K233" t="s">
        <v>22</v>
      </c>
      <c r="L233">
        <v>12505.3</v>
      </c>
    </row>
    <row r="234" spans="1:12" x14ac:dyDescent="0.25">
      <c r="A234" t="s">
        <v>261</v>
      </c>
      <c r="B234">
        <v>35</v>
      </c>
      <c r="C234" t="s">
        <v>13</v>
      </c>
      <c r="D234" t="s">
        <v>34</v>
      </c>
      <c r="E234" s="2">
        <v>45796</v>
      </c>
      <c r="F234" s="2">
        <v>45805</v>
      </c>
      <c r="G234">
        <v>9</v>
      </c>
      <c r="H234" t="s">
        <v>20</v>
      </c>
      <c r="I234">
        <v>0</v>
      </c>
      <c r="J234" t="s">
        <v>21</v>
      </c>
      <c r="K234" t="s">
        <v>22</v>
      </c>
      <c r="L234">
        <v>1236.0999999999999</v>
      </c>
    </row>
    <row r="235" spans="1:12" x14ac:dyDescent="0.25">
      <c r="A235" t="s">
        <v>262</v>
      </c>
      <c r="B235">
        <v>24</v>
      </c>
      <c r="C235" t="s">
        <v>13</v>
      </c>
      <c r="D235" t="s">
        <v>40</v>
      </c>
      <c r="E235" s="2">
        <v>45929</v>
      </c>
      <c r="F235" s="2">
        <v>45933</v>
      </c>
      <c r="G235">
        <v>4</v>
      </c>
      <c r="H235" t="s">
        <v>20</v>
      </c>
      <c r="I235">
        <v>0</v>
      </c>
      <c r="J235" t="s">
        <v>25</v>
      </c>
      <c r="K235" t="s">
        <v>17</v>
      </c>
      <c r="L235">
        <v>7349.86</v>
      </c>
    </row>
    <row r="236" spans="1:12" x14ac:dyDescent="0.25">
      <c r="A236" t="s">
        <v>263</v>
      </c>
      <c r="B236">
        <v>88</v>
      </c>
      <c r="C236" t="s">
        <v>13</v>
      </c>
      <c r="D236" t="s">
        <v>40</v>
      </c>
      <c r="E236" s="2">
        <v>46006</v>
      </c>
      <c r="F236" s="2">
        <v>46019</v>
      </c>
      <c r="G236">
        <v>13</v>
      </c>
      <c r="H236" t="s">
        <v>15</v>
      </c>
      <c r="I236">
        <v>21</v>
      </c>
      <c r="J236" t="s">
        <v>29</v>
      </c>
      <c r="K236" t="s">
        <v>47</v>
      </c>
      <c r="L236">
        <v>9932.81</v>
      </c>
    </row>
    <row r="237" spans="1:12" x14ac:dyDescent="0.25">
      <c r="A237" t="s">
        <v>264</v>
      </c>
      <c r="B237">
        <v>25</v>
      </c>
      <c r="C237" t="s">
        <v>13</v>
      </c>
      <c r="D237" t="s">
        <v>28</v>
      </c>
      <c r="E237" s="2">
        <v>45805</v>
      </c>
      <c r="F237" s="2">
        <v>45811</v>
      </c>
      <c r="G237">
        <v>6</v>
      </c>
      <c r="H237" t="s">
        <v>15</v>
      </c>
      <c r="I237">
        <v>19</v>
      </c>
      <c r="J237" t="s">
        <v>21</v>
      </c>
      <c r="K237" t="s">
        <v>17</v>
      </c>
      <c r="L237">
        <v>11210.95</v>
      </c>
    </row>
    <row r="238" spans="1:12" x14ac:dyDescent="0.25">
      <c r="A238" t="s">
        <v>265</v>
      </c>
      <c r="B238">
        <v>40</v>
      </c>
      <c r="C238" t="s">
        <v>13</v>
      </c>
      <c r="D238" t="s">
        <v>40</v>
      </c>
      <c r="E238" s="2">
        <v>45677</v>
      </c>
      <c r="F238" s="2">
        <v>45680</v>
      </c>
      <c r="G238">
        <v>3</v>
      </c>
      <c r="H238" t="s">
        <v>20</v>
      </c>
      <c r="I238">
        <v>0</v>
      </c>
      <c r="J238" t="s">
        <v>29</v>
      </c>
      <c r="K238" t="s">
        <v>22</v>
      </c>
      <c r="L238">
        <v>14080.83</v>
      </c>
    </row>
    <row r="239" spans="1:12" x14ac:dyDescent="0.25">
      <c r="A239" t="s">
        <v>266</v>
      </c>
      <c r="B239">
        <v>90</v>
      </c>
      <c r="C239" t="s">
        <v>13</v>
      </c>
      <c r="D239" t="s">
        <v>32</v>
      </c>
      <c r="E239" s="2">
        <v>45806</v>
      </c>
      <c r="F239" s="2">
        <v>45807</v>
      </c>
      <c r="G239">
        <v>1</v>
      </c>
      <c r="H239" t="s">
        <v>15</v>
      </c>
      <c r="I239">
        <v>10</v>
      </c>
      <c r="J239" t="s">
        <v>29</v>
      </c>
      <c r="K239" t="s">
        <v>17</v>
      </c>
      <c r="L239">
        <v>8377.86</v>
      </c>
    </row>
    <row r="240" spans="1:12" x14ac:dyDescent="0.25">
      <c r="A240" t="s">
        <v>267</v>
      </c>
      <c r="B240">
        <v>77</v>
      </c>
      <c r="C240" t="s">
        <v>24</v>
      </c>
      <c r="D240" t="s">
        <v>14</v>
      </c>
      <c r="E240" s="2">
        <v>45910</v>
      </c>
      <c r="F240" s="2">
        <v>45913</v>
      </c>
      <c r="G240">
        <v>3</v>
      </c>
      <c r="H240" t="s">
        <v>20</v>
      </c>
      <c r="I240">
        <v>0</v>
      </c>
      <c r="J240" t="s">
        <v>16</v>
      </c>
      <c r="K240" t="s">
        <v>47</v>
      </c>
      <c r="L240">
        <v>2856.17</v>
      </c>
    </row>
    <row r="241" spans="1:12" x14ac:dyDescent="0.25">
      <c r="A241" t="s">
        <v>268</v>
      </c>
      <c r="B241">
        <v>41</v>
      </c>
      <c r="C241" t="s">
        <v>13</v>
      </c>
      <c r="D241" t="s">
        <v>28</v>
      </c>
      <c r="E241" s="2">
        <v>45892</v>
      </c>
      <c r="F241" s="2">
        <v>45903</v>
      </c>
      <c r="G241">
        <v>11</v>
      </c>
      <c r="H241" t="s">
        <v>15</v>
      </c>
      <c r="I241">
        <v>11</v>
      </c>
      <c r="J241" t="s">
        <v>25</v>
      </c>
      <c r="K241" t="s">
        <v>17</v>
      </c>
      <c r="L241">
        <v>10278.82</v>
      </c>
    </row>
    <row r="242" spans="1:12" x14ac:dyDescent="0.25">
      <c r="A242" t="s">
        <v>269</v>
      </c>
      <c r="B242">
        <v>69</v>
      </c>
      <c r="C242" t="s">
        <v>24</v>
      </c>
      <c r="D242" t="s">
        <v>34</v>
      </c>
      <c r="E242" s="2">
        <v>45756</v>
      </c>
      <c r="F242" s="2">
        <v>45759</v>
      </c>
      <c r="G242">
        <v>3</v>
      </c>
      <c r="H242" t="s">
        <v>20</v>
      </c>
      <c r="I242">
        <v>0</v>
      </c>
      <c r="J242" t="s">
        <v>25</v>
      </c>
      <c r="K242" t="s">
        <v>22</v>
      </c>
      <c r="L242">
        <v>6312.08</v>
      </c>
    </row>
    <row r="243" spans="1:12" x14ac:dyDescent="0.25">
      <c r="A243" t="s">
        <v>270</v>
      </c>
      <c r="B243">
        <v>79</v>
      </c>
      <c r="C243" t="s">
        <v>24</v>
      </c>
      <c r="D243" t="s">
        <v>14</v>
      </c>
      <c r="E243" s="2">
        <v>45706</v>
      </c>
      <c r="F243" s="2">
        <v>45709</v>
      </c>
      <c r="G243">
        <v>3</v>
      </c>
      <c r="H243" t="s">
        <v>20</v>
      </c>
      <c r="I243">
        <v>0</v>
      </c>
      <c r="J243" t="s">
        <v>16</v>
      </c>
      <c r="K243" t="s">
        <v>47</v>
      </c>
      <c r="L243">
        <v>6061.83</v>
      </c>
    </row>
    <row r="244" spans="1:12" x14ac:dyDescent="0.25">
      <c r="A244" t="s">
        <v>271</v>
      </c>
      <c r="B244">
        <v>60</v>
      </c>
      <c r="C244" t="s">
        <v>24</v>
      </c>
      <c r="D244" t="s">
        <v>34</v>
      </c>
      <c r="E244" s="2">
        <v>45886</v>
      </c>
      <c r="F244" s="2">
        <v>45899</v>
      </c>
      <c r="G244">
        <v>13</v>
      </c>
      <c r="H244" t="s">
        <v>15</v>
      </c>
      <c r="I244">
        <v>24</v>
      </c>
      <c r="J244" t="s">
        <v>16</v>
      </c>
      <c r="K244" t="s">
        <v>47</v>
      </c>
      <c r="L244">
        <v>9978.41</v>
      </c>
    </row>
    <row r="245" spans="1:12" x14ac:dyDescent="0.25">
      <c r="A245" t="s">
        <v>272</v>
      </c>
      <c r="B245">
        <v>33</v>
      </c>
      <c r="C245" t="s">
        <v>24</v>
      </c>
      <c r="D245" t="s">
        <v>32</v>
      </c>
      <c r="E245" s="2">
        <v>46012</v>
      </c>
      <c r="F245" s="2">
        <v>46016</v>
      </c>
      <c r="G245">
        <v>4</v>
      </c>
      <c r="H245" t="s">
        <v>15</v>
      </c>
      <c r="I245">
        <v>6</v>
      </c>
      <c r="J245" t="s">
        <v>29</v>
      </c>
      <c r="K245" t="s">
        <v>17</v>
      </c>
      <c r="L245">
        <v>7786.55</v>
      </c>
    </row>
    <row r="246" spans="1:12" x14ac:dyDescent="0.25">
      <c r="A246" t="s">
        <v>273</v>
      </c>
      <c r="B246">
        <v>33</v>
      </c>
      <c r="C246" t="s">
        <v>24</v>
      </c>
      <c r="D246" t="s">
        <v>32</v>
      </c>
      <c r="E246" s="2">
        <v>46018</v>
      </c>
      <c r="F246" s="2">
        <v>46031</v>
      </c>
      <c r="G246">
        <v>13</v>
      </c>
      <c r="H246" t="s">
        <v>20</v>
      </c>
      <c r="I246">
        <v>0</v>
      </c>
      <c r="J246" t="s">
        <v>21</v>
      </c>
      <c r="K246" t="s">
        <v>22</v>
      </c>
      <c r="L246">
        <v>14381.73</v>
      </c>
    </row>
    <row r="247" spans="1:12" x14ac:dyDescent="0.25">
      <c r="A247" t="s">
        <v>274</v>
      </c>
      <c r="B247">
        <v>65</v>
      </c>
      <c r="C247" t="s">
        <v>24</v>
      </c>
      <c r="D247" t="s">
        <v>28</v>
      </c>
      <c r="E247" s="2">
        <v>45902</v>
      </c>
      <c r="F247" s="2">
        <v>45905</v>
      </c>
      <c r="G247">
        <v>3</v>
      </c>
      <c r="H247" t="s">
        <v>20</v>
      </c>
      <c r="I247">
        <v>0</v>
      </c>
      <c r="J247" t="s">
        <v>29</v>
      </c>
      <c r="K247" t="s">
        <v>17</v>
      </c>
      <c r="L247">
        <v>12128.93</v>
      </c>
    </row>
    <row r="248" spans="1:12" x14ac:dyDescent="0.25">
      <c r="A248" t="s">
        <v>275</v>
      </c>
      <c r="B248">
        <v>28</v>
      </c>
      <c r="C248" t="s">
        <v>24</v>
      </c>
      <c r="D248" t="s">
        <v>34</v>
      </c>
      <c r="E248" s="2">
        <v>45769</v>
      </c>
      <c r="F248" s="2">
        <v>45782</v>
      </c>
      <c r="G248">
        <v>13</v>
      </c>
      <c r="H248" t="s">
        <v>15</v>
      </c>
      <c r="I248">
        <v>23</v>
      </c>
      <c r="J248" t="s">
        <v>25</v>
      </c>
      <c r="K248" t="s">
        <v>22</v>
      </c>
      <c r="L248">
        <v>13800.05</v>
      </c>
    </row>
    <row r="249" spans="1:12" x14ac:dyDescent="0.25">
      <c r="A249" t="s">
        <v>276</v>
      </c>
      <c r="B249">
        <v>82</v>
      </c>
      <c r="C249" t="s">
        <v>13</v>
      </c>
      <c r="D249" t="s">
        <v>34</v>
      </c>
      <c r="E249" s="2">
        <v>45715</v>
      </c>
      <c r="F249" s="2">
        <v>45716</v>
      </c>
      <c r="G249">
        <v>1</v>
      </c>
      <c r="H249" t="s">
        <v>20</v>
      </c>
      <c r="I249">
        <v>0</v>
      </c>
      <c r="J249" t="s">
        <v>21</v>
      </c>
      <c r="K249" t="s">
        <v>22</v>
      </c>
      <c r="L249">
        <v>5257.71</v>
      </c>
    </row>
    <row r="250" spans="1:12" x14ac:dyDescent="0.25">
      <c r="A250" t="s">
        <v>277</v>
      </c>
      <c r="B250">
        <v>44</v>
      </c>
      <c r="C250" t="s">
        <v>24</v>
      </c>
      <c r="D250" t="s">
        <v>19</v>
      </c>
      <c r="E250" s="2">
        <v>45924</v>
      </c>
      <c r="F250" s="2">
        <v>45932</v>
      </c>
      <c r="G250">
        <v>8</v>
      </c>
      <c r="H250" t="s">
        <v>15</v>
      </c>
      <c r="I250">
        <v>29</v>
      </c>
      <c r="J250" t="s">
        <v>29</v>
      </c>
      <c r="K250" t="s">
        <v>22</v>
      </c>
      <c r="L250">
        <v>7074.77</v>
      </c>
    </row>
    <row r="251" spans="1:12" x14ac:dyDescent="0.25">
      <c r="A251" t="s">
        <v>278</v>
      </c>
      <c r="B251">
        <v>25</v>
      </c>
      <c r="C251" t="s">
        <v>24</v>
      </c>
      <c r="D251" t="s">
        <v>28</v>
      </c>
      <c r="E251" s="2">
        <v>45920</v>
      </c>
      <c r="F251" s="2">
        <v>45927</v>
      </c>
      <c r="G251">
        <v>7</v>
      </c>
      <c r="H251" t="s">
        <v>20</v>
      </c>
      <c r="I251">
        <v>0</v>
      </c>
      <c r="J251" t="s">
        <v>25</v>
      </c>
      <c r="K251" t="s">
        <v>17</v>
      </c>
      <c r="L251">
        <v>815.67</v>
      </c>
    </row>
    <row r="252" spans="1:12" x14ac:dyDescent="0.25">
      <c r="A252" t="s">
        <v>279</v>
      </c>
      <c r="B252">
        <v>45</v>
      </c>
      <c r="C252" t="s">
        <v>13</v>
      </c>
      <c r="D252" t="s">
        <v>19</v>
      </c>
      <c r="E252" s="2">
        <v>45788</v>
      </c>
      <c r="F252" s="2">
        <v>45802</v>
      </c>
      <c r="G252">
        <v>14</v>
      </c>
      <c r="H252" t="s">
        <v>15</v>
      </c>
      <c r="I252">
        <v>14</v>
      </c>
      <c r="J252" t="s">
        <v>25</v>
      </c>
      <c r="K252" t="s">
        <v>17</v>
      </c>
      <c r="L252">
        <v>1424.52</v>
      </c>
    </row>
    <row r="253" spans="1:12" x14ac:dyDescent="0.25">
      <c r="A253" t="s">
        <v>280</v>
      </c>
      <c r="B253">
        <v>78</v>
      </c>
      <c r="C253" t="s">
        <v>13</v>
      </c>
      <c r="D253" t="s">
        <v>32</v>
      </c>
      <c r="E253" s="2">
        <v>45688</v>
      </c>
      <c r="F253" s="2">
        <v>45690</v>
      </c>
      <c r="G253">
        <v>2</v>
      </c>
      <c r="H253" t="s">
        <v>20</v>
      </c>
      <c r="I253">
        <v>0</v>
      </c>
      <c r="J253" t="s">
        <v>29</v>
      </c>
      <c r="K253" t="s">
        <v>22</v>
      </c>
      <c r="L253">
        <v>11650.09</v>
      </c>
    </row>
    <row r="254" spans="1:12" x14ac:dyDescent="0.25">
      <c r="A254" t="s">
        <v>281</v>
      </c>
      <c r="B254">
        <v>71</v>
      </c>
      <c r="C254" t="s">
        <v>24</v>
      </c>
      <c r="D254" t="s">
        <v>40</v>
      </c>
      <c r="E254" s="2">
        <v>45986</v>
      </c>
      <c r="F254" s="2">
        <v>45998</v>
      </c>
      <c r="G254">
        <v>12</v>
      </c>
      <c r="H254" t="s">
        <v>20</v>
      </c>
      <c r="I254">
        <v>0</v>
      </c>
      <c r="J254" t="s">
        <v>29</v>
      </c>
      <c r="K254" t="s">
        <v>47</v>
      </c>
      <c r="L254">
        <v>5946.86</v>
      </c>
    </row>
    <row r="255" spans="1:12" x14ac:dyDescent="0.25">
      <c r="A255" t="s">
        <v>282</v>
      </c>
      <c r="B255">
        <v>35</v>
      </c>
      <c r="C255" t="s">
        <v>24</v>
      </c>
      <c r="D255" t="s">
        <v>19</v>
      </c>
      <c r="E255" s="2">
        <v>46007</v>
      </c>
      <c r="F255" s="2">
        <v>46018</v>
      </c>
      <c r="G255">
        <v>11</v>
      </c>
      <c r="H255" t="s">
        <v>20</v>
      </c>
      <c r="I255">
        <v>0</v>
      </c>
      <c r="J255" t="s">
        <v>21</v>
      </c>
      <c r="K255" t="s">
        <v>17</v>
      </c>
      <c r="L255">
        <v>6199.35</v>
      </c>
    </row>
    <row r="256" spans="1:12" x14ac:dyDescent="0.25">
      <c r="A256" t="s">
        <v>283</v>
      </c>
      <c r="B256">
        <v>18</v>
      </c>
      <c r="C256" t="s">
        <v>13</v>
      </c>
      <c r="D256" t="s">
        <v>32</v>
      </c>
      <c r="E256" s="2">
        <v>45723</v>
      </c>
      <c r="F256" s="2">
        <v>45735</v>
      </c>
      <c r="G256">
        <v>12</v>
      </c>
      <c r="H256" t="s">
        <v>20</v>
      </c>
      <c r="I256">
        <v>0</v>
      </c>
      <c r="J256" t="s">
        <v>29</v>
      </c>
      <c r="K256" t="s">
        <v>17</v>
      </c>
      <c r="L256">
        <v>10926.86</v>
      </c>
    </row>
    <row r="257" spans="1:12" x14ac:dyDescent="0.25">
      <c r="A257" t="s">
        <v>284</v>
      </c>
      <c r="B257">
        <v>47</v>
      </c>
      <c r="C257" t="s">
        <v>13</v>
      </c>
      <c r="D257" t="s">
        <v>40</v>
      </c>
      <c r="E257" s="2">
        <v>45875</v>
      </c>
      <c r="F257" s="2">
        <v>45884</v>
      </c>
      <c r="G257">
        <v>9</v>
      </c>
      <c r="H257" t="s">
        <v>20</v>
      </c>
      <c r="I257">
        <v>0</v>
      </c>
      <c r="J257" t="s">
        <v>25</v>
      </c>
      <c r="K257" t="s">
        <v>22</v>
      </c>
      <c r="L257">
        <v>4496.92</v>
      </c>
    </row>
    <row r="258" spans="1:12" x14ac:dyDescent="0.25">
      <c r="A258" t="s">
        <v>285</v>
      </c>
      <c r="B258">
        <v>71</v>
      </c>
      <c r="C258" t="s">
        <v>13</v>
      </c>
      <c r="D258" t="s">
        <v>14</v>
      </c>
      <c r="E258" s="2">
        <v>45715</v>
      </c>
      <c r="F258" s="2">
        <v>45716</v>
      </c>
      <c r="G258">
        <v>1</v>
      </c>
      <c r="H258" t="s">
        <v>20</v>
      </c>
      <c r="I258">
        <v>0</v>
      </c>
      <c r="J258" t="s">
        <v>21</v>
      </c>
      <c r="K258" t="s">
        <v>22</v>
      </c>
      <c r="L258">
        <v>1963</v>
      </c>
    </row>
    <row r="259" spans="1:12" x14ac:dyDescent="0.25">
      <c r="A259" t="s">
        <v>286</v>
      </c>
      <c r="B259">
        <v>24</v>
      </c>
      <c r="C259" t="s">
        <v>13</v>
      </c>
      <c r="D259" t="s">
        <v>28</v>
      </c>
      <c r="E259" s="2">
        <v>45675</v>
      </c>
      <c r="F259" s="2">
        <v>45683</v>
      </c>
      <c r="G259">
        <v>8</v>
      </c>
      <c r="H259" t="s">
        <v>20</v>
      </c>
      <c r="I259">
        <v>0</v>
      </c>
      <c r="J259" t="s">
        <v>16</v>
      </c>
      <c r="K259" t="s">
        <v>47</v>
      </c>
      <c r="L259">
        <v>6864.96</v>
      </c>
    </row>
    <row r="260" spans="1:12" x14ac:dyDescent="0.25">
      <c r="A260" t="s">
        <v>287</v>
      </c>
      <c r="B260">
        <v>25</v>
      </c>
      <c r="C260" t="s">
        <v>13</v>
      </c>
      <c r="D260" t="s">
        <v>34</v>
      </c>
      <c r="E260" s="2">
        <v>45934</v>
      </c>
      <c r="F260" s="2">
        <v>45938</v>
      </c>
      <c r="G260">
        <v>4</v>
      </c>
      <c r="H260" t="s">
        <v>20</v>
      </c>
      <c r="I260">
        <v>0</v>
      </c>
      <c r="J260" t="s">
        <v>25</v>
      </c>
      <c r="K260" t="s">
        <v>22</v>
      </c>
      <c r="L260">
        <v>12328.9</v>
      </c>
    </row>
    <row r="261" spans="1:12" x14ac:dyDescent="0.25">
      <c r="A261" t="s">
        <v>288</v>
      </c>
      <c r="B261">
        <v>59</v>
      </c>
      <c r="C261" t="s">
        <v>13</v>
      </c>
      <c r="D261" t="s">
        <v>32</v>
      </c>
      <c r="E261" s="2">
        <v>45952</v>
      </c>
      <c r="F261" s="2">
        <v>45958</v>
      </c>
      <c r="G261">
        <v>6</v>
      </c>
      <c r="H261" t="s">
        <v>20</v>
      </c>
      <c r="I261">
        <v>0</v>
      </c>
      <c r="J261" t="s">
        <v>21</v>
      </c>
      <c r="K261" t="s">
        <v>17</v>
      </c>
      <c r="L261">
        <v>8058.14</v>
      </c>
    </row>
    <row r="262" spans="1:12" x14ac:dyDescent="0.25">
      <c r="A262" t="s">
        <v>289</v>
      </c>
      <c r="B262">
        <v>89</v>
      </c>
      <c r="C262" t="s">
        <v>13</v>
      </c>
      <c r="D262" t="s">
        <v>28</v>
      </c>
      <c r="E262" s="2">
        <v>45869</v>
      </c>
      <c r="F262" s="2">
        <v>45874</v>
      </c>
      <c r="G262">
        <v>5</v>
      </c>
      <c r="H262" t="s">
        <v>15</v>
      </c>
      <c r="I262">
        <v>22</v>
      </c>
      <c r="J262" t="s">
        <v>29</v>
      </c>
      <c r="K262" t="s">
        <v>17</v>
      </c>
      <c r="L262">
        <v>7686.5</v>
      </c>
    </row>
    <row r="263" spans="1:12" x14ac:dyDescent="0.25">
      <c r="A263" t="s">
        <v>290</v>
      </c>
      <c r="B263">
        <v>85</v>
      </c>
      <c r="C263" t="s">
        <v>24</v>
      </c>
      <c r="D263" t="s">
        <v>28</v>
      </c>
      <c r="E263" s="2">
        <v>45834</v>
      </c>
      <c r="F263" s="2">
        <v>45845</v>
      </c>
      <c r="G263">
        <v>11</v>
      </c>
      <c r="H263" t="s">
        <v>20</v>
      </c>
      <c r="I263">
        <v>0</v>
      </c>
      <c r="J263" t="s">
        <v>29</v>
      </c>
      <c r="K263" t="s">
        <v>47</v>
      </c>
      <c r="L263">
        <v>2663.66</v>
      </c>
    </row>
    <row r="264" spans="1:12" x14ac:dyDescent="0.25">
      <c r="A264" t="s">
        <v>291</v>
      </c>
      <c r="B264">
        <v>78</v>
      </c>
      <c r="C264" t="s">
        <v>13</v>
      </c>
      <c r="D264" t="s">
        <v>14</v>
      </c>
      <c r="E264" s="2">
        <v>45850</v>
      </c>
      <c r="F264" s="2">
        <v>45853</v>
      </c>
      <c r="G264">
        <v>3</v>
      </c>
      <c r="H264" t="s">
        <v>20</v>
      </c>
      <c r="I264">
        <v>0</v>
      </c>
      <c r="J264" t="s">
        <v>25</v>
      </c>
      <c r="K264" t="s">
        <v>17</v>
      </c>
      <c r="L264">
        <v>2593.1</v>
      </c>
    </row>
    <row r="265" spans="1:12" x14ac:dyDescent="0.25">
      <c r="A265" t="s">
        <v>292</v>
      </c>
      <c r="B265">
        <v>71</v>
      </c>
      <c r="C265" t="s">
        <v>13</v>
      </c>
      <c r="D265" t="s">
        <v>40</v>
      </c>
      <c r="E265" s="2">
        <v>45895</v>
      </c>
      <c r="F265" s="2">
        <v>45896</v>
      </c>
      <c r="G265">
        <v>1</v>
      </c>
      <c r="H265" t="s">
        <v>20</v>
      </c>
      <c r="I265">
        <v>0</v>
      </c>
      <c r="J265" t="s">
        <v>21</v>
      </c>
      <c r="K265" t="s">
        <v>47</v>
      </c>
      <c r="L265">
        <v>3448.38</v>
      </c>
    </row>
    <row r="266" spans="1:12" x14ac:dyDescent="0.25">
      <c r="A266" t="s">
        <v>293</v>
      </c>
      <c r="B266">
        <v>65</v>
      </c>
      <c r="C266" t="s">
        <v>13</v>
      </c>
      <c r="D266" t="s">
        <v>34</v>
      </c>
      <c r="E266" s="2">
        <v>45989</v>
      </c>
      <c r="F266" s="2">
        <v>45991</v>
      </c>
      <c r="G266">
        <v>2</v>
      </c>
      <c r="H266" t="s">
        <v>20</v>
      </c>
      <c r="I266">
        <v>0</v>
      </c>
      <c r="J266" t="s">
        <v>21</v>
      </c>
      <c r="K266" t="s">
        <v>22</v>
      </c>
      <c r="L266">
        <v>4392.6899999999996</v>
      </c>
    </row>
    <row r="267" spans="1:12" x14ac:dyDescent="0.25">
      <c r="A267" t="s">
        <v>294</v>
      </c>
      <c r="B267">
        <v>27</v>
      </c>
      <c r="C267" t="s">
        <v>13</v>
      </c>
      <c r="D267" t="s">
        <v>34</v>
      </c>
      <c r="E267" s="2">
        <v>46002</v>
      </c>
      <c r="F267" s="2">
        <v>46012</v>
      </c>
      <c r="G267">
        <v>10</v>
      </c>
      <c r="H267" t="s">
        <v>20</v>
      </c>
      <c r="I267">
        <v>0</v>
      </c>
      <c r="J267" t="s">
        <v>21</v>
      </c>
      <c r="K267" t="s">
        <v>47</v>
      </c>
      <c r="L267">
        <v>3528.89</v>
      </c>
    </row>
    <row r="268" spans="1:12" x14ac:dyDescent="0.25">
      <c r="A268" t="s">
        <v>295</v>
      </c>
      <c r="B268">
        <v>19</v>
      </c>
      <c r="C268" t="s">
        <v>13</v>
      </c>
      <c r="D268" t="s">
        <v>14</v>
      </c>
      <c r="E268" s="2">
        <v>45828</v>
      </c>
      <c r="F268" s="2">
        <v>45833</v>
      </c>
      <c r="G268">
        <v>5</v>
      </c>
      <c r="H268" t="s">
        <v>20</v>
      </c>
      <c r="I268">
        <v>0</v>
      </c>
      <c r="J268" t="s">
        <v>16</v>
      </c>
      <c r="K268" t="s">
        <v>17</v>
      </c>
      <c r="L268">
        <v>14993.79</v>
      </c>
    </row>
    <row r="269" spans="1:12" x14ac:dyDescent="0.25">
      <c r="A269" t="s">
        <v>296</v>
      </c>
      <c r="B269">
        <v>44</v>
      </c>
      <c r="C269" t="s">
        <v>24</v>
      </c>
      <c r="D269" t="s">
        <v>14</v>
      </c>
      <c r="E269" s="2">
        <v>45903</v>
      </c>
      <c r="F269" s="2">
        <v>45907</v>
      </c>
      <c r="G269">
        <v>4</v>
      </c>
      <c r="H269" t="s">
        <v>20</v>
      </c>
      <c r="I269">
        <v>0</v>
      </c>
      <c r="J269" t="s">
        <v>25</v>
      </c>
      <c r="K269" t="s">
        <v>47</v>
      </c>
      <c r="L269">
        <v>6019.6</v>
      </c>
    </row>
    <row r="270" spans="1:12" x14ac:dyDescent="0.25">
      <c r="A270" t="s">
        <v>297</v>
      </c>
      <c r="B270">
        <v>51</v>
      </c>
      <c r="C270" t="s">
        <v>24</v>
      </c>
      <c r="D270" t="s">
        <v>34</v>
      </c>
      <c r="E270" s="2">
        <v>45931</v>
      </c>
      <c r="F270" s="2">
        <v>45942</v>
      </c>
      <c r="G270">
        <v>11</v>
      </c>
      <c r="H270" t="s">
        <v>20</v>
      </c>
      <c r="I270">
        <v>0</v>
      </c>
      <c r="J270" t="s">
        <v>29</v>
      </c>
      <c r="K270" t="s">
        <v>47</v>
      </c>
      <c r="L270">
        <v>1929.82</v>
      </c>
    </row>
    <row r="271" spans="1:12" x14ac:dyDescent="0.25">
      <c r="A271" t="s">
        <v>298</v>
      </c>
      <c r="B271">
        <v>44</v>
      </c>
      <c r="C271" t="s">
        <v>24</v>
      </c>
      <c r="D271" t="s">
        <v>32</v>
      </c>
      <c r="E271" s="2">
        <v>45898</v>
      </c>
      <c r="F271" s="2">
        <v>45911</v>
      </c>
      <c r="G271">
        <v>13</v>
      </c>
      <c r="H271" t="s">
        <v>20</v>
      </c>
      <c r="I271">
        <v>0</v>
      </c>
      <c r="J271" t="s">
        <v>29</v>
      </c>
      <c r="K271" t="s">
        <v>22</v>
      </c>
      <c r="L271">
        <v>8656.61</v>
      </c>
    </row>
    <row r="272" spans="1:12" x14ac:dyDescent="0.25">
      <c r="A272" t="s">
        <v>299</v>
      </c>
      <c r="B272">
        <v>51</v>
      </c>
      <c r="C272" t="s">
        <v>24</v>
      </c>
      <c r="D272" t="s">
        <v>32</v>
      </c>
      <c r="E272" s="2">
        <v>45771</v>
      </c>
      <c r="F272" s="2">
        <v>45783</v>
      </c>
      <c r="G272">
        <v>12</v>
      </c>
      <c r="H272" t="s">
        <v>15</v>
      </c>
      <c r="I272">
        <v>5</v>
      </c>
      <c r="J272" t="s">
        <v>21</v>
      </c>
      <c r="K272" t="s">
        <v>47</v>
      </c>
      <c r="L272">
        <v>3835.27</v>
      </c>
    </row>
    <row r="273" spans="1:12" x14ac:dyDescent="0.25">
      <c r="A273" t="s">
        <v>300</v>
      </c>
      <c r="B273">
        <v>88</v>
      </c>
      <c r="C273" t="s">
        <v>24</v>
      </c>
      <c r="D273" t="s">
        <v>32</v>
      </c>
      <c r="E273" s="2">
        <v>45949</v>
      </c>
      <c r="F273" s="2">
        <v>45963</v>
      </c>
      <c r="G273">
        <v>14</v>
      </c>
      <c r="H273" t="s">
        <v>15</v>
      </c>
      <c r="I273">
        <v>25</v>
      </c>
      <c r="J273" t="s">
        <v>29</v>
      </c>
      <c r="K273" t="s">
        <v>17</v>
      </c>
      <c r="L273">
        <v>9804.57</v>
      </c>
    </row>
    <row r="274" spans="1:12" x14ac:dyDescent="0.25">
      <c r="A274" t="s">
        <v>301</v>
      </c>
      <c r="B274">
        <v>63</v>
      </c>
      <c r="C274" t="s">
        <v>13</v>
      </c>
      <c r="D274" t="s">
        <v>14</v>
      </c>
      <c r="E274" s="2">
        <v>45909</v>
      </c>
      <c r="F274" s="2">
        <v>45917</v>
      </c>
      <c r="G274">
        <v>8</v>
      </c>
      <c r="H274" t="s">
        <v>15</v>
      </c>
      <c r="I274">
        <v>24</v>
      </c>
      <c r="J274" t="s">
        <v>29</v>
      </c>
      <c r="K274" t="s">
        <v>22</v>
      </c>
      <c r="L274">
        <v>13795.04</v>
      </c>
    </row>
    <row r="275" spans="1:12" x14ac:dyDescent="0.25">
      <c r="A275" t="s">
        <v>302</v>
      </c>
      <c r="B275">
        <v>85</v>
      </c>
      <c r="C275" t="s">
        <v>13</v>
      </c>
      <c r="D275" t="s">
        <v>19</v>
      </c>
      <c r="E275" s="2">
        <v>45935</v>
      </c>
      <c r="F275" s="2">
        <v>45946</v>
      </c>
      <c r="G275">
        <v>11</v>
      </c>
      <c r="H275" t="s">
        <v>20</v>
      </c>
      <c r="I275">
        <v>0</v>
      </c>
      <c r="J275" t="s">
        <v>16</v>
      </c>
      <c r="K275" t="s">
        <v>22</v>
      </c>
      <c r="L275">
        <v>6479.69</v>
      </c>
    </row>
    <row r="276" spans="1:12" x14ac:dyDescent="0.25">
      <c r="A276" t="s">
        <v>303</v>
      </c>
      <c r="B276">
        <v>37</v>
      </c>
      <c r="C276" t="s">
        <v>13</v>
      </c>
      <c r="D276" t="s">
        <v>14</v>
      </c>
      <c r="E276" s="2">
        <v>45980</v>
      </c>
      <c r="F276" s="2">
        <v>45984</v>
      </c>
      <c r="G276">
        <v>4</v>
      </c>
      <c r="H276" t="s">
        <v>15</v>
      </c>
      <c r="I276">
        <v>17</v>
      </c>
      <c r="J276" t="s">
        <v>29</v>
      </c>
      <c r="K276" t="s">
        <v>47</v>
      </c>
      <c r="L276">
        <v>1376.53</v>
      </c>
    </row>
    <row r="277" spans="1:12" x14ac:dyDescent="0.25">
      <c r="A277" t="s">
        <v>304</v>
      </c>
      <c r="B277">
        <v>79</v>
      </c>
      <c r="C277" t="s">
        <v>24</v>
      </c>
      <c r="D277" t="s">
        <v>19</v>
      </c>
      <c r="E277" s="2">
        <v>45984</v>
      </c>
      <c r="F277" s="2">
        <v>45995</v>
      </c>
      <c r="G277">
        <v>11</v>
      </c>
      <c r="H277" t="s">
        <v>20</v>
      </c>
      <c r="I277">
        <v>0</v>
      </c>
      <c r="J277" t="s">
        <v>16</v>
      </c>
      <c r="K277" t="s">
        <v>17</v>
      </c>
      <c r="L277">
        <v>8498.83</v>
      </c>
    </row>
    <row r="278" spans="1:12" x14ac:dyDescent="0.25">
      <c r="A278" t="s">
        <v>305</v>
      </c>
      <c r="B278">
        <v>53</v>
      </c>
      <c r="C278" t="s">
        <v>24</v>
      </c>
      <c r="D278" t="s">
        <v>19</v>
      </c>
      <c r="E278" s="2">
        <v>45664</v>
      </c>
      <c r="F278" s="2">
        <v>45665</v>
      </c>
      <c r="G278">
        <v>1</v>
      </c>
      <c r="H278" t="s">
        <v>20</v>
      </c>
      <c r="I278">
        <v>0</v>
      </c>
      <c r="J278" t="s">
        <v>29</v>
      </c>
      <c r="K278" t="s">
        <v>22</v>
      </c>
      <c r="L278">
        <v>2051.7399999999998</v>
      </c>
    </row>
    <row r="279" spans="1:12" x14ac:dyDescent="0.25">
      <c r="A279" t="s">
        <v>306</v>
      </c>
      <c r="B279">
        <v>42</v>
      </c>
      <c r="C279" t="s">
        <v>24</v>
      </c>
      <c r="D279" t="s">
        <v>32</v>
      </c>
      <c r="E279" s="2">
        <v>45707</v>
      </c>
      <c r="F279" s="2">
        <v>45716</v>
      </c>
      <c r="G279">
        <v>9</v>
      </c>
      <c r="H279" t="s">
        <v>15</v>
      </c>
      <c r="I279">
        <v>9</v>
      </c>
      <c r="J279" t="s">
        <v>29</v>
      </c>
      <c r="K279" t="s">
        <v>22</v>
      </c>
      <c r="L279">
        <v>5909.25</v>
      </c>
    </row>
    <row r="280" spans="1:12" x14ac:dyDescent="0.25">
      <c r="A280" t="s">
        <v>307</v>
      </c>
      <c r="B280">
        <v>46</v>
      </c>
      <c r="C280" t="s">
        <v>24</v>
      </c>
      <c r="D280" t="s">
        <v>28</v>
      </c>
      <c r="E280" s="2">
        <v>45865</v>
      </c>
      <c r="F280" s="2">
        <v>45873</v>
      </c>
      <c r="G280">
        <v>8</v>
      </c>
      <c r="H280" t="s">
        <v>20</v>
      </c>
      <c r="I280">
        <v>0</v>
      </c>
      <c r="J280" t="s">
        <v>16</v>
      </c>
      <c r="K280" t="s">
        <v>17</v>
      </c>
      <c r="L280">
        <v>14879.28</v>
      </c>
    </row>
    <row r="281" spans="1:12" x14ac:dyDescent="0.25">
      <c r="A281" t="s">
        <v>308</v>
      </c>
      <c r="B281">
        <v>69</v>
      </c>
      <c r="C281" t="s">
        <v>24</v>
      </c>
      <c r="D281" t="s">
        <v>40</v>
      </c>
      <c r="E281" s="2">
        <v>45990</v>
      </c>
      <c r="F281" s="2">
        <v>46003</v>
      </c>
      <c r="G281">
        <v>13</v>
      </c>
      <c r="H281" t="s">
        <v>15</v>
      </c>
      <c r="I281">
        <v>18</v>
      </c>
      <c r="J281" t="s">
        <v>29</v>
      </c>
      <c r="K281" t="s">
        <v>22</v>
      </c>
      <c r="L281">
        <v>9732.85</v>
      </c>
    </row>
    <row r="282" spans="1:12" x14ac:dyDescent="0.25">
      <c r="A282" t="s">
        <v>309</v>
      </c>
      <c r="B282">
        <v>73</v>
      </c>
      <c r="C282" t="s">
        <v>24</v>
      </c>
      <c r="D282" t="s">
        <v>34</v>
      </c>
      <c r="E282" s="2">
        <v>46017</v>
      </c>
      <c r="F282" s="2">
        <v>46020</v>
      </c>
      <c r="G282">
        <v>3</v>
      </c>
      <c r="H282" t="s">
        <v>15</v>
      </c>
      <c r="I282">
        <v>28</v>
      </c>
      <c r="J282" t="s">
        <v>16</v>
      </c>
      <c r="K282" t="s">
        <v>17</v>
      </c>
      <c r="L282">
        <v>13827.71</v>
      </c>
    </row>
    <row r="283" spans="1:12" x14ac:dyDescent="0.25">
      <c r="A283" t="s">
        <v>310</v>
      </c>
      <c r="B283">
        <v>90</v>
      </c>
      <c r="C283" t="s">
        <v>24</v>
      </c>
      <c r="D283" t="s">
        <v>32</v>
      </c>
      <c r="E283" s="2">
        <v>45775</v>
      </c>
      <c r="F283" s="2">
        <v>45779</v>
      </c>
      <c r="G283">
        <v>4</v>
      </c>
      <c r="H283" t="s">
        <v>20</v>
      </c>
      <c r="I283">
        <v>0</v>
      </c>
      <c r="J283" t="s">
        <v>16</v>
      </c>
      <c r="K283" t="s">
        <v>22</v>
      </c>
      <c r="L283">
        <v>10424.219999999999</v>
      </c>
    </row>
    <row r="284" spans="1:12" x14ac:dyDescent="0.25">
      <c r="A284" t="s">
        <v>311</v>
      </c>
      <c r="B284">
        <v>22</v>
      </c>
      <c r="C284" t="s">
        <v>13</v>
      </c>
      <c r="D284" t="s">
        <v>32</v>
      </c>
      <c r="E284" s="2">
        <v>45801</v>
      </c>
      <c r="F284" s="2">
        <v>45810</v>
      </c>
      <c r="G284">
        <v>9</v>
      </c>
      <c r="H284" t="s">
        <v>20</v>
      </c>
      <c r="I284">
        <v>0</v>
      </c>
      <c r="J284" t="s">
        <v>16</v>
      </c>
      <c r="K284" t="s">
        <v>22</v>
      </c>
      <c r="L284">
        <v>9012.02</v>
      </c>
    </row>
    <row r="285" spans="1:12" x14ac:dyDescent="0.25">
      <c r="A285" t="s">
        <v>312</v>
      </c>
      <c r="B285">
        <v>27</v>
      </c>
      <c r="C285" t="s">
        <v>24</v>
      </c>
      <c r="D285" t="s">
        <v>14</v>
      </c>
      <c r="E285" s="2">
        <v>46022</v>
      </c>
      <c r="F285" s="2">
        <v>46036</v>
      </c>
      <c r="G285">
        <v>14</v>
      </c>
      <c r="H285" t="s">
        <v>20</v>
      </c>
      <c r="I285">
        <v>0</v>
      </c>
      <c r="J285" t="s">
        <v>21</v>
      </c>
      <c r="K285" t="s">
        <v>17</v>
      </c>
      <c r="L285">
        <v>12602.43</v>
      </c>
    </row>
    <row r="286" spans="1:12" x14ac:dyDescent="0.25">
      <c r="A286" t="s">
        <v>313</v>
      </c>
      <c r="B286">
        <v>60</v>
      </c>
      <c r="C286" t="s">
        <v>24</v>
      </c>
      <c r="D286" t="s">
        <v>28</v>
      </c>
      <c r="E286" s="2">
        <v>45857</v>
      </c>
      <c r="F286" s="2">
        <v>45868</v>
      </c>
      <c r="G286">
        <v>11</v>
      </c>
      <c r="H286" t="s">
        <v>20</v>
      </c>
      <c r="I286">
        <v>0</v>
      </c>
      <c r="J286" t="s">
        <v>21</v>
      </c>
      <c r="K286" t="s">
        <v>17</v>
      </c>
      <c r="L286">
        <v>11000.37</v>
      </c>
    </row>
    <row r="287" spans="1:12" x14ac:dyDescent="0.25">
      <c r="A287" t="s">
        <v>314</v>
      </c>
      <c r="B287">
        <v>24</v>
      </c>
      <c r="C287" t="s">
        <v>13</v>
      </c>
      <c r="D287" t="s">
        <v>40</v>
      </c>
      <c r="E287" s="2">
        <v>45914</v>
      </c>
      <c r="F287" s="2">
        <v>45926</v>
      </c>
      <c r="G287">
        <v>12</v>
      </c>
      <c r="H287" t="s">
        <v>20</v>
      </c>
      <c r="I287">
        <v>0</v>
      </c>
      <c r="J287" t="s">
        <v>21</v>
      </c>
      <c r="K287" t="s">
        <v>22</v>
      </c>
      <c r="L287">
        <v>5438.59</v>
      </c>
    </row>
    <row r="288" spans="1:12" x14ac:dyDescent="0.25">
      <c r="A288" t="s">
        <v>315</v>
      </c>
      <c r="B288">
        <v>59</v>
      </c>
      <c r="C288" t="s">
        <v>13</v>
      </c>
      <c r="D288" t="s">
        <v>28</v>
      </c>
      <c r="E288" s="2">
        <v>45972</v>
      </c>
      <c r="F288" s="2">
        <v>45982</v>
      </c>
      <c r="G288">
        <v>10</v>
      </c>
      <c r="H288" t="s">
        <v>20</v>
      </c>
      <c r="I288">
        <v>0</v>
      </c>
      <c r="J288" t="s">
        <v>25</v>
      </c>
      <c r="K288" t="s">
        <v>47</v>
      </c>
      <c r="L288">
        <v>7613.75</v>
      </c>
    </row>
    <row r="289" spans="1:12" x14ac:dyDescent="0.25">
      <c r="A289" t="s">
        <v>316</v>
      </c>
      <c r="B289">
        <v>73</v>
      </c>
      <c r="C289" t="s">
        <v>13</v>
      </c>
      <c r="D289" t="s">
        <v>28</v>
      </c>
      <c r="E289" s="2">
        <v>45840</v>
      </c>
      <c r="F289" s="2">
        <v>45849</v>
      </c>
      <c r="G289">
        <v>9</v>
      </c>
      <c r="H289" t="s">
        <v>20</v>
      </c>
      <c r="I289">
        <v>0</v>
      </c>
      <c r="J289" t="s">
        <v>29</v>
      </c>
      <c r="K289" t="s">
        <v>22</v>
      </c>
      <c r="L289">
        <v>11696.43</v>
      </c>
    </row>
    <row r="290" spans="1:12" x14ac:dyDescent="0.25">
      <c r="A290" t="s">
        <v>317</v>
      </c>
      <c r="B290">
        <v>27</v>
      </c>
      <c r="C290" t="s">
        <v>13</v>
      </c>
      <c r="D290" t="s">
        <v>32</v>
      </c>
      <c r="E290" s="2">
        <v>45809</v>
      </c>
      <c r="F290" s="2">
        <v>45822</v>
      </c>
      <c r="G290">
        <v>13</v>
      </c>
      <c r="H290" t="s">
        <v>15</v>
      </c>
      <c r="I290">
        <v>5</v>
      </c>
      <c r="J290" t="s">
        <v>29</v>
      </c>
      <c r="K290" t="s">
        <v>17</v>
      </c>
      <c r="L290">
        <v>11866.41</v>
      </c>
    </row>
    <row r="291" spans="1:12" x14ac:dyDescent="0.25">
      <c r="A291" t="s">
        <v>318</v>
      </c>
      <c r="B291">
        <v>64</v>
      </c>
      <c r="C291" t="s">
        <v>13</v>
      </c>
      <c r="D291" t="s">
        <v>19</v>
      </c>
      <c r="E291" s="2">
        <v>45736</v>
      </c>
      <c r="F291" s="2">
        <v>45748</v>
      </c>
      <c r="G291">
        <v>12</v>
      </c>
      <c r="H291" t="s">
        <v>20</v>
      </c>
      <c r="I291">
        <v>0</v>
      </c>
      <c r="J291" t="s">
        <v>16</v>
      </c>
      <c r="K291" t="s">
        <v>47</v>
      </c>
      <c r="L291">
        <v>6948.67</v>
      </c>
    </row>
    <row r="292" spans="1:12" x14ac:dyDescent="0.25">
      <c r="A292" t="s">
        <v>319</v>
      </c>
      <c r="B292">
        <v>41</v>
      </c>
      <c r="C292" t="s">
        <v>24</v>
      </c>
      <c r="D292" t="s">
        <v>40</v>
      </c>
      <c r="E292" s="2">
        <v>45796</v>
      </c>
      <c r="F292" s="2">
        <v>45798</v>
      </c>
      <c r="G292">
        <v>2</v>
      </c>
      <c r="H292" t="s">
        <v>15</v>
      </c>
      <c r="I292">
        <v>18</v>
      </c>
      <c r="J292" t="s">
        <v>29</v>
      </c>
      <c r="K292" t="s">
        <v>22</v>
      </c>
      <c r="L292">
        <v>880.8</v>
      </c>
    </row>
    <row r="293" spans="1:12" x14ac:dyDescent="0.25">
      <c r="A293" t="s">
        <v>320</v>
      </c>
      <c r="B293">
        <v>59</v>
      </c>
      <c r="C293" t="s">
        <v>24</v>
      </c>
      <c r="D293" t="s">
        <v>19</v>
      </c>
      <c r="E293" s="2">
        <v>45839</v>
      </c>
      <c r="F293" s="2">
        <v>45848</v>
      </c>
      <c r="G293">
        <v>9</v>
      </c>
      <c r="H293" t="s">
        <v>15</v>
      </c>
      <c r="I293">
        <v>10</v>
      </c>
      <c r="J293" t="s">
        <v>29</v>
      </c>
      <c r="K293" t="s">
        <v>47</v>
      </c>
      <c r="L293">
        <v>11797.95</v>
      </c>
    </row>
    <row r="294" spans="1:12" x14ac:dyDescent="0.25">
      <c r="A294" t="s">
        <v>321</v>
      </c>
      <c r="B294">
        <v>39</v>
      </c>
      <c r="C294" t="s">
        <v>24</v>
      </c>
      <c r="D294" t="s">
        <v>14</v>
      </c>
      <c r="E294" s="2">
        <v>45944</v>
      </c>
      <c r="F294" s="2">
        <v>45948</v>
      </c>
      <c r="G294">
        <v>4</v>
      </c>
      <c r="H294" t="s">
        <v>20</v>
      </c>
      <c r="I294">
        <v>0</v>
      </c>
      <c r="J294" t="s">
        <v>21</v>
      </c>
      <c r="K294" t="s">
        <v>47</v>
      </c>
      <c r="L294">
        <v>4866.3999999999996</v>
      </c>
    </row>
    <row r="295" spans="1:12" x14ac:dyDescent="0.25">
      <c r="A295" t="s">
        <v>322</v>
      </c>
      <c r="B295">
        <v>73</v>
      </c>
      <c r="C295" t="s">
        <v>24</v>
      </c>
      <c r="D295" t="s">
        <v>40</v>
      </c>
      <c r="E295" s="2">
        <v>45910</v>
      </c>
      <c r="F295" s="2">
        <v>45913</v>
      </c>
      <c r="G295">
        <v>3</v>
      </c>
      <c r="H295" t="s">
        <v>15</v>
      </c>
      <c r="I295">
        <v>10</v>
      </c>
      <c r="J295" t="s">
        <v>29</v>
      </c>
      <c r="K295" t="s">
        <v>22</v>
      </c>
      <c r="L295">
        <v>5736.31</v>
      </c>
    </row>
    <row r="296" spans="1:12" x14ac:dyDescent="0.25">
      <c r="A296" t="s">
        <v>323</v>
      </c>
      <c r="B296">
        <v>43</v>
      </c>
      <c r="C296" t="s">
        <v>24</v>
      </c>
      <c r="D296" t="s">
        <v>19</v>
      </c>
      <c r="E296" s="2">
        <v>45784</v>
      </c>
      <c r="F296" s="2">
        <v>45796</v>
      </c>
      <c r="G296">
        <v>12</v>
      </c>
      <c r="H296" t="s">
        <v>20</v>
      </c>
      <c r="I296">
        <v>0</v>
      </c>
      <c r="J296" t="s">
        <v>21</v>
      </c>
      <c r="K296" t="s">
        <v>47</v>
      </c>
      <c r="L296">
        <v>598.13</v>
      </c>
    </row>
    <row r="297" spans="1:12" x14ac:dyDescent="0.25">
      <c r="A297" t="s">
        <v>324</v>
      </c>
      <c r="B297">
        <v>66</v>
      </c>
      <c r="C297" t="s">
        <v>24</v>
      </c>
      <c r="D297" t="s">
        <v>40</v>
      </c>
      <c r="E297" s="2">
        <v>45860</v>
      </c>
      <c r="F297" s="2">
        <v>45866</v>
      </c>
      <c r="G297">
        <v>6</v>
      </c>
      <c r="H297" t="s">
        <v>20</v>
      </c>
      <c r="I297">
        <v>0</v>
      </c>
      <c r="J297" t="s">
        <v>25</v>
      </c>
      <c r="K297" t="s">
        <v>47</v>
      </c>
      <c r="L297">
        <v>12324.39</v>
      </c>
    </row>
    <row r="298" spans="1:12" x14ac:dyDescent="0.25">
      <c r="A298" t="s">
        <v>325</v>
      </c>
      <c r="B298">
        <v>59</v>
      </c>
      <c r="C298" t="s">
        <v>13</v>
      </c>
      <c r="D298" t="s">
        <v>40</v>
      </c>
      <c r="E298" s="2">
        <v>45991</v>
      </c>
      <c r="F298" s="2">
        <v>46001</v>
      </c>
      <c r="G298">
        <v>10</v>
      </c>
      <c r="H298" t="s">
        <v>15</v>
      </c>
      <c r="I298">
        <v>11</v>
      </c>
      <c r="J298" t="s">
        <v>21</v>
      </c>
      <c r="K298" t="s">
        <v>47</v>
      </c>
      <c r="L298">
        <v>14546.52</v>
      </c>
    </row>
    <row r="299" spans="1:12" x14ac:dyDescent="0.25">
      <c r="A299" t="s">
        <v>326</v>
      </c>
      <c r="B299">
        <v>80</v>
      </c>
      <c r="C299" t="s">
        <v>13</v>
      </c>
      <c r="D299" t="s">
        <v>32</v>
      </c>
      <c r="E299" s="2">
        <v>45807</v>
      </c>
      <c r="F299" s="2">
        <v>45819</v>
      </c>
      <c r="G299">
        <v>12</v>
      </c>
      <c r="H299" t="s">
        <v>20</v>
      </c>
      <c r="I299">
        <v>0</v>
      </c>
      <c r="J299" t="s">
        <v>29</v>
      </c>
      <c r="K299" t="s">
        <v>47</v>
      </c>
      <c r="L299">
        <v>12339.17</v>
      </c>
    </row>
    <row r="300" spans="1:12" x14ac:dyDescent="0.25">
      <c r="A300" t="s">
        <v>327</v>
      </c>
      <c r="B300">
        <v>90</v>
      </c>
      <c r="C300" t="s">
        <v>13</v>
      </c>
      <c r="D300" t="s">
        <v>34</v>
      </c>
      <c r="E300" s="2">
        <v>45859</v>
      </c>
      <c r="F300" s="2">
        <v>45865</v>
      </c>
      <c r="G300">
        <v>6</v>
      </c>
      <c r="H300" t="s">
        <v>15</v>
      </c>
      <c r="I300">
        <v>18</v>
      </c>
      <c r="J300" t="s">
        <v>21</v>
      </c>
      <c r="K300" t="s">
        <v>17</v>
      </c>
      <c r="L300">
        <v>11630.46</v>
      </c>
    </row>
    <row r="301" spans="1:12" x14ac:dyDescent="0.25">
      <c r="A301" t="s">
        <v>328</v>
      </c>
      <c r="B301">
        <v>44</v>
      </c>
      <c r="C301" t="s">
        <v>24</v>
      </c>
      <c r="D301" t="s">
        <v>32</v>
      </c>
      <c r="E301" s="2">
        <v>45671</v>
      </c>
      <c r="F301" s="2">
        <v>45683</v>
      </c>
      <c r="G301">
        <v>12</v>
      </c>
      <c r="H301" t="s">
        <v>20</v>
      </c>
      <c r="I301">
        <v>0</v>
      </c>
      <c r="J301" t="s">
        <v>16</v>
      </c>
      <c r="K301" t="s">
        <v>47</v>
      </c>
      <c r="L301">
        <v>10258.18</v>
      </c>
    </row>
    <row r="302" spans="1:12" x14ac:dyDescent="0.25">
      <c r="A302" t="s">
        <v>329</v>
      </c>
      <c r="B302">
        <v>50</v>
      </c>
      <c r="C302" t="s">
        <v>13</v>
      </c>
      <c r="D302" t="s">
        <v>28</v>
      </c>
      <c r="E302" s="2">
        <v>45729</v>
      </c>
      <c r="F302" s="2">
        <v>45740</v>
      </c>
      <c r="G302">
        <v>11</v>
      </c>
      <c r="H302" t="s">
        <v>20</v>
      </c>
      <c r="I302">
        <v>0</v>
      </c>
      <c r="J302" t="s">
        <v>29</v>
      </c>
      <c r="K302" t="s">
        <v>47</v>
      </c>
      <c r="L302">
        <v>1572.49</v>
      </c>
    </row>
    <row r="303" spans="1:12" x14ac:dyDescent="0.25">
      <c r="A303" t="s">
        <v>330</v>
      </c>
      <c r="B303">
        <v>86</v>
      </c>
      <c r="C303" t="s">
        <v>24</v>
      </c>
      <c r="D303" t="s">
        <v>34</v>
      </c>
      <c r="E303" s="2">
        <v>45964</v>
      </c>
      <c r="F303" s="2">
        <v>45972</v>
      </c>
      <c r="G303">
        <v>8</v>
      </c>
      <c r="H303" t="s">
        <v>20</v>
      </c>
      <c r="I303">
        <v>0</v>
      </c>
      <c r="J303" t="s">
        <v>16</v>
      </c>
      <c r="K303" t="s">
        <v>47</v>
      </c>
      <c r="L303">
        <v>10673.7</v>
      </c>
    </row>
    <row r="304" spans="1:12" x14ac:dyDescent="0.25">
      <c r="A304" t="s">
        <v>331</v>
      </c>
      <c r="B304">
        <v>28</v>
      </c>
      <c r="C304" t="s">
        <v>13</v>
      </c>
      <c r="D304" t="s">
        <v>14</v>
      </c>
      <c r="E304" s="2">
        <v>45932</v>
      </c>
      <c r="F304" s="2">
        <v>45942</v>
      </c>
      <c r="G304">
        <v>10</v>
      </c>
      <c r="H304" t="s">
        <v>20</v>
      </c>
      <c r="I304">
        <v>0</v>
      </c>
      <c r="J304" t="s">
        <v>25</v>
      </c>
      <c r="K304" t="s">
        <v>22</v>
      </c>
      <c r="L304">
        <v>9881.5</v>
      </c>
    </row>
    <row r="305" spans="1:12" x14ac:dyDescent="0.25">
      <c r="A305" t="s">
        <v>332</v>
      </c>
      <c r="B305">
        <v>69</v>
      </c>
      <c r="C305" t="s">
        <v>24</v>
      </c>
      <c r="D305" t="s">
        <v>40</v>
      </c>
      <c r="E305" s="2">
        <v>45680</v>
      </c>
      <c r="F305" s="2">
        <v>45690</v>
      </c>
      <c r="G305">
        <v>10</v>
      </c>
      <c r="H305" t="s">
        <v>20</v>
      </c>
      <c r="I305">
        <v>0</v>
      </c>
      <c r="J305" t="s">
        <v>16</v>
      </c>
      <c r="K305" t="s">
        <v>22</v>
      </c>
      <c r="L305">
        <v>1929.8</v>
      </c>
    </row>
    <row r="306" spans="1:12" x14ac:dyDescent="0.25">
      <c r="A306" t="s">
        <v>333</v>
      </c>
      <c r="B306">
        <v>89</v>
      </c>
      <c r="C306" t="s">
        <v>13</v>
      </c>
      <c r="D306" t="s">
        <v>40</v>
      </c>
      <c r="E306" s="2">
        <v>45771</v>
      </c>
      <c r="F306" s="2">
        <v>45780</v>
      </c>
      <c r="G306">
        <v>9</v>
      </c>
      <c r="H306" t="s">
        <v>20</v>
      </c>
      <c r="I306">
        <v>0</v>
      </c>
      <c r="J306" t="s">
        <v>25</v>
      </c>
      <c r="K306" t="s">
        <v>47</v>
      </c>
      <c r="L306">
        <v>7214.42</v>
      </c>
    </row>
    <row r="307" spans="1:12" x14ac:dyDescent="0.25">
      <c r="A307" t="s">
        <v>334</v>
      </c>
      <c r="B307">
        <v>37</v>
      </c>
      <c r="C307" t="s">
        <v>24</v>
      </c>
      <c r="D307" t="s">
        <v>19</v>
      </c>
      <c r="E307" s="2">
        <v>46005</v>
      </c>
      <c r="F307" s="2">
        <v>46015</v>
      </c>
      <c r="G307">
        <v>10</v>
      </c>
      <c r="H307" t="s">
        <v>20</v>
      </c>
      <c r="I307">
        <v>0</v>
      </c>
      <c r="J307" t="s">
        <v>29</v>
      </c>
      <c r="K307" t="s">
        <v>22</v>
      </c>
      <c r="L307">
        <v>4783.7700000000004</v>
      </c>
    </row>
    <row r="308" spans="1:12" x14ac:dyDescent="0.25">
      <c r="A308" t="s">
        <v>335</v>
      </c>
      <c r="B308">
        <v>36</v>
      </c>
      <c r="C308" t="s">
        <v>24</v>
      </c>
      <c r="D308" t="s">
        <v>32</v>
      </c>
      <c r="E308" s="2">
        <v>45701</v>
      </c>
      <c r="F308" s="2">
        <v>45703</v>
      </c>
      <c r="G308">
        <v>2</v>
      </c>
      <c r="H308" t="s">
        <v>20</v>
      </c>
      <c r="I308">
        <v>0</v>
      </c>
      <c r="J308" t="s">
        <v>25</v>
      </c>
      <c r="K308" t="s">
        <v>47</v>
      </c>
      <c r="L308">
        <v>11871.91</v>
      </c>
    </row>
    <row r="309" spans="1:12" x14ac:dyDescent="0.25">
      <c r="A309" t="s">
        <v>336</v>
      </c>
      <c r="B309">
        <v>30</v>
      </c>
      <c r="C309" t="s">
        <v>24</v>
      </c>
      <c r="D309" t="s">
        <v>28</v>
      </c>
      <c r="E309" s="2">
        <v>45924</v>
      </c>
      <c r="F309" s="2">
        <v>45932</v>
      </c>
      <c r="G309">
        <v>8</v>
      </c>
      <c r="H309" t="s">
        <v>20</v>
      </c>
      <c r="I309">
        <v>0</v>
      </c>
      <c r="J309" t="s">
        <v>29</v>
      </c>
      <c r="K309" t="s">
        <v>47</v>
      </c>
      <c r="L309">
        <v>1474.03</v>
      </c>
    </row>
    <row r="310" spans="1:12" x14ac:dyDescent="0.25">
      <c r="A310" t="s">
        <v>337</v>
      </c>
      <c r="B310">
        <v>20</v>
      </c>
      <c r="C310" t="s">
        <v>24</v>
      </c>
      <c r="D310" t="s">
        <v>28</v>
      </c>
      <c r="E310" s="2">
        <v>45680</v>
      </c>
      <c r="F310" s="2">
        <v>45693</v>
      </c>
      <c r="G310">
        <v>13</v>
      </c>
      <c r="H310" t="s">
        <v>20</v>
      </c>
      <c r="I310">
        <v>0</v>
      </c>
      <c r="J310" t="s">
        <v>16</v>
      </c>
      <c r="K310" t="s">
        <v>17</v>
      </c>
      <c r="L310">
        <v>12100.73</v>
      </c>
    </row>
    <row r="311" spans="1:12" x14ac:dyDescent="0.25">
      <c r="A311" t="s">
        <v>338</v>
      </c>
      <c r="B311">
        <v>38</v>
      </c>
      <c r="C311" t="s">
        <v>24</v>
      </c>
      <c r="D311" t="s">
        <v>34</v>
      </c>
      <c r="E311" s="2">
        <v>45782</v>
      </c>
      <c r="F311" s="2">
        <v>45791</v>
      </c>
      <c r="G311">
        <v>9</v>
      </c>
      <c r="H311" t="s">
        <v>15</v>
      </c>
      <c r="I311">
        <v>14</v>
      </c>
      <c r="J311" t="s">
        <v>29</v>
      </c>
      <c r="K311" t="s">
        <v>22</v>
      </c>
      <c r="L311">
        <v>12067.46</v>
      </c>
    </row>
    <row r="312" spans="1:12" x14ac:dyDescent="0.25">
      <c r="A312" t="s">
        <v>339</v>
      </c>
      <c r="B312">
        <v>73</v>
      </c>
      <c r="C312" t="s">
        <v>24</v>
      </c>
      <c r="D312" t="s">
        <v>19</v>
      </c>
      <c r="E312" s="2">
        <v>45980</v>
      </c>
      <c r="F312" s="2">
        <v>45983</v>
      </c>
      <c r="G312">
        <v>3</v>
      </c>
      <c r="H312" t="s">
        <v>15</v>
      </c>
      <c r="I312">
        <v>24</v>
      </c>
      <c r="J312" t="s">
        <v>21</v>
      </c>
      <c r="K312" t="s">
        <v>47</v>
      </c>
      <c r="L312">
        <v>9086.9500000000007</v>
      </c>
    </row>
    <row r="313" spans="1:12" x14ac:dyDescent="0.25">
      <c r="A313" t="s">
        <v>340</v>
      </c>
      <c r="B313">
        <v>44</v>
      </c>
      <c r="C313" t="s">
        <v>24</v>
      </c>
      <c r="D313" t="s">
        <v>28</v>
      </c>
      <c r="E313" s="2">
        <v>45857</v>
      </c>
      <c r="F313" s="2">
        <v>45858</v>
      </c>
      <c r="G313">
        <v>1</v>
      </c>
      <c r="H313" t="s">
        <v>20</v>
      </c>
      <c r="I313">
        <v>0</v>
      </c>
      <c r="J313" t="s">
        <v>16</v>
      </c>
      <c r="K313" t="s">
        <v>17</v>
      </c>
      <c r="L313">
        <v>1975.4</v>
      </c>
    </row>
    <row r="314" spans="1:12" x14ac:dyDescent="0.25">
      <c r="A314" t="s">
        <v>341</v>
      </c>
      <c r="B314">
        <v>43</v>
      </c>
      <c r="C314" t="s">
        <v>24</v>
      </c>
      <c r="D314" t="s">
        <v>19</v>
      </c>
      <c r="E314" s="2">
        <v>45932</v>
      </c>
      <c r="F314" s="2">
        <v>45935</v>
      </c>
      <c r="G314">
        <v>3</v>
      </c>
      <c r="H314" t="s">
        <v>20</v>
      </c>
      <c r="I314">
        <v>0</v>
      </c>
      <c r="J314" t="s">
        <v>25</v>
      </c>
      <c r="K314" t="s">
        <v>17</v>
      </c>
      <c r="L314">
        <v>13008.23</v>
      </c>
    </row>
    <row r="315" spans="1:12" x14ac:dyDescent="0.25">
      <c r="A315" t="s">
        <v>342</v>
      </c>
      <c r="B315">
        <v>67</v>
      </c>
      <c r="C315" t="s">
        <v>24</v>
      </c>
      <c r="D315" t="s">
        <v>34</v>
      </c>
      <c r="E315" s="2">
        <v>45928</v>
      </c>
      <c r="F315" s="2">
        <v>45939</v>
      </c>
      <c r="G315">
        <v>11</v>
      </c>
      <c r="H315" t="s">
        <v>20</v>
      </c>
      <c r="I315">
        <v>0</v>
      </c>
      <c r="J315" t="s">
        <v>16</v>
      </c>
      <c r="K315" t="s">
        <v>47</v>
      </c>
      <c r="L315">
        <v>5603.78</v>
      </c>
    </row>
    <row r="316" spans="1:12" x14ac:dyDescent="0.25">
      <c r="A316" t="s">
        <v>343</v>
      </c>
      <c r="B316">
        <v>56</v>
      </c>
      <c r="C316" t="s">
        <v>13</v>
      </c>
      <c r="D316" t="s">
        <v>28</v>
      </c>
      <c r="E316" s="2">
        <v>45892</v>
      </c>
      <c r="F316" s="2">
        <v>45902</v>
      </c>
      <c r="G316">
        <v>10</v>
      </c>
      <c r="H316" t="s">
        <v>15</v>
      </c>
      <c r="I316">
        <v>5</v>
      </c>
      <c r="J316" t="s">
        <v>25</v>
      </c>
      <c r="K316" t="s">
        <v>22</v>
      </c>
      <c r="L316">
        <v>3959.3</v>
      </c>
    </row>
    <row r="317" spans="1:12" x14ac:dyDescent="0.25">
      <c r="A317" t="s">
        <v>344</v>
      </c>
      <c r="B317">
        <v>36</v>
      </c>
      <c r="C317" t="s">
        <v>24</v>
      </c>
      <c r="D317" t="s">
        <v>40</v>
      </c>
      <c r="E317" s="2">
        <v>45717</v>
      </c>
      <c r="F317" s="2">
        <v>45720</v>
      </c>
      <c r="G317">
        <v>3</v>
      </c>
      <c r="H317" t="s">
        <v>20</v>
      </c>
      <c r="I317">
        <v>0</v>
      </c>
      <c r="J317" t="s">
        <v>21</v>
      </c>
      <c r="K317" t="s">
        <v>17</v>
      </c>
      <c r="L317">
        <v>6063.79</v>
      </c>
    </row>
    <row r="318" spans="1:12" x14ac:dyDescent="0.25">
      <c r="A318" t="s">
        <v>345</v>
      </c>
      <c r="B318">
        <v>40</v>
      </c>
      <c r="C318" t="s">
        <v>13</v>
      </c>
      <c r="D318" t="s">
        <v>40</v>
      </c>
      <c r="E318" s="2">
        <v>45753</v>
      </c>
      <c r="F318" s="2">
        <v>45761</v>
      </c>
      <c r="G318">
        <v>8</v>
      </c>
      <c r="H318" t="s">
        <v>20</v>
      </c>
      <c r="I318">
        <v>0</v>
      </c>
      <c r="J318" t="s">
        <v>25</v>
      </c>
      <c r="K318" t="s">
        <v>22</v>
      </c>
      <c r="L318">
        <v>3212.93</v>
      </c>
    </row>
    <row r="319" spans="1:12" x14ac:dyDescent="0.25">
      <c r="A319" t="s">
        <v>346</v>
      </c>
      <c r="B319">
        <v>63</v>
      </c>
      <c r="C319" t="s">
        <v>13</v>
      </c>
      <c r="D319" t="s">
        <v>40</v>
      </c>
      <c r="E319" s="2">
        <v>45888</v>
      </c>
      <c r="F319" s="2">
        <v>45898</v>
      </c>
      <c r="G319">
        <v>10</v>
      </c>
      <c r="H319" t="s">
        <v>15</v>
      </c>
      <c r="I319">
        <v>5</v>
      </c>
      <c r="J319" t="s">
        <v>21</v>
      </c>
      <c r="K319" t="s">
        <v>47</v>
      </c>
      <c r="L319">
        <v>14475.52</v>
      </c>
    </row>
    <row r="320" spans="1:12" x14ac:dyDescent="0.25">
      <c r="A320" t="s">
        <v>347</v>
      </c>
      <c r="B320">
        <v>80</v>
      </c>
      <c r="C320" t="s">
        <v>24</v>
      </c>
      <c r="D320" t="s">
        <v>28</v>
      </c>
      <c r="E320" s="2">
        <v>45916</v>
      </c>
      <c r="F320" s="2">
        <v>45927</v>
      </c>
      <c r="G320">
        <v>11</v>
      </c>
      <c r="H320" t="s">
        <v>20</v>
      </c>
      <c r="I320">
        <v>0</v>
      </c>
      <c r="J320" t="s">
        <v>29</v>
      </c>
      <c r="K320" t="s">
        <v>47</v>
      </c>
      <c r="L320">
        <v>2925.18</v>
      </c>
    </row>
    <row r="321" spans="1:12" x14ac:dyDescent="0.25">
      <c r="A321" t="s">
        <v>348</v>
      </c>
      <c r="B321">
        <v>46</v>
      </c>
      <c r="C321" t="s">
        <v>24</v>
      </c>
      <c r="D321" t="s">
        <v>19</v>
      </c>
      <c r="E321" s="2">
        <v>45947</v>
      </c>
      <c r="F321" s="2">
        <v>45948</v>
      </c>
      <c r="G321">
        <v>1</v>
      </c>
      <c r="H321" t="s">
        <v>20</v>
      </c>
      <c r="I321">
        <v>0</v>
      </c>
      <c r="J321" t="s">
        <v>25</v>
      </c>
      <c r="K321" t="s">
        <v>22</v>
      </c>
      <c r="L321">
        <v>8295.32</v>
      </c>
    </row>
    <row r="322" spans="1:12" x14ac:dyDescent="0.25">
      <c r="A322" t="s">
        <v>349</v>
      </c>
      <c r="B322">
        <v>81</v>
      </c>
      <c r="C322" t="s">
        <v>13</v>
      </c>
      <c r="D322" t="s">
        <v>34</v>
      </c>
      <c r="E322" s="2">
        <v>45744</v>
      </c>
      <c r="F322" s="2">
        <v>45757</v>
      </c>
      <c r="G322">
        <v>13</v>
      </c>
      <c r="H322" t="s">
        <v>20</v>
      </c>
      <c r="I322">
        <v>0</v>
      </c>
      <c r="J322" t="s">
        <v>16</v>
      </c>
      <c r="K322" t="s">
        <v>47</v>
      </c>
      <c r="L322">
        <v>11739.14</v>
      </c>
    </row>
    <row r="323" spans="1:12" x14ac:dyDescent="0.25">
      <c r="A323" t="s">
        <v>350</v>
      </c>
      <c r="B323">
        <v>23</v>
      </c>
      <c r="C323" t="s">
        <v>24</v>
      </c>
      <c r="D323" t="s">
        <v>34</v>
      </c>
      <c r="E323" s="2">
        <v>45845</v>
      </c>
      <c r="F323" s="2">
        <v>45854</v>
      </c>
      <c r="G323">
        <v>9</v>
      </c>
      <c r="H323" t="s">
        <v>20</v>
      </c>
      <c r="I323">
        <v>0</v>
      </c>
      <c r="J323" t="s">
        <v>21</v>
      </c>
      <c r="K323" t="s">
        <v>47</v>
      </c>
      <c r="L323">
        <v>1985.04</v>
      </c>
    </row>
    <row r="324" spans="1:12" x14ac:dyDescent="0.25">
      <c r="A324" t="s">
        <v>351</v>
      </c>
      <c r="B324">
        <v>22</v>
      </c>
      <c r="C324" t="s">
        <v>24</v>
      </c>
      <c r="D324" t="s">
        <v>32</v>
      </c>
      <c r="E324" s="2">
        <v>45992</v>
      </c>
      <c r="F324" s="2">
        <v>46005</v>
      </c>
      <c r="G324">
        <v>13</v>
      </c>
      <c r="H324" t="s">
        <v>15</v>
      </c>
      <c r="I324">
        <v>12</v>
      </c>
      <c r="J324" t="s">
        <v>16</v>
      </c>
      <c r="K324" t="s">
        <v>47</v>
      </c>
      <c r="L324">
        <v>13046.71</v>
      </c>
    </row>
    <row r="325" spans="1:12" x14ac:dyDescent="0.25">
      <c r="A325" t="s">
        <v>352</v>
      </c>
      <c r="B325">
        <v>44</v>
      </c>
      <c r="C325" t="s">
        <v>24</v>
      </c>
      <c r="D325" t="s">
        <v>28</v>
      </c>
      <c r="E325" s="2">
        <v>45718</v>
      </c>
      <c r="F325" s="2">
        <v>45731</v>
      </c>
      <c r="G325">
        <v>13</v>
      </c>
      <c r="H325" t="s">
        <v>20</v>
      </c>
      <c r="I325">
        <v>0</v>
      </c>
      <c r="J325" t="s">
        <v>29</v>
      </c>
      <c r="K325" t="s">
        <v>22</v>
      </c>
      <c r="L325">
        <v>9434.19</v>
      </c>
    </row>
    <row r="326" spans="1:12" x14ac:dyDescent="0.25">
      <c r="A326" t="s">
        <v>353</v>
      </c>
      <c r="B326">
        <v>25</v>
      </c>
      <c r="C326" t="s">
        <v>24</v>
      </c>
      <c r="D326" t="s">
        <v>34</v>
      </c>
      <c r="E326" s="2">
        <v>45763</v>
      </c>
      <c r="F326" s="2">
        <v>45777</v>
      </c>
      <c r="G326">
        <v>14</v>
      </c>
      <c r="H326" t="s">
        <v>15</v>
      </c>
      <c r="I326">
        <v>9</v>
      </c>
      <c r="J326" t="s">
        <v>21</v>
      </c>
      <c r="K326" t="s">
        <v>47</v>
      </c>
      <c r="L326">
        <v>14695.5</v>
      </c>
    </row>
    <row r="327" spans="1:12" x14ac:dyDescent="0.25">
      <c r="A327" t="s">
        <v>354</v>
      </c>
      <c r="B327">
        <v>83</v>
      </c>
      <c r="C327" t="s">
        <v>13</v>
      </c>
      <c r="D327" t="s">
        <v>14</v>
      </c>
      <c r="E327" s="2">
        <v>45807</v>
      </c>
      <c r="F327" s="2">
        <v>45812</v>
      </c>
      <c r="G327">
        <v>5</v>
      </c>
      <c r="H327" t="s">
        <v>20</v>
      </c>
      <c r="I327">
        <v>0</v>
      </c>
      <c r="J327" t="s">
        <v>29</v>
      </c>
      <c r="K327" t="s">
        <v>22</v>
      </c>
      <c r="L327">
        <v>14891.05</v>
      </c>
    </row>
    <row r="328" spans="1:12" x14ac:dyDescent="0.25">
      <c r="A328" t="s">
        <v>355</v>
      </c>
      <c r="B328">
        <v>34</v>
      </c>
      <c r="C328" t="s">
        <v>13</v>
      </c>
      <c r="D328" t="s">
        <v>14</v>
      </c>
      <c r="E328" s="2">
        <v>45993</v>
      </c>
      <c r="F328" s="2">
        <v>45996</v>
      </c>
      <c r="G328">
        <v>3</v>
      </c>
      <c r="H328" t="s">
        <v>20</v>
      </c>
      <c r="I328">
        <v>0</v>
      </c>
      <c r="J328" t="s">
        <v>25</v>
      </c>
      <c r="K328" t="s">
        <v>22</v>
      </c>
      <c r="L328">
        <v>11541.37</v>
      </c>
    </row>
    <row r="329" spans="1:12" x14ac:dyDescent="0.25">
      <c r="A329" t="s">
        <v>356</v>
      </c>
      <c r="B329">
        <v>52</v>
      </c>
      <c r="C329" t="s">
        <v>24</v>
      </c>
      <c r="D329" t="s">
        <v>40</v>
      </c>
      <c r="E329" s="2">
        <v>46004</v>
      </c>
      <c r="F329" s="2">
        <v>46011</v>
      </c>
      <c r="G329">
        <v>7</v>
      </c>
      <c r="H329" t="s">
        <v>20</v>
      </c>
      <c r="I329">
        <v>0</v>
      </c>
      <c r="J329" t="s">
        <v>29</v>
      </c>
      <c r="K329" t="s">
        <v>22</v>
      </c>
      <c r="L329">
        <v>9687.6</v>
      </c>
    </row>
    <row r="330" spans="1:12" x14ac:dyDescent="0.25">
      <c r="A330" t="s">
        <v>357</v>
      </c>
      <c r="B330">
        <v>53</v>
      </c>
      <c r="C330" t="s">
        <v>24</v>
      </c>
      <c r="D330" t="s">
        <v>40</v>
      </c>
      <c r="E330" s="2">
        <v>45705</v>
      </c>
      <c r="F330" s="2">
        <v>45712</v>
      </c>
      <c r="G330">
        <v>7</v>
      </c>
      <c r="H330" t="s">
        <v>20</v>
      </c>
      <c r="I330">
        <v>0</v>
      </c>
      <c r="J330" t="s">
        <v>29</v>
      </c>
      <c r="K330" t="s">
        <v>47</v>
      </c>
      <c r="L330">
        <v>8938.36</v>
      </c>
    </row>
    <row r="331" spans="1:12" x14ac:dyDescent="0.25">
      <c r="A331" t="s">
        <v>358</v>
      </c>
      <c r="B331">
        <v>63</v>
      </c>
      <c r="C331" t="s">
        <v>13</v>
      </c>
      <c r="D331" t="s">
        <v>34</v>
      </c>
      <c r="E331" s="2">
        <v>45705</v>
      </c>
      <c r="F331" s="2">
        <v>45717</v>
      </c>
      <c r="G331">
        <v>12</v>
      </c>
      <c r="H331" t="s">
        <v>20</v>
      </c>
      <c r="I331">
        <v>0</v>
      </c>
      <c r="J331" t="s">
        <v>29</v>
      </c>
      <c r="K331" t="s">
        <v>22</v>
      </c>
      <c r="L331">
        <v>14537.86</v>
      </c>
    </row>
    <row r="332" spans="1:12" x14ac:dyDescent="0.25">
      <c r="A332" t="s">
        <v>359</v>
      </c>
      <c r="B332">
        <v>54</v>
      </c>
      <c r="C332" t="s">
        <v>24</v>
      </c>
      <c r="D332" t="s">
        <v>34</v>
      </c>
      <c r="E332" s="2">
        <v>45766</v>
      </c>
      <c r="F332" s="2">
        <v>45774</v>
      </c>
      <c r="G332">
        <v>8</v>
      </c>
      <c r="H332" t="s">
        <v>15</v>
      </c>
      <c r="I332">
        <v>19</v>
      </c>
      <c r="J332" t="s">
        <v>21</v>
      </c>
      <c r="K332" t="s">
        <v>17</v>
      </c>
      <c r="L332">
        <v>12860.13</v>
      </c>
    </row>
    <row r="333" spans="1:12" x14ac:dyDescent="0.25">
      <c r="A333" t="s">
        <v>360</v>
      </c>
      <c r="B333">
        <v>23</v>
      </c>
      <c r="C333" t="s">
        <v>13</v>
      </c>
      <c r="D333" t="s">
        <v>28</v>
      </c>
      <c r="E333" s="2">
        <v>45833</v>
      </c>
      <c r="F333" s="2">
        <v>45844</v>
      </c>
      <c r="G333">
        <v>11</v>
      </c>
      <c r="H333" t="s">
        <v>20</v>
      </c>
      <c r="I333">
        <v>0</v>
      </c>
      <c r="J333" t="s">
        <v>29</v>
      </c>
      <c r="K333" t="s">
        <v>22</v>
      </c>
      <c r="L333">
        <v>2301.44</v>
      </c>
    </row>
    <row r="334" spans="1:12" x14ac:dyDescent="0.25">
      <c r="A334" t="s">
        <v>361</v>
      </c>
      <c r="B334">
        <v>72</v>
      </c>
      <c r="C334" t="s">
        <v>13</v>
      </c>
      <c r="D334" t="s">
        <v>28</v>
      </c>
      <c r="E334" s="2">
        <v>45738</v>
      </c>
      <c r="F334" s="2">
        <v>45746</v>
      </c>
      <c r="G334">
        <v>8</v>
      </c>
      <c r="H334" t="s">
        <v>20</v>
      </c>
      <c r="I334">
        <v>0</v>
      </c>
      <c r="J334" t="s">
        <v>21</v>
      </c>
      <c r="K334" t="s">
        <v>17</v>
      </c>
      <c r="L334">
        <v>4877.05</v>
      </c>
    </row>
    <row r="335" spans="1:12" x14ac:dyDescent="0.25">
      <c r="A335" t="s">
        <v>362</v>
      </c>
      <c r="B335">
        <v>50</v>
      </c>
      <c r="C335" t="s">
        <v>13</v>
      </c>
      <c r="D335" t="s">
        <v>32</v>
      </c>
      <c r="E335" s="2">
        <v>45798</v>
      </c>
      <c r="F335" s="2">
        <v>45800</v>
      </c>
      <c r="G335">
        <v>2</v>
      </c>
      <c r="H335" t="s">
        <v>20</v>
      </c>
      <c r="I335">
        <v>0</v>
      </c>
      <c r="J335" t="s">
        <v>21</v>
      </c>
      <c r="K335" t="s">
        <v>22</v>
      </c>
      <c r="L335">
        <v>6246.95</v>
      </c>
    </row>
    <row r="336" spans="1:12" x14ac:dyDescent="0.25">
      <c r="A336" t="s">
        <v>363</v>
      </c>
      <c r="B336">
        <v>47</v>
      </c>
      <c r="C336" t="s">
        <v>24</v>
      </c>
      <c r="D336" t="s">
        <v>28</v>
      </c>
      <c r="E336" s="2">
        <v>45814</v>
      </c>
      <c r="F336" s="2">
        <v>45826</v>
      </c>
      <c r="G336">
        <v>12</v>
      </c>
      <c r="H336" t="s">
        <v>20</v>
      </c>
      <c r="I336">
        <v>0</v>
      </c>
      <c r="J336" t="s">
        <v>16</v>
      </c>
      <c r="K336" t="s">
        <v>17</v>
      </c>
      <c r="L336">
        <v>1880.16</v>
      </c>
    </row>
    <row r="337" spans="1:12" x14ac:dyDescent="0.25">
      <c r="A337" t="s">
        <v>364</v>
      </c>
      <c r="B337">
        <v>46</v>
      </c>
      <c r="C337" t="s">
        <v>24</v>
      </c>
      <c r="D337" t="s">
        <v>19</v>
      </c>
      <c r="E337" s="2">
        <v>45767</v>
      </c>
      <c r="F337" s="2">
        <v>45775</v>
      </c>
      <c r="G337">
        <v>8</v>
      </c>
      <c r="H337" t="s">
        <v>15</v>
      </c>
      <c r="I337">
        <v>1</v>
      </c>
      <c r="J337" t="s">
        <v>25</v>
      </c>
      <c r="K337" t="s">
        <v>22</v>
      </c>
      <c r="L337">
        <v>14828.25</v>
      </c>
    </row>
    <row r="338" spans="1:12" x14ac:dyDescent="0.25">
      <c r="A338" t="s">
        <v>365</v>
      </c>
      <c r="B338">
        <v>27</v>
      </c>
      <c r="C338" t="s">
        <v>13</v>
      </c>
      <c r="D338" t="s">
        <v>40</v>
      </c>
      <c r="E338" s="2">
        <v>45874</v>
      </c>
      <c r="F338" s="2">
        <v>45886</v>
      </c>
      <c r="G338">
        <v>12</v>
      </c>
      <c r="H338" t="s">
        <v>15</v>
      </c>
      <c r="I338">
        <v>3</v>
      </c>
      <c r="J338" t="s">
        <v>16</v>
      </c>
      <c r="K338" t="s">
        <v>22</v>
      </c>
      <c r="L338">
        <v>5043.6000000000004</v>
      </c>
    </row>
    <row r="339" spans="1:12" x14ac:dyDescent="0.25">
      <c r="A339" t="s">
        <v>366</v>
      </c>
      <c r="B339">
        <v>35</v>
      </c>
      <c r="C339" t="s">
        <v>13</v>
      </c>
      <c r="D339" t="s">
        <v>19</v>
      </c>
      <c r="E339" s="2">
        <v>45811</v>
      </c>
      <c r="F339" s="2">
        <v>45814</v>
      </c>
      <c r="G339">
        <v>3</v>
      </c>
      <c r="H339" t="s">
        <v>20</v>
      </c>
      <c r="I339">
        <v>0</v>
      </c>
      <c r="J339" t="s">
        <v>16</v>
      </c>
      <c r="K339" t="s">
        <v>17</v>
      </c>
      <c r="L339">
        <v>9925.2900000000009</v>
      </c>
    </row>
    <row r="340" spans="1:12" x14ac:dyDescent="0.25">
      <c r="A340" t="s">
        <v>367</v>
      </c>
      <c r="B340">
        <v>37</v>
      </c>
      <c r="C340" t="s">
        <v>24</v>
      </c>
      <c r="D340" t="s">
        <v>34</v>
      </c>
      <c r="E340" s="2">
        <v>45883</v>
      </c>
      <c r="F340" s="2">
        <v>45889</v>
      </c>
      <c r="G340">
        <v>6</v>
      </c>
      <c r="H340" t="s">
        <v>20</v>
      </c>
      <c r="I340">
        <v>0</v>
      </c>
      <c r="J340" t="s">
        <v>29</v>
      </c>
      <c r="K340" t="s">
        <v>22</v>
      </c>
      <c r="L340">
        <v>1756.98</v>
      </c>
    </row>
    <row r="341" spans="1:12" x14ac:dyDescent="0.25">
      <c r="A341" t="s">
        <v>368</v>
      </c>
      <c r="B341">
        <v>67</v>
      </c>
      <c r="C341" t="s">
        <v>24</v>
      </c>
      <c r="D341" t="s">
        <v>40</v>
      </c>
      <c r="E341" s="2">
        <v>45709</v>
      </c>
      <c r="F341" s="2">
        <v>45712</v>
      </c>
      <c r="G341">
        <v>3</v>
      </c>
      <c r="H341" t="s">
        <v>20</v>
      </c>
      <c r="I341">
        <v>0</v>
      </c>
      <c r="J341" t="s">
        <v>25</v>
      </c>
      <c r="K341" t="s">
        <v>22</v>
      </c>
      <c r="L341">
        <v>4092.9</v>
      </c>
    </row>
    <row r="342" spans="1:12" x14ac:dyDescent="0.25">
      <c r="A342" t="s">
        <v>369</v>
      </c>
      <c r="B342">
        <v>54</v>
      </c>
      <c r="C342" t="s">
        <v>13</v>
      </c>
      <c r="D342" t="s">
        <v>28</v>
      </c>
      <c r="E342" s="2">
        <v>45988</v>
      </c>
      <c r="F342" s="2">
        <v>45990</v>
      </c>
      <c r="G342">
        <v>2</v>
      </c>
      <c r="H342" t="s">
        <v>15</v>
      </c>
      <c r="I342">
        <v>29</v>
      </c>
      <c r="J342" t="s">
        <v>25</v>
      </c>
      <c r="K342" t="s">
        <v>22</v>
      </c>
      <c r="L342">
        <v>8007.36</v>
      </c>
    </row>
    <row r="343" spans="1:12" x14ac:dyDescent="0.25">
      <c r="A343" t="s">
        <v>370</v>
      </c>
      <c r="B343">
        <v>55</v>
      </c>
      <c r="C343" t="s">
        <v>13</v>
      </c>
      <c r="D343" t="s">
        <v>14</v>
      </c>
      <c r="E343" s="2">
        <v>45918</v>
      </c>
      <c r="F343" s="2">
        <v>45922</v>
      </c>
      <c r="G343">
        <v>4</v>
      </c>
      <c r="H343" t="s">
        <v>20</v>
      </c>
      <c r="I343">
        <v>0</v>
      </c>
      <c r="J343" t="s">
        <v>29</v>
      </c>
      <c r="K343" t="s">
        <v>47</v>
      </c>
      <c r="L343">
        <v>2134.7800000000002</v>
      </c>
    </row>
    <row r="344" spans="1:12" x14ac:dyDescent="0.25">
      <c r="A344" t="s">
        <v>371</v>
      </c>
      <c r="B344">
        <v>85</v>
      </c>
      <c r="C344" t="s">
        <v>13</v>
      </c>
      <c r="D344" t="s">
        <v>32</v>
      </c>
      <c r="E344" s="2">
        <v>45913</v>
      </c>
      <c r="F344" s="2">
        <v>45924</v>
      </c>
      <c r="G344">
        <v>11</v>
      </c>
      <c r="H344" t="s">
        <v>20</v>
      </c>
      <c r="I344">
        <v>0</v>
      </c>
      <c r="J344" t="s">
        <v>25</v>
      </c>
      <c r="K344" t="s">
        <v>22</v>
      </c>
      <c r="L344">
        <v>6109.15</v>
      </c>
    </row>
    <row r="345" spans="1:12" x14ac:dyDescent="0.25">
      <c r="A345" t="s">
        <v>372</v>
      </c>
      <c r="B345">
        <v>40</v>
      </c>
      <c r="C345" t="s">
        <v>24</v>
      </c>
      <c r="D345" t="s">
        <v>19</v>
      </c>
      <c r="E345" s="2">
        <v>45949</v>
      </c>
      <c r="F345" s="2">
        <v>45956</v>
      </c>
      <c r="G345">
        <v>7</v>
      </c>
      <c r="H345" t="s">
        <v>20</v>
      </c>
      <c r="I345">
        <v>0</v>
      </c>
      <c r="J345" t="s">
        <v>16</v>
      </c>
      <c r="K345" t="s">
        <v>17</v>
      </c>
      <c r="L345">
        <v>1479.22</v>
      </c>
    </row>
    <row r="346" spans="1:12" x14ac:dyDescent="0.25">
      <c r="A346" t="s">
        <v>373</v>
      </c>
      <c r="B346">
        <v>25</v>
      </c>
      <c r="C346" t="s">
        <v>24</v>
      </c>
      <c r="D346" t="s">
        <v>34</v>
      </c>
      <c r="E346" s="2">
        <v>45792</v>
      </c>
      <c r="F346" s="2">
        <v>45796</v>
      </c>
      <c r="G346">
        <v>4</v>
      </c>
      <c r="H346" t="s">
        <v>15</v>
      </c>
      <c r="I346">
        <v>10</v>
      </c>
      <c r="J346" t="s">
        <v>29</v>
      </c>
      <c r="K346" t="s">
        <v>47</v>
      </c>
      <c r="L346">
        <v>10676.25</v>
      </c>
    </row>
    <row r="347" spans="1:12" x14ac:dyDescent="0.25">
      <c r="A347" t="s">
        <v>374</v>
      </c>
      <c r="B347">
        <v>37</v>
      </c>
      <c r="C347" t="s">
        <v>24</v>
      </c>
      <c r="D347" t="s">
        <v>19</v>
      </c>
      <c r="E347" s="2">
        <v>45700</v>
      </c>
      <c r="F347" s="2">
        <v>45711</v>
      </c>
      <c r="G347">
        <v>11</v>
      </c>
      <c r="H347" t="s">
        <v>20</v>
      </c>
      <c r="I347">
        <v>0</v>
      </c>
      <c r="J347" t="s">
        <v>25</v>
      </c>
      <c r="K347" t="s">
        <v>22</v>
      </c>
      <c r="L347">
        <v>7913.92</v>
      </c>
    </row>
    <row r="348" spans="1:12" x14ac:dyDescent="0.25">
      <c r="A348" t="s">
        <v>375</v>
      </c>
      <c r="B348">
        <v>59</v>
      </c>
      <c r="C348" t="s">
        <v>24</v>
      </c>
      <c r="D348" t="s">
        <v>34</v>
      </c>
      <c r="E348" s="2">
        <v>45762</v>
      </c>
      <c r="F348" s="2">
        <v>45775</v>
      </c>
      <c r="G348">
        <v>13</v>
      </c>
      <c r="H348" t="s">
        <v>15</v>
      </c>
      <c r="I348">
        <v>21</v>
      </c>
      <c r="J348" t="s">
        <v>16</v>
      </c>
      <c r="K348" t="s">
        <v>47</v>
      </c>
      <c r="L348">
        <v>10630.8</v>
      </c>
    </row>
    <row r="349" spans="1:12" x14ac:dyDescent="0.25">
      <c r="A349" t="s">
        <v>376</v>
      </c>
      <c r="B349">
        <v>73</v>
      </c>
      <c r="C349" t="s">
        <v>13</v>
      </c>
      <c r="D349" t="s">
        <v>40</v>
      </c>
      <c r="E349" s="2">
        <v>45780</v>
      </c>
      <c r="F349" s="2">
        <v>45781</v>
      </c>
      <c r="G349">
        <v>1</v>
      </c>
      <c r="H349" t="s">
        <v>15</v>
      </c>
      <c r="I349">
        <v>20</v>
      </c>
      <c r="J349" t="s">
        <v>16</v>
      </c>
      <c r="K349" t="s">
        <v>47</v>
      </c>
      <c r="L349">
        <v>10158.15</v>
      </c>
    </row>
    <row r="350" spans="1:12" x14ac:dyDescent="0.25">
      <c r="A350" t="s">
        <v>377</v>
      </c>
      <c r="B350">
        <v>19</v>
      </c>
      <c r="C350" t="s">
        <v>13</v>
      </c>
      <c r="D350" t="s">
        <v>28</v>
      </c>
      <c r="E350" s="2">
        <v>45994</v>
      </c>
      <c r="F350" s="2">
        <v>46006</v>
      </c>
      <c r="G350">
        <v>12</v>
      </c>
      <c r="H350" t="s">
        <v>15</v>
      </c>
      <c r="I350">
        <v>1</v>
      </c>
      <c r="J350" t="s">
        <v>21</v>
      </c>
      <c r="K350" t="s">
        <v>47</v>
      </c>
      <c r="L350">
        <v>14318.73</v>
      </c>
    </row>
    <row r="351" spans="1:12" x14ac:dyDescent="0.25">
      <c r="A351" t="s">
        <v>378</v>
      </c>
      <c r="B351">
        <v>51</v>
      </c>
      <c r="C351" t="s">
        <v>13</v>
      </c>
      <c r="D351" t="s">
        <v>32</v>
      </c>
      <c r="E351" s="2">
        <v>45925</v>
      </c>
      <c r="F351" s="2">
        <v>45934</v>
      </c>
      <c r="G351">
        <v>9</v>
      </c>
      <c r="H351" t="s">
        <v>20</v>
      </c>
      <c r="I351">
        <v>0</v>
      </c>
      <c r="J351" t="s">
        <v>21</v>
      </c>
      <c r="K351" t="s">
        <v>17</v>
      </c>
      <c r="L351">
        <v>11826.3</v>
      </c>
    </row>
    <row r="352" spans="1:12" x14ac:dyDescent="0.25">
      <c r="A352" t="s">
        <v>379</v>
      </c>
      <c r="B352">
        <v>21</v>
      </c>
      <c r="C352" t="s">
        <v>24</v>
      </c>
      <c r="D352" t="s">
        <v>40</v>
      </c>
      <c r="E352" s="2">
        <v>45795</v>
      </c>
      <c r="F352" s="2">
        <v>45807</v>
      </c>
      <c r="G352">
        <v>12</v>
      </c>
      <c r="H352" t="s">
        <v>20</v>
      </c>
      <c r="I352">
        <v>0</v>
      </c>
      <c r="J352" t="s">
        <v>25</v>
      </c>
      <c r="K352" t="s">
        <v>17</v>
      </c>
      <c r="L352">
        <v>1426.14</v>
      </c>
    </row>
    <row r="353" spans="1:12" x14ac:dyDescent="0.25">
      <c r="A353" t="s">
        <v>380</v>
      </c>
      <c r="B353">
        <v>81</v>
      </c>
      <c r="C353" t="s">
        <v>24</v>
      </c>
      <c r="D353" t="s">
        <v>34</v>
      </c>
      <c r="E353" s="2">
        <v>46022</v>
      </c>
      <c r="F353" s="2">
        <v>46032</v>
      </c>
      <c r="G353">
        <v>10</v>
      </c>
      <c r="H353" t="s">
        <v>20</v>
      </c>
      <c r="I353">
        <v>0</v>
      </c>
      <c r="J353" t="s">
        <v>25</v>
      </c>
      <c r="K353" t="s">
        <v>22</v>
      </c>
      <c r="L353">
        <v>7744.35</v>
      </c>
    </row>
    <row r="354" spans="1:12" x14ac:dyDescent="0.25">
      <c r="A354" t="s">
        <v>381</v>
      </c>
      <c r="B354">
        <v>50</v>
      </c>
      <c r="C354" t="s">
        <v>13</v>
      </c>
      <c r="D354" t="s">
        <v>34</v>
      </c>
      <c r="E354" s="2">
        <v>45948</v>
      </c>
      <c r="F354" s="2">
        <v>45951</v>
      </c>
      <c r="G354">
        <v>3</v>
      </c>
      <c r="H354" t="s">
        <v>20</v>
      </c>
      <c r="I354">
        <v>0</v>
      </c>
      <c r="J354" t="s">
        <v>16</v>
      </c>
      <c r="K354" t="s">
        <v>22</v>
      </c>
      <c r="L354">
        <v>11241.31</v>
      </c>
    </row>
    <row r="355" spans="1:12" x14ac:dyDescent="0.25">
      <c r="A355" t="s">
        <v>382</v>
      </c>
      <c r="B355">
        <v>19</v>
      </c>
      <c r="C355" t="s">
        <v>13</v>
      </c>
      <c r="D355" t="s">
        <v>19</v>
      </c>
      <c r="E355" s="2">
        <v>45659</v>
      </c>
      <c r="F355" s="2">
        <v>45660</v>
      </c>
      <c r="G355">
        <v>1</v>
      </c>
      <c r="H355" t="s">
        <v>20</v>
      </c>
      <c r="I355">
        <v>0</v>
      </c>
      <c r="J355" t="s">
        <v>29</v>
      </c>
      <c r="K355" t="s">
        <v>47</v>
      </c>
      <c r="L355">
        <v>6053.2</v>
      </c>
    </row>
    <row r="356" spans="1:12" x14ac:dyDescent="0.25">
      <c r="A356" t="s">
        <v>383</v>
      </c>
      <c r="B356">
        <v>22</v>
      </c>
      <c r="C356" t="s">
        <v>24</v>
      </c>
      <c r="D356" t="s">
        <v>14</v>
      </c>
      <c r="E356" s="2">
        <v>45734</v>
      </c>
      <c r="F356" s="2">
        <v>45737</v>
      </c>
      <c r="G356">
        <v>3</v>
      </c>
      <c r="H356" t="s">
        <v>20</v>
      </c>
      <c r="I356">
        <v>0</v>
      </c>
      <c r="J356" t="s">
        <v>25</v>
      </c>
      <c r="K356" t="s">
        <v>22</v>
      </c>
      <c r="L356">
        <v>6535.72</v>
      </c>
    </row>
    <row r="357" spans="1:12" x14ac:dyDescent="0.25">
      <c r="A357" t="s">
        <v>384</v>
      </c>
      <c r="B357">
        <v>65</v>
      </c>
      <c r="C357" t="s">
        <v>13</v>
      </c>
      <c r="D357" t="s">
        <v>34</v>
      </c>
      <c r="E357" s="2">
        <v>45821</v>
      </c>
      <c r="F357" s="2">
        <v>45826</v>
      </c>
      <c r="G357">
        <v>5</v>
      </c>
      <c r="H357" t="s">
        <v>20</v>
      </c>
      <c r="I357">
        <v>0</v>
      </c>
      <c r="J357" t="s">
        <v>16</v>
      </c>
      <c r="K357" t="s">
        <v>22</v>
      </c>
      <c r="L357">
        <v>3736.18</v>
      </c>
    </row>
    <row r="358" spans="1:12" x14ac:dyDescent="0.25">
      <c r="A358" t="s">
        <v>385</v>
      </c>
      <c r="B358">
        <v>26</v>
      </c>
      <c r="C358" t="s">
        <v>24</v>
      </c>
      <c r="D358" t="s">
        <v>32</v>
      </c>
      <c r="E358" s="2">
        <v>45922</v>
      </c>
      <c r="F358" s="2">
        <v>45923</v>
      </c>
      <c r="G358">
        <v>1</v>
      </c>
      <c r="H358" t="s">
        <v>20</v>
      </c>
      <c r="I358">
        <v>0</v>
      </c>
      <c r="J358" t="s">
        <v>25</v>
      </c>
      <c r="K358" t="s">
        <v>47</v>
      </c>
      <c r="L358">
        <v>1752.59</v>
      </c>
    </row>
    <row r="359" spans="1:12" x14ac:dyDescent="0.25">
      <c r="A359" t="s">
        <v>386</v>
      </c>
      <c r="B359">
        <v>55</v>
      </c>
      <c r="C359" t="s">
        <v>24</v>
      </c>
      <c r="D359" t="s">
        <v>28</v>
      </c>
      <c r="E359" s="2">
        <v>45891</v>
      </c>
      <c r="F359" s="2">
        <v>45892</v>
      </c>
      <c r="G359">
        <v>1</v>
      </c>
      <c r="H359" t="s">
        <v>20</v>
      </c>
      <c r="I359">
        <v>0</v>
      </c>
      <c r="J359" t="s">
        <v>21</v>
      </c>
      <c r="K359" t="s">
        <v>47</v>
      </c>
      <c r="L359">
        <v>5839.97</v>
      </c>
    </row>
    <row r="360" spans="1:12" x14ac:dyDescent="0.25">
      <c r="A360" t="s">
        <v>387</v>
      </c>
      <c r="B360">
        <v>87</v>
      </c>
      <c r="C360" t="s">
        <v>13</v>
      </c>
      <c r="D360" t="s">
        <v>14</v>
      </c>
      <c r="E360" s="2">
        <v>45910</v>
      </c>
      <c r="F360" s="2">
        <v>45923</v>
      </c>
      <c r="G360">
        <v>13</v>
      </c>
      <c r="H360" t="s">
        <v>20</v>
      </c>
      <c r="I360">
        <v>0</v>
      </c>
      <c r="J360" t="s">
        <v>16</v>
      </c>
      <c r="K360" t="s">
        <v>47</v>
      </c>
      <c r="L360">
        <v>846.7</v>
      </c>
    </row>
    <row r="361" spans="1:12" x14ac:dyDescent="0.25">
      <c r="A361" t="s">
        <v>388</v>
      </c>
      <c r="B361">
        <v>19</v>
      </c>
      <c r="C361" t="s">
        <v>24</v>
      </c>
      <c r="D361" t="s">
        <v>19</v>
      </c>
      <c r="E361" s="2">
        <v>45935</v>
      </c>
      <c r="F361" s="2">
        <v>45941</v>
      </c>
      <c r="G361">
        <v>6</v>
      </c>
      <c r="H361" t="s">
        <v>20</v>
      </c>
      <c r="I361">
        <v>0</v>
      </c>
      <c r="J361" t="s">
        <v>29</v>
      </c>
      <c r="K361" t="s">
        <v>17</v>
      </c>
      <c r="L361">
        <v>11044.62</v>
      </c>
    </row>
    <row r="362" spans="1:12" x14ac:dyDescent="0.25">
      <c r="A362" t="s">
        <v>389</v>
      </c>
      <c r="B362">
        <v>48</v>
      </c>
      <c r="C362" t="s">
        <v>24</v>
      </c>
      <c r="D362" t="s">
        <v>40</v>
      </c>
      <c r="E362" s="2">
        <v>45711</v>
      </c>
      <c r="F362" s="2">
        <v>45715</v>
      </c>
      <c r="G362">
        <v>4</v>
      </c>
      <c r="H362" t="s">
        <v>20</v>
      </c>
      <c r="I362">
        <v>0</v>
      </c>
      <c r="J362" t="s">
        <v>16</v>
      </c>
      <c r="K362" t="s">
        <v>22</v>
      </c>
      <c r="L362">
        <v>10818.96</v>
      </c>
    </row>
    <row r="363" spans="1:12" x14ac:dyDescent="0.25">
      <c r="A363" t="s">
        <v>390</v>
      </c>
      <c r="B363">
        <v>84</v>
      </c>
      <c r="C363" t="s">
        <v>24</v>
      </c>
      <c r="D363" t="s">
        <v>28</v>
      </c>
      <c r="E363" s="2">
        <v>45705</v>
      </c>
      <c r="F363" s="2">
        <v>45706</v>
      </c>
      <c r="G363">
        <v>1</v>
      </c>
      <c r="H363" t="s">
        <v>20</v>
      </c>
      <c r="I363">
        <v>0</v>
      </c>
      <c r="J363" t="s">
        <v>25</v>
      </c>
      <c r="K363" t="s">
        <v>47</v>
      </c>
      <c r="L363">
        <v>14631.04</v>
      </c>
    </row>
    <row r="364" spans="1:12" x14ac:dyDescent="0.25">
      <c r="A364" t="s">
        <v>391</v>
      </c>
      <c r="B364">
        <v>35</v>
      </c>
      <c r="C364" t="s">
        <v>24</v>
      </c>
      <c r="D364" t="s">
        <v>19</v>
      </c>
      <c r="E364" s="2">
        <v>45701</v>
      </c>
      <c r="F364" s="2">
        <v>45711</v>
      </c>
      <c r="G364">
        <v>10</v>
      </c>
      <c r="H364" t="s">
        <v>15</v>
      </c>
      <c r="I364">
        <v>19</v>
      </c>
      <c r="J364" t="s">
        <v>16</v>
      </c>
      <c r="K364" t="s">
        <v>47</v>
      </c>
      <c r="L364">
        <v>10105.44</v>
      </c>
    </row>
    <row r="365" spans="1:12" x14ac:dyDescent="0.25">
      <c r="A365" t="s">
        <v>392</v>
      </c>
      <c r="B365">
        <v>58</v>
      </c>
      <c r="C365" t="s">
        <v>24</v>
      </c>
      <c r="D365" t="s">
        <v>28</v>
      </c>
      <c r="E365" s="2">
        <v>45724</v>
      </c>
      <c r="F365" s="2">
        <v>45728</v>
      </c>
      <c r="G365">
        <v>4</v>
      </c>
      <c r="H365" t="s">
        <v>15</v>
      </c>
      <c r="I365">
        <v>27</v>
      </c>
      <c r="J365" t="s">
        <v>25</v>
      </c>
      <c r="K365" t="s">
        <v>47</v>
      </c>
      <c r="L365">
        <v>7064.99</v>
      </c>
    </row>
    <row r="366" spans="1:12" x14ac:dyDescent="0.25">
      <c r="A366" t="s">
        <v>393</v>
      </c>
      <c r="B366">
        <v>35</v>
      </c>
      <c r="C366" t="s">
        <v>13</v>
      </c>
      <c r="D366" t="s">
        <v>14</v>
      </c>
      <c r="E366" s="2">
        <v>45777</v>
      </c>
      <c r="F366" s="2">
        <v>45779</v>
      </c>
      <c r="G366">
        <v>2</v>
      </c>
      <c r="H366" t="s">
        <v>20</v>
      </c>
      <c r="I366">
        <v>0</v>
      </c>
      <c r="J366" t="s">
        <v>16</v>
      </c>
      <c r="K366" t="s">
        <v>22</v>
      </c>
      <c r="L366">
        <v>7018.72</v>
      </c>
    </row>
    <row r="367" spans="1:12" x14ac:dyDescent="0.25">
      <c r="A367" t="s">
        <v>394</v>
      </c>
      <c r="B367">
        <v>63</v>
      </c>
      <c r="C367" t="s">
        <v>13</v>
      </c>
      <c r="D367" t="s">
        <v>40</v>
      </c>
      <c r="E367" s="2">
        <v>45818</v>
      </c>
      <c r="F367" s="2">
        <v>45825</v>
      </c>
      <c r="G367">
        <v>7</v>
      </c>
      <c r="H367" t="s">
        <v>15</v>
      </c>
      <c r="I367">
        <v>10</v>
      </c>
      <c r="J367" t="s">
        <v>29</v>
      </c>
      <c r="K367" t="s">
        <v>47</v>
      </c>
      <c r="L367">
        <v>12860.99</v>
      </c>
    </row>
    <row r="368" spans="1:12" x14ac:dyDescent="0.25">
      <c r="A368" t="s">
        <v>395</v>
      </c>
      <c r="B368">
        <v>56</v>
      </c>
      <c r="C368" t="s">
        <v>13</v>
      </c>
      <c r="D368" t="s">
        <v>14</v>
      </c>
      <c r="E368" s="2">
        <v>45704</v>
      </c>
      <c r="F368" s="2">
        <v>45707</v>
      </c>
      <c r="G368">
        <v>3</v>
      </c>
      <c r="H368" t="s">
        <v>20</v>
      </c>
      <c r="I368">
        <v>0</v>
      </c>
      <c r="J368" t="s">
        <v>25</v>
      </c>
      <c r="K368" t="s">
        <v>22</v>
      </c>
      <c r="L368">
        <v>1822.59</v>
      </c>
    </row>
    <row r="369" spans="1:12" x14ac:dyDescent="0.25">
      <c r="A369" t="s">
        <v>396</v>
      </c>
      <c r="B369">
        <v>24</v>
      </c>
      <c r="C369" t="s">
        <v>24</v>
      </c>
      <c r="D369" t="s">
        <v>32</v>
      </c>
      <c r="E369" s="2">
        <v>45785</v>
      </c>
      <c r="F369" s="2">
        <v>45791</v>
      </c>
      <c r="G369">
        <v>6</v>
      </c>
      <c r="H369" t="s">
        <v>20</v>
      </c>
      <c r="I369">
        <v>0</v>
      </c>
      <c r="J369" t="s">
        <v>21</v>
      </c>
      <c r="K369" t="s">
        <v>22</v>
      </c>
      <c r="L369">
        <v>14305.4</v>
      </c>
    </row>
    <row r="370" spans="1:12" x14ac:dyDescent="0.25">
      <c r="A370" t="s">
        <v>397</v>
      </c>
      <c r="B370">
        <v>49</v>
      </c>
      <c r="C370" t="s">
        <v>13</v>
      </c>
      <c r="D370" t="s">
        <v>40</v>
      </c>
      <c r="E370" s="2">
        <v>45889</v>
      </c>
      <c r="F370" s="2">
        <v>45898</v>
      </c>
      <c r="G370">
        <v>9</v>
      </c>
      <c r="H370" t="s">
        <v>20</v>
      </c>
      <c r="I370">
        <v>0</v>
      </c>
      <c r="J370" t="s">
        <v>16</v>
      </c>
      <c r="K370" t="s">
        <v>22</v>
      </c>
      <c r="L370">
        <v>2261.0700000000002</v>
      </c>
    </row>
    <row r="371" spans="1:12" x14ac:dyDescent="0.25">
      <c r="A371" t="s">
        <v>398</v>
      </c>
      <c r="B371">
        <v>46</v>
      </c>
      <c r="C371" t="s">
        <v>13</v>
      </c>
      <c r="D371" t="s">
        <v>14</v>
      </c>
      <c r="E371" s="2">
        <v>45689</v>
      </c>
      <c r="F371" s="2">
        <v>45703</v>
      </c>
      <c r="G371">
        <v>14</v>
      </c>
      <c r="H371" t="s">
        <v>20</v>
      </c>
      <c r="I371">
        <v>0</v>
      </c>
      <c r="J371" t="s">
        <v>29</v>
      </c>
      <c r="K371" t="s">
        <v>47</v>
      </c>
      <c r="L371">
        <v>10451.14</v>
      </c>
    </row>
    <row r="372" spans="1:12" x14ac:dyDescent="0.25">
      <c r="A372" t="s">
        <v>399</v>
      </c>
      <c r="B372">
        <v>51</v>
      </c>
      <c r="C372" t="s">
        <v>13</v>
      </c>
      <c r="D372" t="s">
        <v>19</v>
      </c>
      <c r="E372" s="2">
        <v>45988</v>
      </c>
      <c r="F372" s="2">
        <v>45990</v>
      </c>
      <c r="G372">
        <v>2</v>
      </c>
      <c r="H372" t="s">
        <v>20</v>
      </c>
      <c r="I372">
        <v>0</v>
      </c>
      <c r="J372" t="s">
        <v>16</v>
      </c>
      <c r="K372" t="s">
        <v>22</v>
      </c>
      <c r="L372">
        <v>13586.19</v>
      </c>
    </row>
    <row r="373" spans="1:12" x14ac:dyDescent="0.25">
      <c r="A373" t="s">
        <v>400</v>
      </c>
      <c r="B373">
        <v>60</v>
      </c>
      <c r="C373" t="s">
        <v>13</v>
      </c>
      <c r="D373" t="s">
        <v>19</v>
      </c>
      <c r="E373" s="2">
        <v>45885</v>
      </c>
      <c r="F373" s="2">
        <v>45898</v>
      </c>
      <c r="G373">
        <v>13</v>
      </c>
      <c r="H373" t="s">
        <v>15</v>
      </c>
      <c r="I373">
        <v>15</v>
      </c>
      <c r="J373" t="s">
        <v>16</v>
      </c>
      <c r="K373" t="s">
        <v>22</v>
      </c>
      <c r="L373">
        <v>13899.91</v>
      </c>
    </row>
    <row r="374" spans="1:12" x14ac:dyDescent="0.25">
      <c r="A374" t="s">
        <v>401</v>
      </c>
      <c r="B374">
        <v>81</v>
      </c>
      <c r="C374" t="s">
        <v>13</v>
      </c>
      <c r="D374" t="s">
        <v>40</v>
      </c>
      <c r="E374" s="2">
        <v>45879</v>
      </c>
      <c r="F374" s="2">
        <v>45893</v>
      </c>
      <c r="G374">
        <v>14</v>
      </c>
      <c r="H374" t="s">
        <v>20</v>
      </c>
      <c r="I374">
        <v>0</v>
      </c>
      <c r="J374" t="s">
        <v>29</v>
      </c>
      <c r="K374" t="s">
        <v>22</v>
      </c>
      <c r="L374">
        <v>5632.18</v>
      </c>
    </row>
    <row r="375" spans="1:12" x14ac:dyDescent="0.25">
      <c r="A375" t="s">
        <v>402</v>
      </c>
      <c r="B375">
        <v>37</v>
      </c>
      <c r="C375" t="s">
        <v>13</v>
      </c>
      <c r="D375" t="s">
        <v>34</v>
      </c>
      <c r="E375" s="2">
        <v>45753</v>
      </c>
      <c r="F375" s="2">
        <v>45758</v>
      </c>
      <c r="G375">
        <v>5</v>
      </c>
      <c r="H375" t="s">
        <v>15</v>
      </c>
      <c r="I375">
        <v>20</v>
      </c>
      <c r="J375" t="s">
        <v>21</v>
      </c>
      <c r="K375" t="s">
        <v>17</v>
      </c>
      <c r="L375">
        <v>4779.0200000000004</v>
      </c>
    </row>
    <row r="376" spans="1:12" x14ac:dyDescent="0.25">
      <c r="A376" t="s">
        <v>403</v>
      </c>
      <c r="B376">
        <v>29</v>
      </c>
      <c r="C376" t="s">
        <v>24</v>
      </c>
      <c r="D376" t="s">
        <v>40</v>
      </c>
      <c r="E376" s="2">
        <v>45868</v>
      </c>
      <c r="F376" s="2">
        <v>45877</v>
      </c>
      <c r="G376">
        <v>9</v>
      </c>
      <c r="H376" t="s">
        <v>20</v>
      </c>
      <c r="I376">
        <v>0</v>
      </c>
      <c r="J376" t="s">
        <v>21</v>
      </c>
      <c r="K376" t="s">
        <v>47</v>
      </c>
      <c r="L376">
        <v>3392.14</v>
      </c>
    </row>
    <row r="377" spans="1:12" x14ac:dyDescent="0.25">
      <c r="A377" t="s">
        <v>404</v>
      </c>
      <c r="B377">
        <v>87</v>
      </c>
      <c r="C377" t="s">
        <v>13</v>
      </c>
      <c r="D377" t="s">
        <v>40</v>
      </c>
      <c r="E377" s="2">
        <v>45927</v>
      </c>
      <c r="F377" s="2">
        <v>45931</v>
      </c>
      <c r="G377">
        <v>4</v>
      </c>
      <c r="H377" t="s">
        <v>20</v>
      </c>
      <c r="I377">
        <v>0</v>
      </c>
      <c r="J377" t="s">
        <v>25</v>
      </c>
      <c r="K377" t="s">
        <v>47</v>
      </c>
      <c r="L377">
        <v>8395.51</v>
      </c>
    </row>
    <row r="378" spans="1:12" x14ac:dyDescent="0.25">
      <c r="A378" t="s">
        <v>405</v>
      </c>
      <c r="B378">
        <v>82</v>
      </c>
      <c r="C378" t="s">
        <v>24</v>
      </c>
      <c r="D378" t="s">
        <v>40</v>
      </c>
      <c r="E378" s="2">
        <v>45906</v>
      </c>
      <c r="F378" s="2">
        <v>45912</v>
      </c>
      <c r="G378">
        <v>6</v>
      </c>
      <c r="H378" t="s">
        <v>20</v>
      </c>
      <c r="I378">
        <v>0</v>
      </c>
      <c r="J378" t="s">
        <v>25</v>
      </c>
      <c r="K378" t="s">
        <v>22</v>
      </c>
      <c r="L378">
        <v>877.91</v>
      </c>
    </row>
    <row r="379" spans="1:12" x14ac:dyDescent="0.25">
      <c r="A379" t="s">
        <v>406</v>
      </c>
      <c r="B379">
        <v>53</v>
      </c>
      <c r="C379" t="s">
        <v>13</v>
      </c>
      <c r="D379" t="s">
        <v>40</v>
      </c>
      <c r="E379" s="2">
        <v>45963</v>
      </c>
      <c r="F379" s="2">
        <v>45967</v>
      </c>
      <c r="G379">
        <v>4</v>
      </c>
      <c r="H379" t="s">
        <v>15</v>
      </c>
      <c r="I379">
        <v>17</v>
      </c>
      <c r="J379" t="s">
        <v>25</v>
      </c>
      <c r="K379" t="s">
        <v>17</v>
      </c>
      <c r="L379">
        <v>14994.28</v>
      </c>
    </row>
    <row r="380" spans="1:12" x14ac:dyDescent="0.25">
      <c r="A380" t="s">
        <v>407</v>
      </c>
      <c r="B380">
        <v>48</v>
      </c>
      <c r="C380" t="s">
        <v>24</v>
      </c>
      <c r="D380" t="s">
        <v>34</v>
      </c>
      <c r="E380" s="2">
        <v>45739</v>
      </c>
      <c r="F380" s="2">
        <v>45741</v>
      </c>
      <c r="G380">
        <v>2</v>
      </c>
      <c r="H380" t="s">
        <v>15</v>
      </c>
      <c r="I380">
        <v>27</v>
      </c>
      <c r="J380" t="s">
        <v>16</v>
      </c>
      <c r="K380" t="s">
        <v>22</v>
      </c>
      <c r="L380">
        <v>8847.5400000000009</v>
      </c>
    </row>
    <row r="381" spans="1:12" x14ac:dyDescent="0.25">
      <c r="A381" t="s">
        <v>408</v>
      </c>
      <c r="B381">
        <v>40</v>
      </c>
      <c r="C381" t="s">
        <v>13</v>
      </c>
      <c r="D381" t="s">
        <v>14</v>
      </c>
      <c r="E381" s="2">
        <v>45856</v>
      </c>
      <c r="F381" s="2">
        <v>45862</v>
      </c>
      <c r="G381">
        <v>6</v>
      </c>
      <c r="H381" t="s">
        <v>20</v>
      </c>
      <c r="I381">
        <v>0</v>
      </c>
      <c r="J381" t="s">
        <v>25</v>
      </c>
      <c r="K381" t="s">
        <v>17</v>
      </c>
      <c r="L381">
        <v>10615.59</v>
      </c>
    </row>
    <row r="382" spans="1:12" x14ac:dyDescent="0.25">
      <c r="A382" t="s">
        <v>409</v>
      </c>
      <c r="B382">
        <v>63</v>
      </c>
      <c r="C382" t="s">
        <v>13</v>
      </c>
      <c r="D382" t="s">
        <v>34</v>
      </c>
      <c r="E382" s="2">
        <v>45960</v>
      </c>
      <c r="F382" s="2">
        <v>45961</v>
      </c>
      <c r="G382">
        <v>1</v>
      </c>
      <c r="H382" t="s">
        <v>20</v>
      </c>
      <c r="I382">
        <v>0</v>
      </c>
      <c r="J382" t="s">
        <v>21</v>
      </c>
      <c r="K382" t="s">
        <v>47</v>
      </c>
      <c r="L382">
        <v>8360.81</v>
      </c>
    </row>
    <row r="383" spans="1:12" x14ac:dyDescent="0.25">
      <c r="A383" t="s">
        <v>410</v>
      </c>
      <c r="B383">
        <v>25</v>
      </c>
      <c r="C383" t="s">
        <v>13</v>
      </c>
      <c r="D383" t="s">
        <v>34</v>
      </c>
      <c r="E383" s="2">
        <v>45747</v>
      </c>
      <c r="F383" s="2">
        <v>45755</v>
      </c>
      <c r="G383">
        <v>8</v>
      </c>
      <c r="H383" t="s">
        <v>15</v>
      </c>
      <c r="I383">
        <v>8</v>
      </c>
      <c r="J383" t="s">
        <v>16</v>
      </c>
      <c r="K383" t="s">
        <v>17</v>
      </c>
      <c r="L383">
        <v>7430.84</v>
      </c>
    </row>
    <row r="384" spans="1:12" x14ac:dyDescent="0.25">
      <c r="A384" t="s">
        <v>411</v>
      </c>
      <c r="B384">
        <v>34</v>
      </c>
      <c r="C384" t="s">
        <v>24</v>
      </c>
      <c r="D384" t="s">
        <v>28</v>
      </c>
      <c r="E384" s="2">
        <v>45827</v>
      </c>
      <c r="F384" s="2">
        <v>45837</v>
      </c>
      <c r="G384">
        <v>10</v>
      </c>
      <c r="H384" t="s">
        <v>15</v>
      </c>
      <c r="I384">
        <v>6</v>
      </c>
      <c r="J384" t="s">
        <v>25</v>
      </c>
      <c r="K384" t="s">
        <v>22</v>
      </c>
      <c r="L384">
        <v>817.74</v>
      </c>
    </row>
    <row r="385" spans="1:12" x14ac:dyDescent="0.25">
      <c r="A385" t="s">
        <v>412</v>
      </c>
      <c r="B385">
        <v>32</v>
      </c>
      <c r="C385" t="s">
        <v>24</v>
      </c>
      <c r="D385" t="s">
        <v>19</v>
      </c>
      <c r="E385" s="2">
        <v>45958</v>
      </c>
      <c r="F385" s="2">
        <v>45970</v>
      </c>
      <c r="G385">
        <v>12</v>
      </c>
      <c r="H385" t="s">
        <v>20</v>
      </c>
      <c r="I385">
        <v>0</v>
      </c>
      <c r="J385" t="s">
        <v>25</v>
      </c>
      <c r="K385" t="s">
        <v>17</v>
      </c>
      <c r="L385">
        <v>14157.89</v>
      </c>
    </row>
    <row r="386" spans="1:12" x14ac:dyDescent="0.25">
      <c r="A386" t="s">
        <v>413</v>
      </c>
      <c r="B386">
        <v>56</v>
      </c>
      <c r="C386" t="s">
        <v>24</v>
      </c>
      <c r="D386" t="s">
        <v>14</v>
      </c>
      <c r="E386" s="2">
        <v>45860</v>
      </c>
      <c r="F386" s="2">
        <v>45870</v>
      </c>
      <c r="G386">
        <v>10</v>
      </c>
      <c r="H386" t="s">
        <v>15</v>
      </c>
      <c r="I386">
        <v>6</v>
      </c>
      <c r="J386" t="s">
        <v>29</v>
      </c>
      <c r="K386" t="s">
        <v>17</v>
      </c>
      <c r="L386">
        <v>14429.6</v>
      </c>
    </row>
    <row r="387" spans="1:12" x14ac:dyDescent="0.25">
      <c r="A387" t="s">
        <v>414</v>
      </c>
      <c r="B387">
        <v>89</v>
      </c>
      <c r="C387" t="s">
        <v>24</v>
      </c>
      <c r="D387" t="s">
        <v>14</v>
      </c>
      <c r="E387" s="2">
        <v>45990</v>
      </c>
      <c r="F387" s="2">
        <v>45996</v>
      </c>
      <c r="G387">
        <v>6</v>
      </c>
      <c r="H387" t="s">
        <v>15</v>
      </c>
      <c r="I387">
        <v>22</v>
      </c>
      <c r="J387" t="s">
        <v>21</v>
      </c>
      <c r="K387" t="s">
        <v>47</v>
      </c>
      <c r="L387">
        <v>4948.9399999999996</v>
      </c>
    </row>
    <row r="388" spans="1:12" x14ac:dyDescent="0.25">
      <c r="A388" t="s">
        <v>415</v>
      </c>
      <c r="B388">
        <v>18</v>
      </c>
      <c r="C388" t="s">
        <v>24</v>
      </c>
      <c r="D388" t="s">
        <v>34</v>
      </c>
      <c r="E388" s="2">
        <v>46010</v>
      </c>
      <c r="F388" s="2">
        <v>46015</v>
      </c>
      <c r="G388">
        <v>5</v>
      </c>
      <c r="H388" t="s">
        <v>15</v>
      </c>
      <c r="I388">
        <v>2</v>
      </c>
      <c r="J388" t="s">
        <v>21</v>
      </c>
      <c r="K388" t="s">
        <v>17</v>
      </c>
      <c r="L388">
        <v>5114.1499999999996</v>
      </c>
    </row>
    <row r="389" spans="1:12" x14ac:dyDescent="0.25">
      <c r="A389" t="s">
        <v>416</v>
      </c>
      <c r="B389">
        <v>31</v>
      </c>
      <c r="C389" t="s">
        <v>24</v>
      </c>
      <c r="D389" t="s">
        <v>14</v>
      </c>
      <c r="E389" s="2">
        <v>45971</v>
      </c>
      <c r="F389" s="2">
        <v>45975</v>
      </c>
      <c r="G389">
        <v>4</v>
      </c>
      <c r="H389" t="s">
        <v>20</v>
      </c>
      <c r="I389">
        <v>0</v>
      </c>
      <c r="J389" t="s">
        <v>25</v>
      </c>
      <c r="K389" t="s">
        <v>17</v>
      </c>
      <c r="L389">
        <v>1628.2</v>
      </c>
    </row>
    <row r="390" spans="1:12" x14ac:dyDescent="0.25">
      <c r="A390" t="s">
        <v>417</v>
      </c>
      <c r="B390">
        <v>29</v>
      </c>
      <c r="C390" t="s">
        <v>24</v>
      </c>
      <c r="D390" t="s">
        <v>40</v>
      </c>
      <c r="E390" s="2">
        <v>45835</v>
      </c>
      <c r="F390" s="2">
        <v>45841</v>
      </c>
      <c r="G390">
        <v>6</v>
      </c>
      <c r="H390" t="s">
        <v>15</v>
      </c>
      <c r="I390">
        <v>1</v>
      </c>
      <c r="J390" t="s">
        <v>25</v>
      </c>
      <c r="K390" t="s">
        <v>22</v>
      </c>
      <c r="L390">
        <v>4118.34</v>
      </c>
    </row>
    <row r="391" spans="1:12" x14ac:dyDescent="0.25">
      <c r="A391" t="s">
        <v>418</v>
      </c>
      <c r="B391">
        <v>31</v>
      </c>
      <c r="C391" t="s">
        <v>13</v>
      </c>
      <c r="D391" t="s">
        <v>19</v>
      </c>
      <c r="E391" s="2">
        <v>45692</v>
      </c>
      <c r="F391" s="2">
        <v>45698</v>
      </c>
      <c r="G391">
        <v>6</v>
      </c>
      <c r="H391" t="s">
        <v>15</v>
      </c>
      <c r="I391">
        <v>13</v>
      </c>
      <c r="J391" t="s">
        <v>29</v>
      </c>
      <c r="K391" t="s">
        <v>17</v>
      </c>
      <c r="L391">
        <v>6584.97</v>
      </c>
    </row>
    <row r="392" spans="1:12" x14ac:dyDescent="0.25">
      <c r="A392" t="s">
        <v>419</v>
      </c>
      <c r="B392">
        <v>66</v>
      </c>
      <c r="C392" t="s">
        <v>24</v>
      </c>
      <c r="D392" t="s">
        <v>34</v>
      </c>
      <c r="E392" s="2">
        <v>45743</v>
      </c>
      <c r="F392" s="2">
        <v>45750</v>
      </c>
      <c r="G392">
        <v>7</v>
      </c>
      <c r="H392" t="s">
        <v>20</v>
      </c>
      <c r="I392">
        <v>0</v>
      </c>
      <c r="J392" t="s">
        <v>29</v>
      </c>
      <c r="K392" t="s">
        <v>22</v>
      </c>
      <c r="L392">
        <v>12517.7</v>
      </c>
    </row>
    <row r="393" spans="1:12" x14ac:dyDescent="0.25">
      <c r="A393" t="s">
        <v>420</v>
      </c>
      <c r="B393">
        <v>46</v>
      </c>
      <c r="C393" t="s">
        <v>13</v>
      </c>
      <c r="D393" t="s">
        <v>40</v>
      </c>
      <c r="E393" s="2">
        <v>45953</v>
      </c>
      <c r="F393" s="2">
        <v>45964</v>
      </c>
      <c r="G393">
        <v>11</v>
      </c>
      <c r="H393" t="s">
        <v>20</v>
      </c>
      <c r="I393">
        <v>0</v>
      </c>
      <c r="J393" t="s">
        <v>16</v>
      </c>
      <c r="K393" t="s">
        <v>22</v>
      </c>
      <c r="L393">
        <v>4776.17</v>
      </c>
    </row>
    <row r="394" spans="1:12" x14ac:dyDescent="0.25">
      <c r="A394" t="s">
        <v>421</v>
      </c>
      <c r="B394">
        <v>27</v>
      </c>
      <c r="C394" t="s">
        <v>24</v>
      </c>
      <c r="D394" t="s">
        <v>14</v>
      </c>
      <c r="E394" s="2">
        <v>45821</v>
      </c>
      <c r="F394" s="2">
        <v>45826</v>
      </c>
      <c r="G394">
        <v>5</v>
      </c>
      <c r="H394" t="s">
        <v>20</v>
      </c>
      <c r="I394">
        <v>0</v>
      </c>
      <c r="J394" t="s">
        <v>29</v>
      </c>
      <c r="K394" t="s">
        <v>22</v>
      </c>
      <c r="L394">
        <v>11113.78</v>
      </c>
    </row>
    <row r="395" spans="1:12" x14ac:dyDescent="0.25">
      <c r="A395" t="s">
        <v>422</v>
      </c>
      <c r="B395">
        <v>79</v>
      </c>
      <c r="C395" t="s">
        <v>13</v>
      </c>
      <c r="D395" t="s">
        <v>40</v>
      </c>
      <c r="E395" s="2">
        <v>45938</v>
      </c>
      <c r="F395" s="2">
        <v>45940</v>
      </c>
      <c r="G395">
        <v>2</v>
      </c>
      <c r="H395" t="s">
        <v>20</v>
      </c>
      <c r="I395">
        <v>0</v>
      </c>
      <c r="J395" t="s">
        <v>21</v>
      </c>
      <c r="K395" t="s">
        <v>17</v>
      </c>
      <c r="L395">
        <v>13401.42</v>
      </c>
    </row>
    <row r="396" spans="1:12" x14ac:dyDescent="0.25">
      <c r="A396" t="s">
        <v>423</v>
      </c>
      <c r="B396">
        <v>44</v>
      </c>
      <c r="C396" t="s">
        <v>13</v>
      </c>
      <c r="D396" t="s">
        <v>40</v>
      </c>
      <c r="E396" s="2">
        <v>45738</v>
      </c>
      <c r="F396" s="2">
        <v>45739</v>
      </c>
      <c r="G396">
        <v>1</v>
      </c>
      <c r="H396" t="s">
        <v>15</v>
      </c>
      <c r="I396">
        <v>23</v>
      </c>
      <c r="J396" t="s">
        <v>25</v>
      </c>
      <c r="K396" t="s">
        <v>17</v>
      </c>
      <c r="L396">
        <v>4582.08</v>
      </c>
    </row>
    <row r="397" spans="1:12" x14ac:dyDescent="0.25">
      <c r="A397" t="s">
        <v>424</v>
      </c>
      <c r="B397">
        <v>88</v>
      </c>
      <c r="C397" t="s">
        <v>24</v>
      </c>
      <c r="D397" t="s">
        <v>14</v>
      </c>
      <c r="E397" s="2">
        <v>45779</v>
      </c>
      <c r="F397" s="2">
        <v>45781</v>
      </c>
      <c r="G397">
        <v>2</v>
      </c>
      <c r="H397" t="s">
        <v>15</v>
      </c>
      <c r="I397">
        <v>2</v>
      </c>
      <c r="J397" t="s">
        <v>25</v>
      </c>
      <c r="K397" t="s">
        <v>22</v>
      </c>
      <c r="L397">
        <v>6700.29</v>
      </c>
    </row>
    <row r="398" spans="1:12" x14ac:dyDescent="0.25">
      <c r="A398" t="s">
        <v>425</v>
      </c>
      <c r="B398">
        <v>79</v>
      </c>
      <c r="C398" t="s">
        <v>13</v>
      </c>
      <c r="D398" t="s">
        <v>19</v>
      </c>
      <c r="E398" s="2">
        <v>45808</v>
      </c>
      <c r="F398" s="2">
        <v>45822</v>
      </c>
      <c r="G398">
        <v>14</v>
      </c>
      <c r="H398" t="s">
        <v>20</v>
      </c>
      <c r="I398">
        <v>0</v>
      </c>
      <c r="J398" t="s">
        <v>16</v>
      </c>
      <c r="K398" t="s">
        <v>22</v>
      </c>
      <c r="L398">
        <v>2977.07</v>
      </c>
    </row>
    <row r="399" spans="1:12" x14ac:dyDescent="0.25">
      <c r="A399" t="s">
        <v>426</v>
      </c>
      <c r="B399">
        <v>32</v>
      </c>
      <c r="C399" t="s">
        <v>24</v>
      </c>
      <c r="D399" t="s">
        <v>40</v>
      </c>
      <c r="E399" s="2">
        <v>45807</v>
      </c>
      <c r="F399" s="2">
        <v>45809</v>
      </c>
      <c r="G399">
        <v>2</v>
      </c>
      <c r="H399" t="s">
        <v>20</v>
      </c>
      <c r="I399">
        <v>0</v>
      </c>
      <c r="J399" t="s">
        <v>29</v>
      </c>
      <c r="K399" t="s">
        <v>47</v>
      </c>
      <c r="L399">
        <v>13475.72</v>
      </c>
    </row>
    <row r="400" spans="1:12" x14ac:dyDescent="0.25">
      <c r="A400" t="s">
        <v>427</v>
      </c>
      <c r="B400">
        <v>67</v>
      </c>
      <c r="C400" t="s">
        <v>13</v>
      </c>
      <c r="D400" t="s">
        <v>32</v>
      </c>
      <c r="E400" s="2">
        <v>45793</v>
      </c>
      <c r="F400" s="2">
        <v>45795</v>
      </c>
      <c r="G400">
        <v>2</v>
      </c>
      <c r="H400" t="s">
        <v>20</v>
      </c>
      <c r="I400">
        <v>0</v>
      </c>
      <c r="J400" t="s">
        <v>29</v>
      </c>
      <c r="K400" t="s">
        <v>47</v>
      </c>
      <c r="L400">
        <v>3205.45</v>
      </c>
    </row>
    <row r="401" spans="1:12" x14ac:dyDescent="0.25">
      <c r="A401" t="s">
        <v>428</v>
      </c>
      <c r="B401">
        <v>51</v>
      </c>
      <c r="C401" t="s">
        <v>13</v>
      </c>
      <c r="D401" t="s">
        <v>32</v>
      </c>
      <c r="E401" s="2">
        <v>45680</v>
      </c>
      <c r="F401" s="2">
        <v>45685</v>
      </c>
      <c r="G401">
        <v>5</v>
      </c>
      <c r="H401" t="s">
        <v>20</v>
      </c>
      <c r="I401">
        <v>0</v>
      </c>
      <c r="J401" t="s">
        <v>16</v>
      </c>
      <c r="K401" t="s">
        <v>22</v>
      </c>
      <c r="L401">
        <v>11407.41</v>
      </c>
    </row>
    <row r="402" spans="1:12" x14ac:dyDescent="0.25">
      <c r="A402" t="s">
        <v>429</v>
      </c>
      <c r="B402">
        <v>62</v>
      </c>
      <c r="C402" t="s">
        <v>24</v>
      </c>
      <c r="D402" t="s">
        <v>34</v>
      </c>
      <c r="E402" s="2">
        <v>45999</v>
      </c>
      <c r="F402" s="2">
        <v>46001</v>
      </c>
      <c r="G402">
        <v>2</v>
      </c>
      <c r="H402" t="s">
        <v>15</v>
      </c>
      <c r="I402">
        <v>8</v>
      </c>
      <c r="J402" t="s">
        <v>16</v>
      </c>
      <c r="K402" t="s">
        <v>47</v>
      </c>
      <c r="L402">
        <v>12366.88</v>
      </c>
    </row>
    <row r="403" spans="1:12" x14ac:dyDescent="0.25">
      <c r="A403" t="s">
        <v>430</v>
      </c>
      <c r="B403">
        <v>78</v>
      </c>
      <c r="C403" t="s">
        <v>13</v>
      </c>
      <c r="D403" t="s">
        <v>40</v>
      </c>
      <c r="E403" s="2">
        <v>45872</v>
      </c>
      <c r="F403" s="2">
        <v>45881</v>
      </c>
      <c r="G403">
        <v>9</v>
      </c>
      <c r="H403" t="s">
        <v>20</v>
      </c>
      <c r="I403">
        <v>0</v>
      </c>
      <c r="J403" t="s">
        <v>25</v>
      </c>
      <c r="K403" t="s">
        <v>22</v>
      </c>
      <c r="L403">
        <v>6224.66</v>
      </c>
    </row>
    <row r="404" spans="1:12" x14ac:dyDescent="0.25">
      <c r="A404" t="s">
        <v>431</v>
      </c>
      <c r="B404">
        <v>84</v>
      </c>
      <c r="C404" t="s">
        <v>13</v>
      </c>
      <c r="D404" t="s">
        <v>19</v>
      </c>
      <c r="E404" s="2">
        <v>45675</v>
      </c>
      <c r="F404" s="2">
        <v>45684</v>
      </c>
      <c r="G404">
        <v>9</v>
      </c>
      <c r="H404" t="s">
        <v>20</v>
      </c>
      <c r="I404">
        <v>0</v>
      </c>
      <c r="J404" t="s">
        <v>29</v>
      </c>
      <c r="K404" t="s">
        <v>22</v>
      </c>
      <c r="L404">
        <v>14261.39</v>
      </c>
    </row>
    <row r="405" spans="1:12" x14ac:dyDescent="0.25">
      <c r="A405" t="s">
        <v>432</v>
      </c>
      <c r="B405">
        <v>34</v>
      </c>
      <c r="C405" t="s">
        <v>13</v>
      </c>
      <c r="D405" t="s">
        <v>40</v>
      </c>
      <c r="E405" s="2">
        <v>45743</v>
      </c>
      <c r="F405" s="2">
        <v>45747</v>
      </c>
      <c r="G405">
        <v>4</v>
      </c>
      <c r="H405" t="s">
        <v>20</v>
      </c>
      <c r="I405">
        <v>0</v>
      </c>
      <c r="J405" t="s">
        <v>16</v>
      </c>
      <c r="K405" t="s">
        <v>17</v>
      </c>
      <c r="L405">
        <v>6813.2</v>
      </c>
    </row>
    <row r="406" spans="1:12" x14ac:dyDescent="0.25">
      <c r="A406" t="s">
        <v>433</v>
      </c>
      <c r="B406">
        <v>51</v>
      </c>
      <c r="C406" t="s">
        <v>24</v>
      </c>
      <c r="D406" t="s">
        <v>28</v>
      </c>
      <c r="E406" s="2">
        <v>45979</v>
      </c>
      <c r="F406" s="2">
        <v>45982</v>
      </c>
      <c r="G406">
        <v>3</v>
      </c>
      <c r="H406" t="s">
        <v>20</v>
      </c>
      <c r="I406">
        <v>0</v>
      </c>
      <c r="J406" t="s">
        <v>16</v>
      </c>
      <c r="K406" t="s">
        <v>22</v>
      </c>
      <c r="L406">
        <v>6127.44</v>
      </c>
    </row>
    <row r="407" spans="1:12" x14ac:dyDescent="0.25">
      <c r="A407" t="s">
        <v>434</v>
      </c>
      <c r="B407">
        <v>53</v>
      </c>
      <c r="C407" t="s">
        <v>24</v>
      </c>
      <c r="D407" t="s">
        <v>19</v>
      </c>
      <c r="E407" s="2">
        <v>45861</v>
      </c>
      <c r="F407" s="2">
        <v>45870</v>
      </c>
      <c r="G407">
        <v>9</v>
      </c>
      <c r="H407" t="s">
        <v>20</v>
      </c>
      <c r="I407">
        <v>0</v>
      </c>
      <c r="J407" t="s">
        <v>29</v>
      </c>
      <c r="K407" t="s">
        <v>22</v>
      </c>
      <c r="L407">
        <v>6509.41</v>
      </c>
    </row>
    <row r="408" spans="1:12" x14ac:dyDescent="0.25">
      <c r="A408" t="s">
        <v>435</v>
      </c>
      <c r="B408">
        <v>30</v>
      </c>
      <c r="C408" t="s">
        <v>13</v>
      </c>
      <c r="D408" t="s">
        <v>34</v>
      </c>
      <c r="E408" s="2">
        <v>45733</v>
      </c>
      <c r="F408" s="2">
        <v>45743</v>
      </c>
      <c r="G408">
        <v>10</v>
      </c>
      <c r="H408" t="s">
        <v>20</v>
      </c>
      <c r="I408">
        <v>0</v>
      </c>
      <c r="J408" t="s">
        <v>16</v>
      </c>
      <c r="K408" t="s">
        <v>47</v>
      </c>
      <c r="L408">
        <v>13078.39</v>
      </c>
    </row>
    <row r="409" spans="1:12" x14ac:dyDescent="0.25">
      <c r="A409" t="s">
        <v>436</v>
      </c>
      <c r="B409">
        <v>80</v>
      </c>
      <c r="C409" t="s">
        <v>24</v>
      </c>
      <c r="D409" t="s">
        <v>19</v>
      </c>
      <c r="E409" s="2">
        <v>45834</v>
      </c>
      <c r="F409" s="2">
        <v>45841</v>
      </c>
      <c r="G409">
        <v>7</v>
      </c>
      <c r="H409" t="s">
        <v>15</v>
      </c>
      <c r="I409">
        <v>6</v>
      </c>
      <c r="J409" t="s">
        <v>25</v>
      </c>
      <c r="K409" t="s">
        <v>47</v>
      </c>
      <c r="L409">
        <v>2585.86</v>
      </c>
    </row>
    <row r="410" spans="1:12" x14ac:dyDescent="0.25">
      <c r="A410" t="s">
        <v>437</v>
      </c>
      <c r="B410">
        <v>22</v>
      </c>
      <c r="C410" t="s">
        <v>24</v>
      </c>
      <c r="D410" t="s">
        <v>32</v>
      </c>
      <c r="E410" s="2">
        <v>45969</v>
      </c>
      <c r="F410" s="2">
        <v>45980</v>
      </c>
      <c r="G410">
        <v>11</v>
      </c>
      <c r="H410" t="s">
        <v>20</v>
      </c>
      <c r="I410">
        <v>0</v>
      </c>
      <c r="J410" t="s">
        <v>21</v>
      </c>
      <c r="K410" t="s">
        <v>22</v>
      </c>
      <c r="L410">
        <v>11313.37</v>
      </c>
    </row>
    <row r="411" spans="1:12" x14ac:dyDescent="0.25">
      <c r="A411" t="s">
        <v>438</v>
      </c>
      <c r="B411">
        <v>56</v>
      </c>
      <c r="C411" t="s">
        <v>24</v>
      </c>
      <c r="D411" t="s">
        <v>32</v>
      </c>
      <c r="E411" s="2">
        <v>45795</v>
      </c>
      <c r="F411" s="2">
        <v>45801</v>
      </c>
      <c r="G411">
        <v>6</v>
      </c>
      <c r="H411" t="s">
        <v>15</v>
      </c>
      <c r="I411">
        <v>27</v>
      </c>
      <c r="J411" t="s">
        <v>29</v>
      </c>
      <c r="K411" t="s">
        <v>17</v>
      </c>
      <c r="L411">
        <v>10430.35</v>
      </c>
    </row>
    <row r="412" spans="1:12" x14ac:dyDescent="0.25">
      <c r="A412" t="s">
        <v>439</v>
      </c>
      <c r="B412">
        <v>74</v>
      </c>
      <c r="C412" t="s">
        <v>24</v>
      </c>
      <c r="D412" t="s">
        <v>32</v>
      </c>
      <c r="E412" s="2">
        <v>45774</v>
      </c>
      <c r="F412" s="2">
        <v>45777</v>
      </c>
      <c r="G412">
        <v>3</v>
      </c>
      <c r="H412" t="s">
        <v>20</v>
      </c>
      <c r="I412">
        <v>0</v>
      </c>
      <c r="J412" t="s">
        <v>29</v>
      </c>
      <c r="K412" t="s">
        <v>17</v>
      </c>
      <c r="L412">
        <v>9860.5400000000009</v>
      </c>
    </row>
    <row r="413" spans="1:12" x14ac:dyDescent="0.25">
      <c r="A413" t="s">
        <v>440</v>
      </c>
      <c r="B413">
        <v>70</v>
      </c>
      <c r="C413" t="s">
        <v>24</v>
      </c>
      <c r="D413" t="s">
        <v>34</v>
      </c>
      <c r="E413" s="2">
        <v>45754</v>
      </c>
      <c r="F413" s="2">
        <v>45762</v>
      </c>
      <c r="G413">
        <v>8</v>
      </c>
      <c r="H413" t="s">
        <v>15</v>
      </c>
      <c r="I413">
        <v>28</v>
      </c>
      <c r="J413" t="s">
        <v>25</v>
      </c>
      <c r="K413" t="s">
        <v>22</v>
      </c>
      <c r="L413">
        <v>7971.41</v>
      </c>
    </row>
    <row r="414" spans="1:12" x14ac:dyDescent="0.25">
      <c r="A414" t="s">
        <v>441</v>
      </c>
      <c r="B414">
        <v>82</v>
      </c>
      <c r="C414" t="s">
        <v>24</v>
      </c>
      <c r="D414" t="s">
        <v>14</v>
      </c>
      <c r="E414" s="2">
        <v>45739</v>
      </c>
      <c r="F414" s="2">
        <v>45741</v>
      </c>
      <c r="G414">
        <v>2</v>
      </c>
      <c r="H414" t="s">
        <v>20</v>
      </c>
      <c r="I414">
        <v>0</v>
      </c>
      <c r="J414" t="s">
        <v>16</v>
      </c>
      <c r="K414" t="s">
        <v>22</v>
      </c>
      <c r="L414">
        <v>3295.07</v>
      </c>
    </row>
    <row r="415" spans="1:12" x14ac:dyDescent="0.25">
      <c r="A415" t="s">
        <v>442</v>
      </c>
      <c r="B415">
        <v>22</v>
      </c>
      <c r="C415" t="s">
        <v>24</v>
      </c>
      <c r="D415" t="s">
        <v>19</v>
      </c>
      <c r="E415" s="2">
        <v>45760</v>
      </c>
      <c r="F415" s="2">
        <v>45774</v>
      </c>
      <c r="G415">
        <v>14</v>
      </c>
      <c r="H415" t="s">
        <v>15</v>
      </c>
      <c r="I415">
        <v>30</v>
      </c>
      <c r="J415" t="s">
        <v>25</v>
      </c>
      <c r="K415" t="s">
        <v>17</v>
      </c>
      <c r="L415">
        <v>3387.09</v>
      </c>
    </row>
    <row r="416" spans="1:12" x14ac:dyDescent="0.25">
      <c r="A416" t="s">
        <v>443</v>
      </c>
      <c r="B416">
        <v>68</v>
      </c>
      <c r="C416" t="s">
        <v>13</v>
      </c>
      <c r="D416" t="s">
        <v>28</v>
      </c>
      <c r="E416" s="2">
        <v>45846</v>
      </c>
      <c r="F416" s="2">
        <v>45860</v>
      </c>
      <c r="G416">
        <v>14</v>
      </c>
      <c r="H416" t="s">
        <v>20</v>
      </c>
      <c r="I416">
        <v>0</v>
      </c>
      <c r="J416" t="s">
        <v>16</v>
      </c>
      <c r="K416" t="s">
        <v>22</v>
      </c>
      <c r="L416">
        <v>5900.77</v>
      </c>
    </row>
    <row r="417" spans="1:12" x14ac:dyDescent="0.25">
      <c r="A417" t="s">
        <v>444</v>
      </c>
      <c r="B417">
        <v>78</v>
      </c>
      <c r="C417" t="s">
        <v>24</v>
      </c>
      <c r="D417" t="s">
        <v>32</v>
      </c>
      <c r="E417" s="2">
        <v>45962</v>
      </c>
      <c r="F417" s="2">
        <v>45970</v>
      </c>
      <c r="G417">
        <v>8</v>
      </c>
      <c r="H417" t="s">
        <v>15</v>
      </c>
      <c r="I417">
        <v>6</v>
      </c>
      <c r="J417" t="s">
        <v>25</v>
      </c>
      <c r="K417" t="s">
        <v>17</v>
      </c>
      <c r="L417">
        <v>12547.62</v>
      </c>
    </row>
    <row r="418" spans="1:12" x14ac:dyDescent="0.25">
      <c r="A418" t="s">
        <v>445</v>
      </c>
      <c r="B418">
        <v>24</v>
      </c>
      <c r="C418" t="s">
        <v>13</v>
      </c>
      <c r="D418" t="s">
        <v>34</v>
      </c>
      <c r="E418" s="2">
        <v>45704</v>
      </c>
      <c r="F418" s="2">
        <v>45709</v>
      </c>
      <c r="G418">
        <v>5</v>
      </c>
      <c r="H418" t="s">
        <v>15</v>
      </c>
      <c r="I418">
        <v>25</v>
      </c>
      <c r="J418" t="s">
        <v>21</v>
      </c>
      <c r="K418" t="s">
        <v>22</v>
      </c>
      <c r="L418">
        <v>9887.01</v>
      </c>
    </row>
    <row r="419" spans="1:12" x14ac:dyDescent="0.25">
      <c r="A419" t="s">
        <v>446</v>
      </c>
      <c r="B419">
        <v>70</v>
      </c>
      <c r="C419" t="s">
        <v>13</v>
      </c>
      <c r="D419" t="s">
        <v>28</v>
      </c>
      <c r="E419" s="2">
        <v>46004</v>
      </c>
      <c r="F419" s="2">
        <v>46008</v>
      </c>
      <c r="G419">
        <v>4</v>
      </c>
      <c r="H419" t="s">
        <v>15</v>
      </c>
      <c r="I419">
        <v>1</v>
      </c>
      <c r="J419" t="s">
        <v>29</v>
      </c>
      <c r="K419" t="s">
        <v>22</v>
      </c>
      <c r="L419">
        <v>9886.89</v>
      </c>
    </row>
    <row r="420" spans="1:12" x14ac:dyDescent="0.25">
      <c r="A420" t="s">
        <v>447</v>
      </c>
      <c r="B420">
        <v>50</v>
      </c>
      <c r="C420" t="s">
        <v>24</v>
      </c>
      <c r="D420" t="s">
        <v>28</v>
      </c>
      <c r="E420" s="2">
        <v>45965</v>
      </c>
      <c r="F420" s="2">
        <v>45978</v>
      </c>
      <c r="G420">
        <v>13</v>
      </c>
      <c r="H420" t="s">
        <v>15</v>
      </c>
      <c r="I420">
        <v>23</v>
      </c>
      <c r="J420" t="s">
        <v>25</v>
      </c>
      <c r="K420" t="s">
        <v>47</v>
      </c>
      <c r="L420">
        <v>13484.5</v>
      </c>
    </row>
    <row r="421" spans="1:12" x14ac:dyDescent="0.25">
      <c r="A421" t="s">
        <v>448</v>
      </c>
      <c r="B421">
        <v>77</v>
      </c>
      <c r="C421" t="s">
        <v>24</v>
      </c>
      <c r="D421" t="s">
        <v>28</v>
      </c>
      <c r="E421" s="2">
        <v>45836</v>
      </c>
      <c r="F421" s="2">
        <v>45844</v>
      </c>
      <c r="G421">
        <v>8</v>
      </c>
      <c r="H421" t="s">
        <v>15</v>
      </c>
      <c r="I421">
        <v>17</v>
      </c>
      <c r="J421" t="s">
        <v>29</v>
      </c>
      <c r="K421" t="s">
        <v>17</v>
      </c>
      <c r="L421">
        <v>1983.53</v>
      </c>
    </row>
    <row r="422" spans="1:12" x14ac:dyDescent="0.25">
      <c r="A422" t="s">
        <v>449</v>
      </c>
      <c r="B422">
        <v>65</v>
      </c>
      <c r="C422" t="s">
        <v>24</v>
      </c>
      <c r="D422" t="s">
        <v>32</v>
      </c>
      <c r="E422" s="2">
        <v>45919</v>
      </c>
      <c r="F422" s="2">
        <v>45930</v>
      </c>
      <c r="G422">
        <v>11</v>
      </c>
      <c r="H422" t="s">
        <v>20</v>
      </c>
      <c r="I422">
        <v>0</v>
      </c>
      <c r="J422" t="s">
        <v>16</v>
      </c>
      <c r="K422" t="s">
        <v>47</v>
      </c>
      <c r="L422">
        <v>1425.64</v>
      </c>
    </row>
    <row r="423" spans="1:12" x14ac:dyDescent="0.25">
      <c r="A423" t="s">
        <v>450</v>
      </c>
      <c r="B423">
        <v>53</v>
      </c>
      <c r="C423" t="s">
        <v>24</v>
      </c>
      <c r="D423" t="s">
        <v>28</v>
      </c>
      <c r="E423" s="2">
        <v>45799</v>
      </c>
      <c r="F423" s="2">
        <v>45810</v>
      </c>
      <c r="G423">
        <v>11</v>
      </c>
      <c r="H423" t="s">
        <v>20</v>
      </c>
      <c r="I423">
        <v>0</v>
      </c>
      <c r="J423" t="s">
        <v>25</v>
      </c>
      <c r="K423" t="s">
        <v>22</v>
      </c>
      <c r="L423">
        <v>2673.97</v>
      </c>
    </row>
    <row r="424" spans="1:12" x14ac:dyDescent="0.25">
      <c r="A424" t="s">
        <v>451</v>
      </c>
      <c r="B424">
        <v>69</v>
      </c>
      <c r="C424" t="s">
        <v>24</v>
      </c>
      <c r="D424" t="s">
        <v>28</v>
      </c>
      <c r="E424" s="2">
        <v>45781</v>
      </c>
      <c r="F424" s="2">
        <v>45782</v>
      </c>
      <c r="G424">
        <v>1</v>
      </c>
      <c r="H424" t="s">
        <v>20</v>
      </c>
      <c r="I424">
        <v>0</v>
      </c>
      <c r="J424" t="s">
        <v>21</v>
      </c>
      <c r="K424" t="s">
        <v>17</v>
      </c>
      <c r="L424">
        <v>869.1</v>
      </c>
    </row>
    <row r="425" spans="1:12" x14ac:dyDescent="0.25">
      <c r="A425" t="s">
        <v>452</v>
      </c>
      <c r="B425">
        <v>71</v>
      </c>
      <c r="C425" t="s">
        <v>24</v>
      </c>
      <c r="D425" t="s">
        <v>40</v>
      </c>
      <c r="E425" s="2">
        <v>45912</v>
      </c>
      <c r="F425" s="2">
        <v>45917</v>
      </c>
      <c r="G425">
        <v>5</v>
      </c>
      <c r="H425" t="s">
        <v>15</v>
      </c>
      <c r="I425">
        <v>24</v>
      </c>
      <c r="J425" t="s">
        <v>16</v>
      </c>
      <c r="K425" t="s">
        <v>17</v>
      </c>
      <c r="L425">
        <v>10767</v>
      </c>
    </row>
    <row r="426" spans="1:12" x14ac:dyDescent="0.25">
      <c r="A426" t="s">
        <v>453</v>
      </c>
      <c r="B426">
        <v>46</v>
      </c>
      <c r="C426" t="s">
        <v>24</v>
      </c>
      <c r="D426" t="s">
        <v>28</v>
      </c>
      <c r="E426" s="2">
        <v>45950</v>
      </c>
      <c r="F426" s="2">
        <v>45964</v>
      </c>
      <c r="G426">
        <v>14</v>
      </c>
      <c r="H426" t="s">
        <v>15</v>
      </c>
      <c r="I426">
        <v>12</v>
      </c>
      <c r="J426" t="s">
        <v>25</v>
      </c>
      <c r="K426" t="s">
        <v>22</v>
      </c>
      <c r="L426">
        <v>12689.26</v>
      </c>
    </row>
    <row r="427" spans="1:12" x14ac:dyDescent="0.25">
      <c r="A427" t="s">
        <v>454</v>
      </c>
      <c r="B427">
        <v>78</v>
      </c>
      <c r="C427" t="s">
        <v>13</v>
      </c>
      <c r="D427" t="s">
        <v>28</v>
      </c>
      <c r="E427" s="2">
        <v>45943</v>
      </c>
      <c r="F427" s="2">
        <v>45946</v>
      </c>
      <c r="G427">
        <v>3</v>
      </c>
      <c r="H427" t="s">
        <v>15</v>
      </c>
      <c r="I427">
        <v>9</v>
      </c>
      <c r="J427" t="s">
        <v>21</v>
      </c>
      <c r="K427" t="s">
        <v>17</v>
      </c>
      <c r="L427">
        <v>13544.07</v>
      </c>
    </row>
    <row r="428" spans="1:12" x14ac:dyDescent="0.25">
      <c r="A428" t="s">
        <v>455</v>
      </c>
      <c r="B428">
        <v>46</v>
      </c>
      <c r="C428" t="s">
        <v>24</v>
      </c>
      <c r="D428" t="s">
        <v>40</v>
      </c>
      <c r="E428" s="2">
        <v>45993</v>
      </c>
      <c r="F428" s="2">
        <v>45995</v>
      </c>
      <c r="G428">
        <v>2</v>
      </c>
      <c r="H428" t="s">
        <v>15</v>
      </c>
      <c r="I428">
        <v>26</v>
      </c>
      <c r="J428" t="s">
        <v>25</v>
      </c>
      <c r="K428" t="s">
        <v>47</v>
      </c>
      <c r="L428">
        <v>4278.1099999999997</v>
      </c>
    </row>
    <row r="429" spans="1:12" x14ac:dyDescent="0.25">
      <c r="A429" t="s">
        <v>456</v>
      </c>
      <c r="B429">
        <v>78</v>
      </c>
      <c r="C429" t="s">
        <v>13</v>
      </c>
      <c r="D429" t="s">
        <v>28</v>
      </c>
      <c r="E429" s="2">
        <v>45808</v>
      </c>
      <c r="F429" s="2">
        <v>45816</v>
      </c>
      <c r="G429">
        <v>8</v>
      </c>
      <c r="H429" t="s">
        <v>20</v>
      </c>
      <c r="I429">
        <v>0</v>
      </c>
      <c r="J429" t="s">
        <v>16</v>
      </c>
      <c r="K429" t="s">
        <v>47</v>
      </c>
      <c r="L429">
        <v>13396.68</v>
      </c>
    </row>
    <row r="430" spans="1:12" x14ac:dyDescent="0.25">
      <c r="A430" t="s">
        <v>457</v>
      </c>
      <c r="B430">
        <v>66</v>
      </c>
      <c r="C430" t="s">
        <v>24</v>
      </c>
      <c r="D430" t="s">
        <v>40</v>
      </c>
      <c r="E430" s="2">
        <v>45914</v>
      </c>
      <c r="F430" s="2">
        <v>45916</v>
      </c>
      <c r="G430">
        <v>2</v>
      </c>
      <c r="H430" t="s">
        <v>20</v>
      </c>
      <c r="I430">
        <v>0</v>
      </c>
      <c r="J430" t="s">
        <v>16</v>
      </c>
      <c r="K430" t="s">
        <v>22</v>
      </c>
      <c r="L430">
        <v>2491.8000000000002</v>
      </c>
    </row>
    <row r="431" spans="1:12" x14ac:dyDescent="0.25">
      <c r="A431" t="s">
        <v>458</v>
      </c>
      <c r="B431">
        <v>90</v>
      </c>
      <c r="C431" t="s">
        <v>24</v>
      </c>
      <c r="D431" t="s">
        <v>14</v>
      </c>
      <c r="E431" s="2">
        <v>45760</v>
      </c>
      <c r="F431" s="2">
        <v>45766</v>
      </c>
      <c r="G431">
        <v>6</v>
      </c>
      <c r="H431" t="s">
        <v>20</v>
      </c>
      <c r="I431">
        <v>0</v>
      </c>
      <c r="J431" t="s">
        <v>25</v>
      </c>
      <c r="K431" t="s">
        <v>17</v>
      </c>
      <c r="L431">
        <v>3115.17</v>
      </c>
    </row>
    <row r="432" spans="1:12" x14ac:dyDescent="0.25">
      <c r="A432" t="s">
        <v>459</v>
      </c>
      <c r="B432">
        <v>40</v>
      </c>
      <c r="C432" t="s">
        <v>24</v>
      </c>
      <c r="D432" t="s">
        <v>28</v>
      </c>
      <c r="E432" s="2">
        <v>45699</v>
      </c>
      <c r="F432" s="2">
        <v>45707</v>
      </c>
      <c r="G432">
        <v>8</v>
      </c>
      <c r="H432" t="s">
        <v>20</v>
      </c>
      <c r="I432">
        <v>0</v>
      </c>
      <c r="J432" t="s">
        <v>16</v>
      </c>
      <c r="K432" t="s">
        <v>22</v>
      </c>
      <c r="L432">
        <v>7054.77</v>
      </c>
    </row>
    <row r="433" spans="1:12" x14ac:dyDescent="0.25">
      <c r="A433" t="s">
        <v>460</v>
      </c>
      <c r="B433">
        <v>38</v>
      </c>
      <c r="C433" t="s">
        <v>24</v>
      </c>
      <c r="D433" t="s">
        <v>19</v>
      </c>
      <c r="E433" s="2">
        <v>45765</v>
      </c>
      <c r="F433" s="2">
        <v>45778</v>
      </c>
      <c r="G433">
        <v>13</v>
      </c>
      <c r="H433" t="s">
        <v>20</v>
      </c>
      <c r="I433">
        <v>0</v>
      </c>
      <c r="J433" t="s">
        <v>21</v>
      </c>
      <c r="K433" t="s">
        <v>17</v>
      </c>
      <c r="L433">
        <v>6788.82</v>
      </c>
    </row>
    <row r="434" spans="1:12" x14ac:dyDescent="0.25">
      <c r="A434" t="s">
        <v>461</v>
      </c>
      <c r="B434">
        <v>79</v>
      </c>
      <c r="C434" t="s">
        <v>24</v>
      </c>
      <c r="D434" t="s">
        <v>19</v>
      </c>
      <c r="E434" s="2">
        <v>45877</v>
      </c>
      <c r="F434" s="2">
        <v>45884</v>
      </c>
      <c r="G434">
        <v>7</v>
      </c>
      <c r="H434" t="s">
        <v>20</v>
      </c>
      <c r="I434">
        <v>0</v>
      </c>
      <c r="J434" t="s">
        <v>16</v>
      </c>
      <c r="K434" t="s">
        <v>17</v>
      </c>
      <c r="L434">
        <v>3391.51</v>
      </c>
    </row>
    <row r="435" spans="1:12" x14ac:dyDescent="0.25">
      <c r="A435" t="s">
        <v>462</v>
      </c>
      <c r="B435">
        <v>85</v>
      </c>
      <c r="C435" t="s">
        <v>13</v>
      </c>
      <c r="D435" t="s">
        <v>19</v>
      </c>
      <c r="E435" s="2">
        <v>45849</v>
      </c>
      <c r="F435" s="2">
        <v>45850</v>
      </c>
      <c r="G435">
        <v>1</v>
      </c>
      <c r="H435" t="s">
        <v>20</v>
      </c>
      <c r="I435">
        <v>0</v>
      </c>
      <c r="J435" t="s">
        <v>16</v>
      </c>
      <c r="K435" t="s">
        <v>17</v>
      </c>
      <c r="L435">
        <v>11137.25</v>
      </c>
    </row>
    <row r="436" spans="1:12" x14ac:dyDescent="0.25">
      <c r="A436" t="s">
        <v>463</v>
      </c>
      <c r="B436">
        <v>57</v>
      </c>
      <c r="C436" t="s">
        <v>13</v>
      </c>
      <c r="D436" t="s">
        <v>19</v>
      </c>
      <c r="E436" s="2">
        <v>45773</v>
      </c>
      <c r="F436" s="2">
        <v>45785</v>
      </c>
      <c r="G436">
        <v>12</v>
      </c>
      <c r="H436" t="s">
        <v>20</v>
      </c>
      <c r="I436">
        <v>0</v>
      </c>
      <c r="J436" t="s">
        <v>29</v>
      </c>
      <c r="K436" t="s">
        <v>17</v>
      </c>
      <c r="L436">
        <v>9035.7199999999993</v>
      </c>
    </row>
    <row r="437" spans="1:12" x14ac:dyDescent="0.25">
      <c r="A437" t="s">
        <v>464</v>
      </c>
      <c r="B437">
        <v>56</v>
      </c>
      <c r="C437" t="s">
        <v>24</v>
      </c>
      <c r="D437" t="s">
        <v>40</v>
      </c>
      <c r="E437" s="2">
        <v>45743</v>
      </c>
      <c r="F437" s="2">
        <v>45745</v>
      </c>
      <c r="G437">
        <v>2</v>
      </c>
      <c r="H437" t="s">
        <v>20</v>
      </c>
      <c r="I437">
        <v>0</v>
      </c>
      <c r="J437" t="s">
        <v>25</v>
      </c>
      <c r="K437" t="s">
        <v>47</v>
      </c>
      <c r="L437">
        <v>13375.62</v>
      </c>
    </row>
    <row r="438" spans="1:12" x14ac:dyDescent="0.25">
      <c r="A438" t="s">
        <v>465</v>
      </c>
      <c r="B438">
        <v>80</v>
      </c>
      <c r="C438" t="s">
        <v>24</v>
      </c>
      <c r="D438" t="s">
        <v>14</v>
      </c>
      <c r="E438" s="2">
        <v>45726</v>
      </c>
      <c r="F438" s="2">
        <v>45732</v>
      </c>
      <c r="G438">
        <v>6</v>
      </c>
      <c r="H438" t="s">
        <v>20</v>
      </c>
      <c r="I438">
        <v>0</v>
      </c>
      <c r="J438" t="s">
        <v>21</v>
      </c>
      <c r="K438" t="s">
        <v>47</v>
      </c>
      <c r="L438">
        <v>777.31</v>
      </c>
    </row>
    <row r="439" spans="1:12" x14ac:dyDescent="0.25">
      <c r="A439" t="s">
        <v>466</v>
      </c>
      <c r="B439">
        <v>45</v>
      </c>
      <c r="C439" t="s">
        <v>13</v>
      </c>
      <c r="D439" t="s">
        <v>34</v>
      </c>
      <c r="E439" s="2">
        <v>45772</v>
      </c>
      <c r="F439" s="2">
        <v>45784</v>
      </c>
      <c r="G439">
        <v>12</v>
      </c>
      <c r="H439" t="s">
        <v>20</v>
      </c>
      <c r="I439">
        <v>0</v>
      </c>
      <c r="J439" t="s">
        <v>21</v>
      </c>
      <c r="K439" t="s">
        <v>22</v>
      </c>
      <c r="L439">
        <v>5815.58</v>
      </c>
    </row>
    <row r="440" spans="1:12" x14ac:dyDescent="0.25">
      <c r="A440" t="s">
        <v>467</v>
      </c>
      <c r="B440">
        <v>50</v>
      </c>
      <c r="C440" t="s">
        <v>13</v>
      </c>
      <c r="D440" t="s">
        <v>34</v>
      </c>
      <c r="E440" s="2">
        <v>45991</v>
      </c>
      <c r="F440" s="2">
        <v>46004</v>
      </c>
      <c r="G440">
        <v>13</v>
      </c>
      <c r="H440" t="s">
        <v>15</v>
      </c>
      <c r="I440">
        <v>2</v>
      </c>
      <c r="J440" t="s">
        <v>16</v>
      </c>
      <c r="K440" t="s">
        <v>17</v>
      </c>
      <c r="L440">
        <v>12623.74</v>
      </c>
    </row>
    <row r="441" spans="1:12" x14ac:dyDescent="0.25">
      <c r="A441" t="s">
        <v>468</v>
      </c>
      <c r="B441">
        <v>74</v>
      </c>
      <c r="C441" t="s">
        <v>24</v>
      </c>
      <c r="D441" t="s">
        <v>19</v>
      </c>
      <c r="E441" s="2">
        <v>45682</v>
      </c>
      <c r="F441" s="2">
        <v>45694</v>
      </c>
      <c r="G441">
        <v>12</v>
      </c>
      <c r="H441" t="s">
        <v>15</v>
      </c>
      <c r="I441">
        <v>18</v>
      </c>
      <c r="J441" t="s">
        <v>25</v>
      </c>
      <c r="K441" t="s">
        <v>47</v>
      </c>
      <c r="L441">
        <v>10677.09</v>
      </c>
    </row>
    <row r="442" spans="1:12" x14ac:dyDescent="0.25">
      <c r="A442" t="s">
        <v>469</v>
      </c>
      <c r="B442">
        <v>19</v>
      </c>
      <c r="C442" t="s">
        <v>24</v>
      </c>
      <c r="D442" t="s">
        <v>40</v>
      </c>
      <c r="E442" s="2">
        <v>45763</v>
      </c>
      <c r="F442" s="2">
        <v>45775</v>
      </c>
      <c r="G442">
        <v>12</v>
      </c>
      <c r="H442" t="s">
        <v>20</v>
      </c>
      <c r="I442">
        <v>0</v>
      </c>
      <c r="J442" t="s">
        <v>16</v>
      </c>
      <c r="K442" t="s">
        <v>17</v>
      </c>
      <c r="L442">
        <v>8044.48</v>
      </c>
    </row>
    <row r="443" spans="1:12" x14ac:dyDescent="0.25">
      <c r="A443" t="s">
        <v>470</v>
      </c>
      <c r="B443">
        <v>71</v>
      </c>
      <c r="C443" t="s">
        <v>13</v>
      </c>
      <c r="D443" t="s">
        <v>34</v>
      </c>
      <c r="E443" s="2">
        <v>45976</v>
      </c>
      <c r="F443" s="2">
        <v>45986</v>
      </c>
      <c r="G443">
        <v>10</v>
      </c>
      <c r="H443" t="s">
        <v>20</v>
      </c>
      <c r="I443">
        <v>0</v>
      </c>
      <c r="J443" t="s">
        <v>16</v>
      </c>
      <c r="K443" t="s">
        <v>47</v>
      </c>
      <c r="L443">
        <v>2153.1799999999998</v>
      </c>
    </row>
    <row r="444" spans="1:12" x14ac:dyDescent="0.25">
      <c r="A444" t="s">
        <v>471</v>
      </c>
      <c r="B444">
        <v>43</v>
      </c>
      <c r="C444" t="s">
        <v>24</v>
      </c>
      <c r="D444" t="s">
        <v>34</v>
      </c>
      <c r="E444" s="2">
        <v>45712</v>
      </c>
      <c r="F444" s="2">
        <v>45720</v>
      </c>
      <c r="G444">
        <v>8</v>
      </c>
      <c r="H444" t="s">
        <v>15</v>
      </c>
      <c r="I444">
        <v>7</v>
      </c>
      <c r="J444" t="s">
        <v>25</v>
      </c>
      <c r="K444" t="s">
        <v>17</v>
      </c>
      <c r="L444">
        <v>6441.47</v>
      </c>
    </row>
    <row r="445" spans="1:12" x14ac:dyDescent="0.25">
      <c r="A445" t="s">
        <v>472</v>
      </c>
      <c r="B445">
        <v>44</v>
      </c>
      <c r="C445" t="s">
        <v>24</v>
      </c>
      <c r="D445" t="s">
        <v>32</v>
      </c>
      <c r="E445" s="2">
        <v>45740</v>
      </c>
      <c r="F445" s="2">
        <v>45741</v>
      </c>
      <c r="G445">
        <v>1</v>
      </c>
      <c r="H445" t="s">
        <v>20</v>
      </c>
      <c r="I445">
        <v>0</v>
      </c>
      <c r="J445" t="s">
        <v>21</v>
      </c>
      <c r="K445" t="s">
        <v>22</v>
      </c>
      <c r="L445">
        <v>684.87</v>
      </c>
    </row>
    <row r="446" spans="1:12" x14ac:dyDescent="0.25">
      <c r="A446" t="s">
        <v>473</v>
      </c>
      <c r="B446">
        <v>81</v>
      </c>
      <c r="C446" t="s">
        <v>13</v>
      </c>
      <c r="D446" t="s">
        <v>19</v>
      </c>
      <c r="E446" s="2">
        <v>45703</v>
      </c>
      <c r="F446" s="2">
        <v>45705</v>
      </c>
      <c r="G446">
        <v>2</v>
      </c>
      <c r="H446" t="s">
        <v>20</v>
      </c>
      <c r="I446">
        <v>0</v>
      </c>
      <c r="J446" t="s">
        <v>16</v>
      </c>
      <c r="K446" t="s">
        <v>17</v>
      </c>
      <c r="L446">
        <v>10991.86</v>
      </c>
    </row>
    <row r="447" spans="1:12" x14ac:dyDescent="0.25">
      <c r="A447" t="s">
        <v>474</v>
      </c>
      <c r="B447">
        <v>55</v>
      </c>
      <c r="C447" t="s">
        <v>24</v>
      </c>
      <c r="D447" t="s">
        <v>40</v>
      </c>
      <c r="E447" s="2">
        <v>45789</v>
      </c>
      <c r="F447" s="2">
        <v>45800</v>
      </c>
      <c r="G447">
        <v>11</v>
      </c>
      <c r="H447" t="s">
        <v>15</v>
      </c>
      <c r="I447">
        <v>2</v>
      </c>
      <c r="J447" t="s">
        <v>16</v>
      </c>
      <c r="K447" t="s">
        <v>22</v>
      </c>
      <c r="L447">
        <v>13175.04</v>
      </c>
    </row>
    <row r="448" spans="1:12" x14ac:dyDescent="0.25">
      <c r="A448" t="s">
        <v>475</v>
      </c>
      <c r="B448">
        <v>58</v>
      </c>
      <c r="C448" t="s">
        <v>24</v>
      </c>
      <c r="D448" t="s">
        <v>28</v>
      </c>
      <c r="E448" s="2">
        <v>45806</v>
      </c>
      <c r="F448" s="2">
        <v>45812</v>
      </c>
      <c r="G448">
        <v>6</v>
      </c>
      <c r="H448" t="s">
        <v>20</v>
      </c>
      <c r="I448">
        <v>0</v>
      </c>
      <c r="J448" t="s">
        <v>16</v>
      </c>
      <c r="K448" t="s">
        <v>22</v>
      </c>
      <c r="L448">
        <v>12843.07</v>
      </c>
    </row>
    <row r="449" spans="1:12" x14ac:dyDescent="0.25">
      <c r="A449" t="s">
        <v>476</v>
      </c>
      <c r="B449">
        <v>39</v>
      </c>
      <c r="C449" t="s">
        <v>24</v>
      </c>
      <c r="D449" t="s">
        <v>32</v>
      </c>
      <c r="E449" s="2">
        <v>45681</v>
      </c>
      <c r="F449" s="2">
        <v>45682</v>
      </c>
      <c r="G449">
        <v>1</v>
      </c>
      <c r="H449" t="s">
        <v>20</v>
      </c>
      <c r="I449">
        <v>0</v>
      </c>
      <c r="J449" t="s">
        <v>29</v>
      </c>
      <c r="K449" t="s">
        <v>17</v>
      </c>
      <c r="L449">
        <v>4390.49</v>
      </c>
    </row>
    <row r="450" spans="1:12" x14ac:dyDescent="0.25">
      <c r="A450" t="s">
        <v>477</v>
      </c>
      <c r="B450">
        <v>41</v>
      </c>
      <c r="C450" t="s">
        <v>13</v>
      </c>
      <c r="D450" t="s">
        <v>40</v>
      </c>
      <c r="E450" s="2">
        <v>45705</v>
      </c>
      <c r="F450" s="2">
        <v>45711</v>
      </c>
      <c r="G450">
        <v>6</v>
      </c>
      <c r="H450" t="s">
        <v>20</v>
      </c>
      <c r="I450">
        <v>0</v>
      </c>
      <c r="J450" t="s">
        <v>29</v>
      </c>
      <c r="K450" t="s">
        <v>47</v>
      </c>
      <c r="L450">
        <v>4441.58</v>
      </c>
    </row>
    <row r="451" spans="1:12" x14ac:dyDescent="0.25">
      <c r="A451" t="s">
        <v>478</v>
      </c>
      <c r="B451">
        <v>71</v>
      </c>
      <c r="C451" t="s">
        <v>13</v>
      </c>
      <c r="D451" t="s">
        <v>19</v>
      </c>
      <c r="E451" s="2">
        <v>45855</v>
      </c>
      <c r="F451" s="2">
        <v>45867</v>
      </c>
      <c r="G451">
        <v>12</v>
      </c>
      <c r="H451" t="s">
        <v>20</v>
      </c>
      <c r="I451">
        <v>0</v>
      </c>
      <c r="J451" t="s">
        <v>21</v>
      </c>
      <c r="K451" t="s">
        <v>17</v>
      </c>
      <c r="L451">
        <v>11032.96</v>
      </c>
    </row>
    <row r="452" spans="1:12" x14ac:dyDescent="0.25">
      <c r="A452" t="s">
        <v>479</v>
      </c>
      <c r="B452">
        <v>79</v>
      </c>
      <c r="C452" t="s">
        <v>24</v>
      </c>
      <c r="D452" t="s">
        <v>14</v>
      </c>
      <c r="E452" s="2">
        <v>45739</v>
      </c>
      <c r="F452" s="2">
        <v>45741</v>
      </c>
      <c r="G452">
        <v>2</v>
      </c>
      <c r="H452" t="s">
        <v>20</v>
      </c>
      <c r="I452">
        <v>0</v>
      </c>
      <c r="J452" t="s">
        <v>29</v>
      </c>
      <c r="K452" t="s">
        <v>47</v>
      </c>
      <c r="L452">
        <v>9364.7000000000007</v>
      </c>
    </row>
    <row r="453" spans="1:12" x14ac:dyDescent="0.25">
      <c r="A453" t="s">
        <v>480</v>
      </c>
      <c r="B453">
        <v>34</v>
      </c>
      <c r="C453" t="s">
        <v>24</v>
      </c>
      <c r="D453" t="s">
        <v>40</v>
      </c>
      <c r="E453" s="2">
        <v>46008</v>
      </c>
      <c r="F453" s="2">
        <v>46022</v>
      </c>
      <c r="G453">
        <v>14</v>
      </c>
      <c r="H453" t="s">
        <v>20</v>
      </c>
      <c r="I453">
        <v>0</v>
      </c>
      <c r="J453" t="s">
        <v>16</v>
      </c>
      <c r="K453" t="s">
        <v>47</v>
      </c>
      <c r="L453">
        <v>6889.97</v>
      </c>
    </row>
    <row r="454" spans="1:12" x14ac:dyDescent="0.25">
      <c r="A454" t="s">
        <v>481</v>
      </c>
      <c r="B454">
        <v>19</v>
      </c>
      <c r="C454" t="s">
        <v>13</v>
      </c>
      <c r="D454" t="s">
        <v>28</v>
      </c>
      <c r="E454" s="2">
        <v>45690</v>
      </c>
      <c r="F454" s="2">
        <v>45695</v>
      </c>
      <c r="G454">
        <v>5</v>
      </c>
      <c r="H454" t="s">
        <v>20</v>
      </c>
      <c r="I454">
        <v>0</v>
      </c>
      <c r="J454" t="s">
        <v>25</v>
      </c>
      <c r="K454" t="s">
        <v>17</v>
      </c>
      <c r="L454">
        <v>8085</v>
      </c>
    </row>
    <row r="455" spans="1:12" x14ac:dyDescent="0.25">
      <c r="A455" t="s">
        <v>482</v>
      </c>
      <c r="B455">
        <v>49</v>
      </c>
      <c r="C455" t="s">
        <v>24</v>
      </c>
      <c r="D455" t="s">
        <v>32</v>
      </c>
      <c r="E455" s="2">
        <v>46016</v>
      </c>
      <c r="F455" s="2">
        <v>46026</v>
      </c>
      <c r="G455">
        <v>10</v>
      </c>
      <c r="H455" t="s">
        <v>15</v>
      </c>
      <c r="I455">
        <v>22</v>
      </c>
      <c r="J455" t="s">
        <v>29</v>
      </c>
      <c r="K455" t="s">
        <v>22</v>
      </c>
      <c r="L455">
        <v>12665.98</v>
      </c>
    </row>
    <row r="456" spans="1:12" x14ac:dyDescent="0.25">
      <c r="A456" t="s">
        <v>483</v>
      </c>
      <c r="B456">
        <v>38</v>
      </c>
      <c r="C456" t="s">
        <v>24</v>
      </c>
      <c r="D456" t="s">
        <v>40</v>
      </c>
      <c r="E456" s="2">
        <v>45943</v>
      </c>
      <c r="F456" s="2">
        <v>45953</v>
      </c>
      <c r="G456">
        <v>10</v>
      </c>
      <c r="H456" t="s">
        <v>15</v>
      </c>
      <c r="I456">
        <v>28</v>
      </c>
      <c r="J456" t="s">
        <v>21</v>
      </c>
      <c r="K456" t="s">
        <v>22</v>
      </c>
      <c r="L456">
        <v>11395.74</v>
      </c>
    </row>
    <row r="457" spans="1:12" x14ac:dyDescent="0.25">
      <c r="A457" t="s">
        <v>484</v>
      </c>
      <c r="B457">
        <v>53</v>
      </c>
      <c r="C457" t="s">
        <v>13</v>
      </c>
      <c r="D457" t="s">
        <v>34</v>
      </c>
      <c r="E457" s="2">
        <v>45822</v>
      </c>
      <c r="F457" s="2">
        <v>45826</v>
      </c>
      <c r="G457">
        <v>4</v>
      </c>
      <c r="H457" t="s">
        <v>20</v>
      </c>
      <c r="I457">
        <v>0</v>
      </c>
      <c r="J457" t="s">
        <v>21</v>
      </c>
      <c r="K457" t="s">
        <v>17</v>
      </c>
      <c r="L457">
        <v>9828.1</v>
      </c>
    </row>
    <row r="458" spans="1:12" x14ac:dyDescent="0.25">
      <c r="A458" t="s">
        <v>485</v>
      </c>
      <c r="B458">
        <v>76</v>
      </c>
      <c r="C458" t="s">
        <v>24</v>
      </c>
      <c r="D458" t="s">
        <v>34</v>
      </c>
      <c r="E458" s="2">
        <v>45864</v>
      </c>
      <c r="F458" s="2">
        <v>45878</v>
      </c>
      <c r="G458">
        <v>14</v>
      </c>
      <c r="H458" t="s">
        <v>15</v>
      </c>
      <c r="I458">
        <v>15</v>
      </c>
      <c r="J458" t="s">
        <v>16</v>
      </c>
      <c r="K458" t="s">
        <v>47</v>
      </c>
      <c r="L458">
        <v>6982.49</v>
      </c>
    </row>
    <row r="459" spans="1:12" x14ac:dyDescent="0.25">
      <c r="A459" t="s">
        <v>486</v>
      </c>
      <c r="B459">
        <v>20</v>
      </c>
      <c r="C459" t="s">
        <v>13</v>
      </c>
      <c r="D459" t="s">
        <v>40</v>
      </c>
      <c r="E459" s="2">
        <v>45718</v>
      </c>
      <c r="F459" s="2">
        <v>45726</v>
      </c>
      <c r="G459">
        <v>8</v>
      </c>
      <c r="H459" t="s">
        <v>20</v>
      </c>
      <c r="I459">
        <v>0</v>
      </c>
      <c r="J459" t="s">
        <v>29</v>
      </c>
      <c r="K459" t="s">
        <v>22</v>
      </c>
      <c r="L459">
        <v>8578.4</v>
      </c>
    </row>
    <row r="460" spans="1:12" x14ac:dyDescent="0.25">
      <c r="A460" t="s">
        <v>487</v>
      </c>
      <c r="B460">
        <v>56</v>
      </c>
      <c r="C460" t="s">
        <v>13</v>
      </c>
      <c r="D460" t="s">
        <v>28</v>
      </c>
      <c r="E460" s="2">
        <v>45658</v>
      </c>
      <c r="F460" s="2">
        <v>45672</v>
      </c>
      <c r="G460">
        <v>14</v>
      </c>
      <c r="H460" t="s">
        <v>15</v>
      </c>
      <c r="I460">
        <v>22</v>
      </c>
      <c r="J460" t="s">
        <v>29</v>
      </c>
      <c r="K460" t="s">
        <v>47</v>
      </c>
      <c r="L460">
        <v>5768.47</v>
      </c>
    </row>
    <row r="461" spans="1:12" x14ac:dyDescent="0.25">
      <c r="A461" t="s">
        <v>488</v>
      </c>
      <c r="B461">
        <v>76</v>
      </c>
      <c r="C461" t="s">
        <v>24</v>
      </c>
      <c r="D461" t="s">
        <v>34</v>
      </c>
      <c r="E461" s="2">
        <v>45685</v>
      </c>
      <c r="F461" s="2">
        <v>45699</v>
      </c>
      <c r="G461">
        <v>14</v>
      </c>
      <c r="H461" t="s">
        <v>15</v>
      </c>
      <c r="I461">
        <v>25</v>
      </c>
      <c r="J461" t="s">
        <v>29</v>
      </c>
      <c r="K461" t="s">
        <v>17</v>
      </c>
      <c r="L461">
        <v>10028.92</v>
      </c>
    </row>
    <row r="462" spans="1:12" x14ac:dyDescent="0.25">
      <c r="A462" t="s">
        <v>489</v>
      </c>
      <c r="B462">
        <v>46</v>
      </c>
      <c r="C462" t="s">
        <v>13</v>
      </c>
      <c r="D462" t="s">
        <v>32</v>
      </c>
      <c r="E462" s="2">
        <v>45889</v>
      </c>
      <c r="F462" s="2">
        <v>45891</v>
      </c>
      <c r="G462">
        <v>2</v>
      </c>
      <c r="H462" t="s">
        <v>15</v>
      </c>
      <c r="I462">
        <v>12</v>
      </c>
      <c r="J462" t="s">
        <v>25</v>
      </c>
      <c r="K462" t="s">
        <v>17</v>
      </c>
      <c r="L462">
        <v>8068.78</v>
      </c>
    </row>
    <row r="463" spans="1:12" x14ac:dyDescent="0.25">
      <c r="A463" t="s">
        <v>490</v>
      </c>
      <c r="B463">
        <v>39</v>
      </c>
      <c r="C463" t="s">
        <v>24</v>
      </c>
      <c r="D463" t="s">
        <v>14</v>
      </c>
      <c r="E463" s="2">
        <v>46017</v>
      </c>
      <c r="F463" s="2">
        <v>46019</v>
      </c>
      <c r="G463">
        <v>2</v>
      </c>
      <c r="H463" t="s">
        <v>15</v>
      </c>
      <c r="I463">
        <v>27</v>
      </c>
      <c r="J463" t="s">
        <v>29</v>
      </c>
      <c r="K463" t="s">
        <v>22</v>
      </c>
      <c r="L463">
        <v>4187.2</v>
      </c>
    </row>
    <row r="464" spans="1:12" x14ac:dyDescent="0.25">
      <c r="A464" t="s">
        <v>491</v>
      </c>
      <c r="B464">
        <v>68</v>
      </c>
      <c r="C464" t="s">
        <v>13</v>
      </c>
      <c r="D464" t="s">
        <v>40</v>
      </c>
      <c r="E464" s="2">
        <v>45758</v>
      </c>
      <c r="F464" s="2">
        <v>45762</v>
      </c>
      <c r="G464">
        <v>4</v>
      </c>
      <c r="H464" t="s">
        <v>15</v>
      </c>
      <c r="I464">
        <v>27</v>
      </c>
      <c r="J464" t="s">
        <v>21</v>
      </c>
      <c r="K464" t="s">
        <v>17</v>
      </c>
      <c r="L464">
        <v>5400.04</v>
      </c>
    </row>
    <row r="465" spans="1:12" x14ac:dyDescent="0.25">
      <c r="A465" t="s">
        <v>492</v>
      </c>
      <c r="B465">
        <v>33</v>
      </c>
      <c r="C465" t="s">
        <v>24</v>
      </c>
      <c r="D465" t="s">
        <v>40</v>
      </c>
      <c r="E465" s="2">
        <v>45870</v>
      </c>
      <c r="F465" s="2">
        <v>45871</v>
      </c>
      <c r="G465">
        <v>1</v>
      </c>
      <c r="H465" t="s">
        <v>20</v>
      </c>
      <c r="I465">
        <v>0</v>
      </c>
      <c r="J465" t="s">
        <v>21</v>
      </c>
      <c r="K465" t="s">
        <v>47</v>
      </c>
      <c r="L465">
        <v>562.9</v>
      </c>
    </row>
    <row r="466" spans="1:12" x14ac:dyDescent="0.25">
      <c r="A466" t="s">
        <v>493</v>
      </c>
      <c r="B466">
        <v>79</v>
      </c>
      <c r="C466" t="s">
        <v>13</v>
      </c>
      <c r="D466" t="s">
        <v>28</v>
      </c>
      <c r="E466" s="2">
        <v>45682</v>
      </c>
      <c r="F466" s="2">
        <v>45691</v>
      </c>
      <c r="G466">
        <v>9</v>
      </c>
      <c r="H466" t="s">
        <v>20</v>
      </c>
      <c r="I466">
        <v>0</v>
      </c>
      <c r="J466" t="s">
        <v>21</v>
      </c>
      <c r="K466" t="s">
        <v>17</v>
      </c>
      <c r="L466">
        <v>12321.04</v>
      </c>
    </row>
    <row r="467" spans="1:12" x14ac:dyDescent="0.25">
      <c r="A467" t="s">
        <v>494</v>
      </c>
      <c r="B467">
        <v>59</v>
      </c>
      <c r="C467" t="s">
        <v>24</v>
      </c>
      <c r="D467" t="s">
        <v>40</v>
      </c>
      <c r="E467" s="2">
        <v>45711</v>
      </c>
      <c r="F467" s="2">
        <v>45718</v>
      </c>
      <c r="G467">
        <v>7</v>
      </c>
      <c r="H467" t="s">
        <v>20</v>
      </c>
      <c r="I467">
        <v>0</v>
      </c>
      <c r="J467" t="s">
        <v>21</v>
      </c>
      <c r="K467" t="s">
        <v>47</v>
      </c>
      <c r="L467">
        <v>6269.11</v>
      </c>
    </row>
    <row r="468" spans="1:12" x14ac:dyDescent="0.25">
      <c r="A468" t="s">
        <v>495</v>
      </c>
      <c r="B468">
        <v>35</v>
      </c>
      <c r="C468" t="s">
        <v>13</v>
      </c>
      <c r="D468" t="s">
        <v>40</v>
      </c>
      <c r="E468" s="2">
        <v>45833</v>
      </c>
      <c r="F468" s="2">
        <v>45838</v>
      </c>
      <c r="G468">
        <v>5</v>
      </c>
      <c r="H468" t="s">
        <v>20</v>
      </c>
      <c r="I468">
        <v>0</v>
      </c>
      <c r="J468" t="s">
        <v>25</v>
      </c>
      <c r="K468" t="s">
        <v>17</v>
      </c>
      <c r="L468">
        <v>8443.19</v>
      </c>
    </row>
    <row r="469" spans="1:12" x14ac:dyDescent="0.25">
      <c r="A469" t="s">
        <v>496</v>
      </c>
      <c r="B469">
        <v>88</v>
      </c>
      <c r="C469" t="s">
        <v>13</v>
      </c>
      <c r="D469" t="s">
        <v>14</v>
      </c>
      <c r="E469" s="2">
        <v>45818</v>
      </c>
      <c r="F469" s="2">
        <v>45830</v>
      </c>
      <c r="G469">
        <v>12</v>
      </c>
      <c r="H469" t="s">
        <v>20</v>
      </c>
      <c r="I469">
        <v>0</v>
      </c>
      <c r="J469" t="s">
        <v>21</v>
      </c>
      <c r="K469" t="s">
        <v>17</v>
      </c>
      <c r="L469">
        <v>10858.58</v>
      </c>
    </row>
    <row r="470" spans="1:12" x14ac:dyDescent="0.25">
      <c r="A470" t="s">
        <v>497</v>
      </c>
      <c r="B470">
        <v>34</v>
      </c>
      <c r="C470" t="s">
        <v>13</v>
      </c>
      <c r="D470" t="s">
        <v>34</v>
      </c>
      <c r="E470" s="2">
        <v>46009</v>
      </c>
      <c r="F470" s="2">
        <v>46015</v>
      </c>
      <c r="G470">
        <v>6</v>
      </c>
      <c r="H470" t="s">
        <v>20</v>
      </c>
      <c r="I470">
        <v>0</v>
      </c>
      <c r="J470" t="s">
        <v>25</v>
      </c>
      <c r="K470" t="s">
        <v>17</v>
      </c>
      <c r="L470">
        <v>2173.38</v>
      </c>
    </row>
    <row r="471" spans="1:12" x14ac:dyDescent="0.25">
      <c r="A471" t="s">
        <v>498</v>
      </c>
      <c r="B471">
        <v>71</v>
      </c>
      <c r="C471" t="s">
        <v>24</v>
      </c>
      <c r="D471" t="s">
        <v>40</v>
      </c>
      <c r="E471" s="2">
        <v>45838</v>
      </c>
      <c r="F471" s="2">
        <v>45847</v>
      </c>
      <c r="G471">
        <v>9</v>
      </c>
      <c r="H471" t="s">
        <v>20</v>
      </c>
      <c r="I471">
        <v>0</v>
      </c>
      <c r="J471" t="s">
        <v>16</v>
      </c>
      <c r="K471" t="s">
        <v>17</v>
      </c>
      <c r="L471">
        <v>2043.82</v>
      </c>
    </row>
    <row r="472" spans="1:12" x14ac:dyDescent="0.25">
      <c r="A472" t="s">
        <v>499</v>
      </c>
      <c r="B472">
        <v>25</v>
      </c>
      <c r="C472" t="s">
        <v>13</v>
      </c>
      <c r="D472" t="s">
        <v>32</v>
      </c>
      <c r="E472" s="2">
        <v>45853</v>
      </c>
      <c r="F472" s="2">
        <v>45856</v>
      </c>
      <c r="G472">
        <v>3</v>
      </c>
      <c r="H472" t="s">
        <v>15</v>
      </c>
      <c r="I472">
        <v>25</v>
      </c>
      <c r="J472" t="s">
        <v>21</v>
      </c>
      <c r="K472" t="s">
        <v>47</v>
      </c>
      <c r="L472">
        <v>10409.16</v>
      </c>
    </row>
    <row r="473" spans="1:12" x14ac:dyDescent="0.25">
      <c r="A473" t="s">
        <v>500</v>
      </c>
      <c r="B473">
        <v>55</v>
      </c>
      <c r="C473" t="s">
        <v>13</v>
      </c>
      <c r="D473" t="s">
        <v>34</v>
      </c>
      <c r="E473" s="2">
        <v>45732</v>
      </c>
      <c r="F473" s="2">
        <v>45746</v>
      </c>
      <c r="G473">
        <v>14</v>
      </c>
      <c r="H473" t="s">
        <v>15</v>
      </c>
      <c r="I473">
        <v>2</v>
      </c>
      <c r="J473" t="s">
        <v>25</v>
      </c>
      <c r="K473" t="s">
        <v>47</v>
      </c>
      <c r="L473">
        <v>1985.96</v>
      </c>
    </row>
    <row r="474" spans="1:12" x14ac:dyDescent="0.25">
      <c r="A474" t="s">
        <v>501</v>
      </c>
      <c r="B474">
        <v>46</v>
      </c>
      <c r="C474" t="s">
        <v>24</v>
      </c>
      <c r="D474" t="s">
        <v>14</v>
      </c>
      <c r="E474" s="2">
        <v>46003</v>
      </c>
      <c r="F474" s="2">
        <v>46015</v>
      </c>
      <c r="G474">
        <v>12</v>
      </c>
      <c r="H474" t="s">
        <v>20</v>
      </c>
      <c r="I474">
        <v>0</v>
      </c>
      <c r="J474" t="s">
        <v>25</v>
      </c>
      <c r="K474" t="s">
        <v>17</v>
      </c>
      <c r="L474">
        <v>10135.16</v>
      </c>
    </row>
    <row r="475" spans="1:12" x14ac:dyDescent="0.25">
      <c r="A475" t="s">
        <v>502</v>
      </c>
      <c r="B475">
        <v>58</v>
      </c>
      <c r="C475" t="s">
        <v>13</v>
      </c>
      <c r="D475" t="s">
        <v>19</v>
      </c>
      <c r="E475" s="2">
        <v>45853</v>
      </c>
      <c r="F475" s="2">
        <v>45860</v>
      </c>
      <c r="G475">
        <v>7</v>
      </c>
      <c r="H475" t="s">
        <v>20</v>
      </c>
      <c r="I475">
        <v>0</v>
      </c>
      <c r="J475" t="s">
        <v>25</v>
      </c>
      <c r="K475" t="s">
        <v>22</v>
      </c>
      <c r="L475">
        <v>9498.14</v>
      </c>
    </row>
    <row r="476" spans="1:12" x14ac:dyDescent="0.25">
      <c r="A476" t="s">
        <v>503</v>
      </c>
      <c r="B476">
        <v>65</v>
      </c>
      <c r="C476" t="s">
        <v>13</v>
      </c>
      <c r="D476" t="s">
        <v>28</v>
      </c>
      <c r="E476" s="2">
        <v>45884</v>
      </c>
      <c r="F476" s="2">
        <v>45898</v>
      </c>
      <c r="G476">
        <v>14</v>
      </c>
      <c r="H476" t="s">
        <v>15</v>
      </c>
      <c r="I476">
        <v>7</v>
      </c>
      <c r="J476" t="s">
        <v>25</v>
      </c>
      <c r="K476" t="s">
        <v>47</v>
      </c>
      <c r="L476">
        <v>3072.68</v>
      </c>
    </row>
    <row r="477" spans="1:12" x14ac:dyDescent="0.25">
      <c r="A477" t="s">
        <v>504</v>
      </c>
      <c r="B477">
        <v>40</v>
      </c>
      <c r="C477" t="s">
        <v>13</v>
      </c>
      <c r="D477" t="s">
        <v>40</v>
      </c>
      <c r="E477" s="2">
        <v>46007</v>
      </c>
      <c r="F477" s="2">
        <v>46009</v>
      </c>
      <c r="G477">
        <v>2</v>
      </c>
      <c r="H477" t="s">
        <v>15</v>
      </c>
      <c r="I477">
        <v>2</v>
      </c>
      <c r="J477" t="s">
        <v>29</v>
      </c>
      <c r="K477" t="s">
        <v>47</v>
      </c>
      <c r="L477">
        <v>8570.68</v>
      </c>
    </row>
    <row r="478" spans="1:12" x14ac:dyDescent="0.25">
      <c r="A478" t="s">
        <v>505</v>
      </c>
      <c r="B478">
        <v>50</v>
      </c>
      <c r="C478" t="s">
        <v>13</v>
      </c>
      <c r="D478" t="s">
        <v>32</v>
      </c>
      <c r="E478" s="2">
        <v>45724</v>
      </c>
      <c r="F478" s="2">
        <v>45727</v>
      </c>
      <c r="G478">
        <v>3</v>
      </c>
      <c r="H478" t="s">
        <v>20</v>
      </c>
      <c r="I478">
        <v>0</v>
      </c>
      <c r="J478" t="s">
        <v>29</v>
      </c>
      <c r="K478" t="s">
        <v>17</v>
      </c>
      <c r="L478">
        <v>14093.67</v>
      </c>
    </row>
    <row r="479" spans="1:12" x14ac:dyDescent="0.25">
      <c r="A479" t="s">
        <v>506</v>
      </c>
      <c r="B479">
        <v>24</v>
      </c>
      <c r="C479" t="s">
        <v>24</v>
      </c>
      <c r="D479" t="s">
        <v>40</v>
      </c>
      <c r="E479" s="2">
        <v>45678</v>
      </c>
      <c r="F479" s="2">
        <v>45681</v>
      </c>
      <c r="G479">
        <v>3</v>
      </c>
      <c r="H479" t="s">
        <v>20</v>
      </c>
      <c r="I479">
        <v>0</v>
      </c>
      <c r="J479" t="s">
        <v>25</v>
      </c>
      <c r="K479" t="s">
        <v>22</v>
      </c>
      <c r="L479">
        <v>11868.46</v>
      </c>
    </row>
    <row r="480" spans="1:12" x14ac:dyDescent="0.25">
      <c r="A480" t="s">
        <v>507</v>
      </c>
      <c r="B480">
        <v>41</v>
      </c>
      <c r="C480" t="s">
        <v>13</v>
      </c>
      <c r="D480" t="s">
        <v>34</v>
      </c>
      <c r="E480" s="2">
        <v>45820</v>
      </c>
      <c r="F480" s="2">
        <v>45829</v>
      </c>
      <c r="G480">
        <v>9</v>
      </c>
      <c r="H480" t="s">
        <v>15</v>
      </c>
      <c r="I480">
        <v>6</v>
      </c>
      <c r="J480" t="s">
        <v>29</v>
      </c>
      <c r="K480" t="s">
        <v>17</v>
      </c>
      <c r="L480">
        <v>8287.02</v>
      </c>
    </row>
    <row r="481" spans="1:12" x14ac:dyDescent="0.25">
      <c r="A481" t="s">
        <v>508</v>
      </c>
      <c r="B481">
        <v>45</v>
      </c>
      <c r="C481" t="s">
        <v>24</v>
      </c>
      <c r="D481" t="s">
        <v>32</v>
      </c>
      <c r="E481" s="2">
        <v>45705</v>
      </c>
      <c r="F481" s="2">
        <v>45711</v>
      </c>
      <c r="G481">
        <v>6</v>
      </c>
      <c r="H481" t="s">
        <v>15</v>
      </c>
      <c r="I481">
        <v>12</v>
      </c>
      <c r="J481" t="s">
        <v>25</v>
      </c>
      <c r="K481" t="s">
        <v>22</v>
      </c>
      <c r="L481">
        <v>14279.47</v>
      </c>
    </row>
    <row r="482" spans="1:12" x14ac:dyDescent="0.25">
      <c r="A482" t="s">
        <v>509</v>
      </c>
      <c r="B482">
        <v>89</v>
      </c>
      <c r="C482" t="s">
        <v>13</v>
      </c>
      <c r="D482" t="s">
        <v>19</v>
      </c>
      <c r="E482" s="2">
        <v>45974</v>
      </c>
      <c r="F482" s="2">
        <v>45983</v>
      </c>
      <c r="G482">
        <v>9</v>
      </c>
      <c r="H482" t="s">
        <v>20</v>
      </c>
      <c r="I482">
        <v>0</v>
      </c>
      <c r="J482" t="s">
        <v>25</v>
      </c>
      <c r="K482" t="s">
        <v>47</v>
      </c>
      <c r="L482">
        <v>3985.04</v>
      </c>
    </row>
    <row r="483" spans="1:12" x14ac:dyDescent="0.25">
      <c r="A483" t="s">
        <v>510</v>
      </c>
      <c r="B483">
        <v>49</v>
      </c>
      <c r="C483" t="s">
        <v>13</v>
      </c>
      <c r="D483" t="s">
        <v>28</v>
      </c>
      <c r="E483" s="2">
        <v>45986</v>
      </c>
      <c r="F483" s="2">
        <v>45996</v>
      </c>
      <c r="G483">
        <v>10</v>
      </c>
      <c r="H483" t="s">
        <v>20</v>
      </c>
      <c r="I483">
        <v>0</v>
      </c>
      <c r="J483" t="s">
        <v>25</v>
      </c>
      <c r="K483" t="s">
        <v>47</v>
      </c>
      <c r="L483">
        <v>13781.02</v>
      </c>
    </row>
    <row r="484" spans="1:12" x14ac:dyDescent="0.25">
      <c r="A484" t="s">
        <v>511</v>
      </c>
      <c r="B484">
        <v>54</v>
      </c>
      <c r="C484" t="s">
        <v>13</v>
      </c>
      <c r="D484" t="s">
        <v>34</v>
      </c>
      <c r="E484" s="2">
        <v>45716</v>
      </c>
      <c r="F484" s="2">
        <v>45723</v>
      </c>
      <c r="G484">
        <v>7</v>
      </c>
      <c r="H484" t="s">
        <v>15</v>
      </c>
      <c r="I484">
        <v>27</v>
      </c>
      <c r="J484" t="s">
        <v>25</v>
      </c>
      <c r="K484" t="s">
        <v>17</v>
      </c>
      <c r="L484">
        <v>12140.84</v>
      </c>
    </row>
    <row r="485" spans="1:12" x14ac:dyDescent="0.25">
      <c r="A485" t="s">
        <v>512</v>
      </c>
      <c r="B485">
        <v>42</v>
      </c>
      <c r="C485" t="s">
        <v>24</v>
      </c>
      <c r="D485" t="s">
        <v>34</v>
      </c>
      <c r="E485" s="2">
        <v>45886</v>
      </c>
      <c r="F485" s="2">
        <v>45894</v>
      </c>
      <c r="G485">
        <v>8</v>
      </c>
      <c r="H485" t="s">
        <v>15</v>
      </c>
      <c r="I485">
        <v>3</v>
      </c>
      <c r="J485" t="s">
        <v>16</v>
      </c>
      <c r="K485" t="s">
        <v>22</v>
      </c>
      <c r="L485">
        <v>14588.62</v>
      </c>
    </row>
    <row r="486" spans="1:12" x14ac:dyDescent="0.25">
      <c r="A486" t="s">
        <v>513</v>
      </c>
      <c r="B486">
        <v>26</v>
      </c>
      <c r="C486" t="s">
        <v>13</v>
      </c>
      <c r="D486" t="s">
        <v>28</v>
      </c>
      <c r="E486" s="2">
        <v>45933</v>
      </c>
      <c r="F486" s="2">
        <v>45942</v>
      </c>
      <c r="G486">
        <v>9</v>
      </c>
      <c r="H486" t="s">
        <v>15</v>
      </c>
      <c r="I486">
        <v>21</v>
      </c>
      <c r="J486" t="s">
        <v>21</v>
      </c>
      <c r="K486" t="s">
        <v>17</v>
      </c>
      <c r="L486">
        <v>6651.04</v>
      </c>
    </row>
    <row r="487" spans="1:12" x14ac:dyDescent="0.25">
      <c r="A487" t="s">
        <v>514</v>
      </c>
      <c r="B487">
        <v>73</v>
      </c>
      <c r="C487" t="s">
        <v>13</v>
      </c>
      <c r="D487" t="s">
        <v>28</v>
      </c>
      <c r="E487" s="2">
        <v>45711</v>
      </c>
      <c r="F487" s="2">
        <v>45715</v>
      </c>
      <c r="G487">
        <v>4</v>
      </c>
      <c r="H487" t="s">
        <v>20</v>
      </c>
      <c r="I487">
        <v>0</v>
      </c>
      <c r="J487" t="s">
        <v>21</v>
      </c>
      <c r="K487" t="s">
        <v>22</v>
      </c>
      <c r="L487">
        <v>7158.77</v>
      </c>
    </row>
    <row r="488" spans="1:12" x14ac:dyDescent="0.25">
      <c r="A488" t="s">
        <v>515</v>
      </c>
      <c r="B488">
        <v>24</v>
      </c>
      <c r="C488" t="s">
        <v>13</v>
      </c>
      <c r="D488" t="s">
        <v>32</v>
      </c>
      <c r="E488" s="2">
        <v>45827</v>
      </c>
      <c r="F488" s="2">
        <v>45828</v>
      </c>
      <c r="G488">
        <v>1</v>
      </c>
      <c r="H488" t="s">
        <v>15</v>
      </c>
      <c r="I488">
        <v>18</v>
      </c>
      <c r="J488" t="s">
        <v>16</v>
      </c>
      <c r="K488" t="s">
        <v>17</v>
      </c>
      <c r="L488">
        <v>12413.48</v>
      </c>
    </row>
    <row r="489" spans="1:12" x14ac:dyDescent="0.25">
      <c r="A489" t="s">
        <v>516</v>
      </c>
      <c r="B489">
        <v>69</v>
      </c>
      <c r="C489" t="s">
        <v>24</v>
      </c>
      <c r="D489" t="s">
        <v>32</v>
      </c>
      <c r="E489" s="2">
        <v>45790</v>
      </c>
      <c r="F489" s="2">
        <v>45797</v>
      </c>
      <c r="G489">
        <v>7</v>
      </c>
      <c r="H489" t="s">
        <v>20</v>
      </c>
      <c r="I489">
        <v>0</v>
      </c>
      <c r="J489" t="s">
        <v>16</v>
      </c>
      <c r="K489" t="s">
        <v>47</v>
      </c>
      <c r="L489">
        <v>10262.83</v>
      </c>
    </row>
    <row r="490" spans="1:12" x14ac:dyDescent="0.25">
      <c r="A490" t="s">
        <v>517</v>
      </c>
      <c r="B490">
        <v>26</v>
      </c>
      <c r="C490" t="s">
        <v>13</v>
      </c>
      <c r="D490" t="s">
        <v>28</v>
      </c>
      <c r="E490" s="2">
        <v>45931</v>
      </c>
      <c r="F490" s="2">
        <v>45932</v>
      </c>
      <c r="G490">
        <v>1</v>
      </c>
      <c r="H490" t="s">
        <v>20</v>
      </c>
      <c r="I490">
        <v>0</v>
      </c>
      <c r="J490" t="s">
        <v>16</v>
      </c>
      <c r="K490" t="s">
        <v>47</v>
      </c>
      <c r="L490">
        <v>13956.69</v>
      </c>
    </row>
    <row r="491" spans="1:12" x14ac:dyDescent="0.25">
      <c r="A491" t="s">
        <v>518</v>
      </c>
      <c r="B491">
        <v>56</v>
      </c>
      <c r="C491" t="s">
        <v>13</v>
      </c>
      <c r="D491" t="s">
        <v>32</v>
      </c>
      <c r="E491" s="2">
        <v>45712</v>
      </c>
      <c r="F491" s="2">
        <v>45717</v>
      </c>
      <c r="G491">
        <v>5</v>
      </c>
      <c r="H491" t="s">
        <v>20</v>
      </c>
      <c r="I491">
        <v>0</v>
      </c>
      <c r="J491" t="s">
        <v>29</v>
      </c>
      <c r="K491" t="s">
        <v>47</v>
      </c>
      <c r="L491">
        <v>6229.14</v>
      </c>
    </row>
    <row r="492" spans="1:12" x14ac:dyDescent="0.25">
      <c r="A492" t="s">
        <v>519</v>
      </c>
      <c r="B492">
        <v>86</v>
      </c>
      <c r="C492" t="s">
        <v>13</v>
      </c>
      <c r="D492" t="s">
        <v>14</v>
      </c>
      <c r="E492" s="2">
        <v>45996</v>
      </c>
      <c r="F492" s="2">
        <v>45997</v>
      </c>
      <c r="G492">
        <v>1</v>
      </c>
      <c r="H492" t="s">
        <v>20</v>
      </c>
      <c r="I492">
        <v>0</v>
      </c>
      <c r="J492" t="s">
        <v>29</v>
      </c>
      <c r="K492" t="s">
        <v>17</v>
      </c>
      <c r="L492">
        <v>4777.1899999999996</v>
      </c>
    </row>
    <row r="493" spans="1:12" x14ac:dyDescent="0.25">
      <c r="A493" t="s">
        <v>520</v>
      </c>
      <c r="B493">
        <v>65</v>
      </c>
      <c r="C493" t="s">
        <v>13</v>
      </c>
      <c r="D493" t="s">
        <v>34</v>
      </c>
      <c r="E493" s="2">
        <v>45982</v>
      </c>
      <c r="F493" s="2">
        <v>45985</v>
      </c>
      <c r="G493">
        <v>3</v>
      </c>
      <c r="H493" t="s">
        <v>15</v>
      </c>
      <c r="I493">
        <v>28</v>
      </c>
      <c r="J493" t="s">
        <v>21</v>
      </c>
      <c r="K493" t="s">
        <v>22</v>
      </c>
      <c r="L493">
        <v>1105.71</v>
      </c>
    </row>
    <row r="494" spans="1:12" x14ac:dyDescent="0.25">
      <c r="A494" t="s">
        <v>521</v>
      </c>
      <c r="B494">
        <v>88</v>
      </c>
      <c r="C494" t="s">
        <v>13</v>
      </c>
      <c r="D494" t="s">
        <v>32</v>
      </c>
      <c r="E494" s="2">
        <v>45951</v>
      </c>
      <c r="F494" s="2">
        <v>45961</v>
      </c>
      <c r="G494">
        <v>10</v>
      </c>
      <c r="H494" t="s">
        <v>20</v>
      </c>
      <c r="I494">
        <v>0</v>
      </c>
      <c r="J494" t="s">
        <v>21</v>
      </c>
      <c r="K494" t="s">
        <v>17</v>
      </c>
      <c r="L494">
        <v>11250.74</v>
      </c>
    </row>
    <row r="495" spans="1:12" x14ac:dyDescent="0.25">
      <c r="A495" t="s">
        <v>522</v>
      </c>
      <c r="B495">
        <v>83</v>
      </c>
      <c r="C495" t="s">
        <v>13</v>
      </c>
      <c r="D495" t="s">
        <v>14</v>
      </c>
      <c r="E495" s="2">
        <v>45834</v>
      </c>
      <c r="F495" s="2">
        <v>45838</v>
      </c>
      <c r="G495">
        <v>4</v>
      </c>
      <c r="H495" t="s">
        <v>20</v>
      </c>
      <c r="I495">
        <v>0</v>
      </c>
      <c r="J495" t="s">
        <v>21</v>
      </c>
      <c r="K495" t="s">
        <v>22</v>
      </c>
      <c r="L495">
        <v>9444.83</v>
      </c>
    </row>
    <row r="496" spans="1:12" x14ac:dyDescent="0.25">
      <c r="A496" t="s">
        <v>523</v>
      </c>
      <c r="B496">
        <v>90</v>
      </c>
      <c r="C496" t="s">
        <v>13</v>
      </c>
      <c r="D496" t="s">
        <v>34</v>
      </c>
      <c r="E496" s="2">
        <v>45787</v>
      </c>
      <c r="F496" s="2">
        <v>45791</v>
      </c>
      <c r="G496">
        <v>4</v>
      </c>
      <c r="H496" t="s">
        <v>15</v>
      </c>
      <c r="I496">
        <v>15</v>
      </c>
      <c r="J496" t="s">
        <v>16</v>
      </c>
      <c r="K496" t="s">
        <v>47</v>
      </c>
      <c r="L496">
        <v>10239.44</v>
      </c>
    </row>
    <row r="497" spans="1:12" x14ac:dyDescent="0.25">
      <c r="A497" t="s">
        <v>524</v>
      </c>
      <c r="B497">
        <v>80</v>
      </c>
      <c r="C497" t="s">
        <v>24</v>
      </c>
      <c r="D497" t="s">
        <v>32</v>
      </c>
      <c r="E497" s="2">
        <v>45786</v>
      </c>
      <c r="F497" s="2">
        <v>45788</v>
      </c>
      <c r="G497">
        <v>2</v>
      </c>
      <c r="H497" t="s">
        <v>15</v>
      </c>
      <c r="I497">
        <v>5</v>
      </c>
      <c r="J497" t="s">
        <v>21</v>
      </c>
      <c r="K497" t="s">
        <v>22</v>
      </c>
      <c r="L497">
        <v>4634.49</v>
      </c>
    </row>
    <row r="498" spans="1:12" x14ac:dyDescent="0.25">
      <c r="A498" t="s">
        <v>525</v>
      </c>
      <c r="B498">
        <v>75</v>
      </c>
      <c r="C498" t="s">
        <v>24</v>
      </c>
      <c r="D498" t="s">
        <v>34</v>
      </c>
      <c r="E498" s="2">
        <v>45693</v>
      </c>
      <c r="F498" s="2">
        <v>45697</v>
      </c>
      <c r="G498">
        <v>4</v>
      </c>
      <c r="H498" t="s">
        <v>20</v>
      </c>
      <c r="I498">
        <v>0</v>
      </c>
      <c r="J498" t="s">
        <v>25</v>
      </c>
      <c r="K498" t="s">
        <v>17</v>
      </c>
      <c r="L498">
        <v>8970.4599999999991</v>
      </c>
    </row>
    <row r="499" spans="1:12" x14ac:dyDescent="0.25">
      <c r="A499" t="s">
        <v>526</v>
      </c>
      <c r="B499">
        <v>58</v>
      </c>
      <c r="C499" t="s">
        <v>24</v>
      </c>
      <c r="D499" t="s">
        <v>14</v>
      </c>
      <c r="E499" s="2">
        <v>45947</v>
      </c>
      <c r="F499" s="2">
        <v>45957</v>
      </c>
      <c r="G499">
        <v>10</v>
      </c>
      <c r="H499" t="s">
        <v>20</v>
      </c>
      <c r="I499">
        <v>0</v>
      </c>
      <c r="J499" t="s">
        <v>16</v>
      </c>
      <c r="K499" t="s">
        <v>47</v>
      </c>
      <c r="L499">
        <v>4069.54</v>
      </c>
    </row>
    <row r="500" spans="1:12" x14ac:dyDescent="0.25">
      <c r="A500" t="s">
        <v>527</v>
      </c>
      <c r="B500">
        <v>73</v>
      </c>
      <c r="C500" t="s">
        <v>24</v>
      </c>
      <c r="D500" t="s">
        <v>32</v>
      </c>
      <c r="E500" s="2">
        <v>45771</v>
      </c>
      <c r="F500" s="2">
        <v>45783</v>
      </c>
      <c r="G500">
        <v>12</v>
      </c>
      <c r="H500" t="s">
        <v>20</v>
      </c>
      <c r="I500">
        <v>0</v>
      </c>
      <c r="J500" t="s">
        <v>21</v>
      </c>
      <c r="K500" t="s">
        <v>17</v>
      </c>
      <c r="L500">
        <v>11128.11</v>
      </c>
    </row>
    <row r="501" spans="1:12" x14ac:dyDescent="0.25">
      <c r="A501" t="s">
        <v>528</v>
      </c>
      <c r="B501">
        <v>57</v>
      </c>
      <c r="C501" t="s">
        <v>24</v>
      </c>
      <c r="D501" t="s">
        <v>34</v>
      </c>
      <c r="E501" s="2">
        <v>45903</v>
      </c>
      <c r="F501" s="2">
        <v>45911</v>
      </c>
      <c r="G501">
        <v>8</v>
      </c>
      <c r="H501" t="s">
        <v>20</v>
      </c>
      <c r="I501">
        <v>0</v>
      </c>
      <c r="J501" t="s">
        <v>16</v>
      </c>
      <c r="K501" t="s">
        <v>22</v>
      </c>
      <c r="L501">
        <v>9860.5</v>
      </c>
    </row>
    <row r="502" spans="1:12" x14ac:dyDescent="0.25">
      <c r="A502" t="s">
        <v>529</v>
      </c>
      <c r="B502">
        <v>35</v>
      </c>
      <c r="C502" t="s">
        <v>13</v>
      </c>
      <c r="D502" t="s">
        <v>32</v>
      </c>
      <c r="E502" s="2">
        <v>45699</v>
      </c>
      <c r="F502" s="2">
        <v>45713</v>
      </c>
      <c r="G502">
        <v>14</v>
      </c>
      <c r="H502" t="s">
        <v>15</v>
      </c>
      <c r="I502">
        <v>24</v>
      </c>
      <c r="J502" t="s">
        <v>16</v>
      </c>
      <c r="K502" t="s">
        <v>17</v>
      </c>
      <c r="L502">
        <v>1593.3</v>
      </c>
    </row>
    <row r="503" spans="1:12" x14ac:dyDescent="0.25">
      <c r="A503" t="s">
        <v>530</v>
      </c>
      <c r="B503">
        <v>21</v>
      </c>
      <c r="C503" t="s">
        <v>24</v>
      </c>
      <c r="D503" t="s">
        <v>34</v>
      </c>
      <c r="E503" s="2">
        <v>45667</v>
      </c>
      <c r="F503" s="2">
        <v>45681</v>
      </c>
      <c r="G503">
        <v>14</v>
      </c>
      <c r="H503" t="s">
        <v>20</v>
      </c>
      <c r="I503">
        <v>0</v>
      </c>
      <c r="J503" t="s">
        <v>21</v>
      </c>
      <c r="K503" t="s">
        <v>22</v>
      </c>
      <c r="L503">
        <v>8498.11</v>
      </c>
    </row>
    <row r="504" spans="1:12" x14ac:dyDescent="0.25">
      <c r="A504" t="s">
        <v>531</v>
      </c>
      <c r="B504">
        <v>37</v>
      </c>
      <c r="C504" t="s">
        <v>24</v>
      </c>
      <c r="D504" t="s">
        <v>40</v>
      </c>
      <c r="E504" s="2">
        <v>45936</v>
      </c>
      <c r="F504" s="2">
        <v>45945</v>
      </c>
      <c r="G504">
        <v>9</v>
      </c>
      <c r="H504" t="s">
        <v>20</v>
      </c>
      <c r="I504">
        <v>0</v>
      </c>
      <c r="J504" t="s">
        <v>21</v>
      </c>
      <c r="K504" t="s">
        <v>17</v>
      </c>
      <c r="L504">
        <v>11131.79</v>
      </c>
    </row>
    <row r="505" spans="1:12" x14ac:dyDescent="0.25">
      <c r="A505" t="s">
        <v>532</v>
      </c>
      <c r="B505">
        <v>83</v>
      </c>
      <c r="C505" t="s">
        <v>13</v>
      </c>
      <c r="D505" t="s">
        <v>40</v>
      </c>
      <c r="E505" s="2">
        <v>45806</v>
      </c>
      <c r="F505" s="2">
        <v>45809</v>
      </c>
      <c r="G505">
        <v>3</v>
      </c>
      <c r="H505" t="s">
        <v>20</v>
      </c>
      <c r="I505">
        <v>0</v>
      </c>
      <c r="J505" t="s">
        <v>25</v>
      </c>
      <c r="K505" t="s">
        <v>17</v>
      </c>
      <c r="L505">
        <v>653.58000000000004</v>
      </c>
    </row>
    <row r="506" spans="1:12" x14ac:dyDescent="0.25">
      <c r="A506" t="s">
        <v>533</v>
      </c>
      <c r="B506">
        <v>39</v>
      </c>
      <c r="C506" t="s">
        <v>13</v>
      </c>
      <c r="D506" t="s">
        <v>40</v>
      </c>
      <c r="E506" s="2">
        <v>45780</v>
      </c>
      <c r="F506" s="2">
        <v>45794</v>
      </c>
      <c r="G506">
        <v>14</v>
      </c>
      <c r="H506" t="s">
        <v>20</v>
      </c>
      <c r="I506">
        <v>0</v>
      </c>
      <c r="J506" t="s">
        <v>21</v>
      </c>
      <c r="K506" t="s">
        <v>22</v>
      </c>
      <c r="L506">
        <v>8712.18</v>
      </c>
    </row>
    <row r="507" spans="1:12" x14ac:dyDescent="0.25">
      <c r="A507" t="s">
        <v>534</v>
      </c>
      <c r="B507">
        <v>36</v>
      </c>
      <c r="C507" t="s">
        <v>24</v>
      </c>
      <c r="D507" t="s">
        <v>32</v>
      </c>
      <c r="E507" s="2">
        <v>45947</v>
      </c>
      <c r="F507" s="2">
        <v>45958</v>
      </c>
      <c r="G507">
        <v>11</v>
      </c>
      <c r="H507" t="s">
        <v>20</v>
      </c>
      <c r="I507">
        <v>0</v>
      </c>
      <c r="J507" t="s">
        <v>16</v>
      </c>
      <c r="K507" t="s">
        <v>22</v>
      </c>
      <c r="L507">
        <v>11541.35</v>
      </c>
    </row>
    <row r="508" spans="1:12" x14ac:dyDescent="0.25">
      <c r="A508" t="s">
        <v>535</v>
      </c>
      <c r="B508">
        <v>47</v>
      </c>
      <c r="C508" t="s">
        <v>13</v>
      </c>
      <c r="D508" t="s">
        <v>28</v>
      </c>
      <c r="E508" s="2">
        <v>45776</v>
      </c>
      <c r="F508" s="2">
        <v>45778</v>
      </c>
      <c r="G508">
        <v>2</v>
      </c>
      <c r="H508" t="s">
        <v>15</v>
      </c>
      <c r="I508">
        <v>7</v>
      </c>
      <c r="J508" t="s">
        <v>25</v>
      </c>
      <c r="K508" t="s">
        <v>47</v>
      </c>
      <c r="L508">
        <v>7310.28</v>
      </c>
    </row>
    <row r="509" spans="1:12" x14ac:dyDescent="0.25">
      <c r="A509" t="s">
        <v>536</v>
      </c>
      <c r="B509">
        <v>59</v>
      </c>
      <c r="C509" t="s">
        <v>13</v>
      </c>
      <c r="D509" t="s">
        <v>28</v>
      </c>
      <c r="E509" s="2">
        <v>45890</v>
      </c>
      <c r="F509" s="2">
        <v>45891</v>
      </c>
      <c r="G509">
        <v>1</v>
      </c>
      <c r="H509" t="s">
        <v>15</v>
      </c>
      <c r="I509">
        <v>17</v>
      </c>
      <c r="J509" t="s">
        <v>25</v>
      </c>
      <c r="K509" t="s">
        <v>17</v>
      </c>
      <c r="L509">
        <v>4318.08</v>
      </c>
    </row>
    <row r="510" spans="1:12" x14ac:dyDescent="0.25">
      <c r="A510" t="s">
        <v>537</v>
      </c>
      <c r="B510">
        <v>66</v>
      </c>
      <c r="C510" t="s">
        <v>24</v>
      </c>
      <c r="D510" t="s">
        <v>34</v>
      </c>
      <c r="E510" s="2">
        <v>45936</v>
      </c>
      <c r="F510" s="2">
        <v>45946</v>
      </c>
      <c r="G510">
        <v>10</v>
      </c>
      <c r="H510" t="s">
        <v>15</v>
      </c>
      <c r="I510">
        <v>21</v>
      </c>
      <c r="J510" t="s">
        <v>16</v>
      </c>
      <c r="K510" t="s">
        <v>17</v>
      </c>
      <c r="L510">
        <v>4148</v>
      </c>
    </row>
    <row r="511" spans="1:12" x14ac:dyDescent="0.25">
      <c r="A511" t="s">
        <v>538</v>
      </c>
      <c r="B511">
        <v>62</v>
      </c>
      <c r="C511" t="s">
        <v>24</v>
      </c>
      <c r="D511" t="s">
        <v>40</v>
      </c>
      <c r="E511" s="2">
        <v>45772</v>
      </c>
      <c r="F511" s="2">
        <v>45781</v>
      </c>
      <c r="G511">
        <v>9</v>
      </c>
      <c r="H511" t="s">
        <v>20</v>
      </c>
      <c r="I511">
        <v>0</v>
      </c>
      <c r="J511" t="s">
        <v>16</v>
      </c>
      <c r="K511" t="s">
        <v>17</v>
      </c>
      <c r="L511">
        <v>13289.5</v>
      </c>
    </row>
    <row r="512" spans="1:12" x14ac:dyDescent="0.25">
      <c r="A512" t="s">
        <v>539</v>
      </c>
      <c r="B512">
        <v>83</v>
      </c>
      <c r="C512" t="s">
        <v>24</v>
      </c>
      <c r="D512" t="s">
        <v>14</v>
      </c>
      <c r="E512" s="2">
        <v>45883</v>
      </c>
      <c r="F512" s="2">
        <v>45886</v>
      </c>
      <c r="G512">
        <v>3</v>
      </c>
      <c r="H512" t="s">
        <v>15</v>
      </c>
      <c r="I512">
        <v>5</v>
      </c>
      <c r="J512" t="s">
        <v>21</v>
      </c>
      <c r="K512" t="s">
        <v>22</v>
      </c>
      <c r="L512">
        <v>5752.23</v>
      </c>
    </row>
    <row r="513" spans="1:12" x14ac:dyDescent="0.25">
      <c r="A513" t="s">
        <v>540</v>
      </c>
      <c r="B513">
        <v>60</v>
      </c>
      <c r="C513" t="s">
        <v>13</v>
      </c>
      <c r="D513" t="s">
        <v>40</v>
      </c>
      <c r="E513" s="2">
        <v>45718</v>
      </c>
      <c r="F513" s="2">
        <v>45729</v>
      </c>
      <c r="G513">
        <v>11</v>
      </c>
      <c r="H513" t="s">
        <v>15</v>
      </c>
      <c r="I513">
        <v>22</v>
      </c>
      <c r="J513" t="s">
        <v>29</v>
      </c>
      <c r="K513" t="s">
        <v>47</v>
      </c>
      <c r="L513">
        <v>3555.21</v>
      </c>
    </row>
    <row r="514" spans="1:12" x14ac:dyDescent="0.25">
      <c r="A514" t="s">
        <v>541</v>
      </c>
      <c r="B514">
        <v>20</v>
      </c>
      <c r="C514" t="s">
        <v>13</v>
      </c>
      <c r="D514" t="s">
        <v>19</v>
      </c>
      <c r="E514" s="2">
        <v>45740</v>
      </c>
      <c r="F514" s="2">
        <v>45751</v>
      </c>
      <c r="G514">
        <v>11</v>
      </c>
      <c r="H514" t="s">
        <v>20</v>
      </c>
      <c r="I514">
        <v>0</v>
      </c>
      <c r="J514" t="s">
        <v>21</v>
      </c>
      <c r="K514" t="s">
        <v>17</v>
      </c>
      <c r="L514">
        <v>9089.0400000000009</v>
      </c>
    </row>
    <row r="515" spans="1:12" x14ac:dyDescent="0.25">
      <c r="A515" t="s">
        <v>542</v>
      </c>
      <c r="B515">
        <v>36</v>
      </c>
      <c r="C515" t="s">
        <v>13</v>
      </c>
      <c r="D515" t="s">
        <v>14</v>
      </c>
      <c r="E515" s="2">
        <v>45726</v>
      </c>
      <c r="F515" s="2">
        <v>45737</v>
      </c>
      <c r="G515">
        <v>11</v>
      </c>
      <c r="H515" t="s">
        <v>20</v>
      </c>
      <c r="I515">
        <v>0</v>
      </c>
      <c r="J515" t="s">
        <v>25</v>
      </c>
      <c r="K515" t="s">
        <v>22</v>
      </c>
      <c r="L515">
        <v>7991.29</v>
      </c>
    </row>
    <row r="516" spans="1:12" x14ac:dyDescent="0.25">
      <c r="A516" t="s">
        <v>543</v>
      </c>
      <c r="B516">
        <v>20</v>
      </c>
      <c r="C516" t="s">
        <v>24</v>
      </c>
      <c r="D516" t="s">
        <v>19</v>
      </c>
      <c r="E516" s="2">
        <v>45865</v>
      </c>
      <c r="F516" s="2">
        <v>45875</v>
      </c>
      <c r="G516">
        <v>10</v>
      </c>
      <c r="H516" t="s">
        <v>20</v>
      </c>
      <c r="I516">
        <v>0</v>
      </c>
      <c r="J516" t="s">
        <v>21</v>
      </c>
      <c r="K516" t="s">
        <v>47</v>
      </c>
      <c r="L516">
        <v>9294.6299999999992</v>
      </c>
    </row>
    <row r="517" spans="1:12" x14ac:dyDescent="0.25">
      <c r="A517" t="s">
        <v>544</v>
      </c>
      <c r="B517">
        <v>46</v>
      </c>
      <c r="C517" t="s">
        <v>24</v>
      </c>
      <c r="D517" t="s">
        <v>34</v>
      </c>
      <c r="E517" s="2">
        <v>45899</v>
      </c>
      <c r="F517" s="2">
        <v>45913</v>
      </c>
      <c r="G517">
        <v>14</v>
      </c>
      <c r="H517" t="s">
        <v>20</v>
      </c>
      <c r="I517">
        <v>0</v>
      </c>
      <c r="J517" t="s">
        <v>21</v>
      </c>
      <c r="K517" t="s">
        <v>17</v>
      </c>
      <c r="L517">
        <v>12396.57</v>
      </c>
    </row>
    <row r="518" spans="1:12" x14ac:dyDescent="0.25">
      <c r="A518" t="s">
        <v>545</v>
      </c>
      <c r="B518">
        <v>51</v>
      </c>
      <c r="C518" t="s">
        <v>13</v>
      </c>
      <c r="D518" t="s">
        <v>28</v>
      </c>
      <c r="E518" s="2">
        <v>45751</v>
      </c>
      <c r="F518" s="2">
        <v>45761</v>
      </c>
      <c r="G518">
        <v>10</v>
      </c>
      <c r="H518" t="s">
        <v>20</v>
      </c>
      <c r="I518">
        <v>0</v>
      </c>
      <c r="J518" t="s">
        <v>25</v>
      </c>
      <c r="K518" t="s">
        <v>47</v>
      </c>
      <c r="L518">
        <v>9149.73</v>
      </c>
    </row>
    <row r="519" spans="1:12" x14ac:dyDescent="0.25">
      <c r="A519" t="s">
        <v>546</v>
      </c>
      <c r="B519">
        <v>34</v>
      </c>
      <c r="C519" t="s">
        <v>13</v>
      </c>
      <c r="D519" t="s">
        <v>19</v>
      </c>
      <c r="E519" s="2">
        <v>45693</v>
      </c>
      <c r="F519" s="2">
        <v>45697</v>
      </c>
      <c r="G519">
        <v>4</v>
      </c>
      <c r="H519" t="s">
        <v>20</v>
      </c>
      <c r="I519">
        <v>0</v>
      </c>
      <c r="J519" t="s">
        <v>21</v>
      </c>
      <c r="K519" t="s">
        <v>17</v>
      </c>
      <c r="L519">
        <v>12964.08</v>
      </c>
    </row>
    <row r="520" spans="1:12" x14ac:dyDescent="0.25">
      <c r="A520" t="s">
        <v>547</v>
      </c>
      <c r="B520">
        <v>37</v>
      </c>
      <c r="C520" t="s">
        <v>13</v>
      </c>
      <c r="D520" t="s">
        <v>14</v>
      </c>
      <c r="E520" s="2">
        <v>45916</v>
      </c>
      <c r="F520" s="2">
        <v>45927</v>
      </c>
      <c r="G520">
        <v>11</v>
      </c>
      <c r="H520" t="s">
        <v>20</v>
      </c>
      <c r="I520">
        <v>0</v>
      </c>
      <c r="J520" t="s">
        <v>29</v>
      </c>
      <c r="K520" t="s">
        <v>17</v>
      </c>
      <c r="L520">
        <v>9197.2999999999993</v>
      </c>
    </row>
    <row r="521" spans="1:12" x14ac:dyDescent="0.25">
      <c r="A521" t="s">
        <v>548</v>
      </c>
      <c r="B521">
        <v>29</v>
      </c>
      <c r="C521" t="s">
        <v>24</v>
      </c>
      <c r="D521" t="s">
        <v>28</v>
      </c>
      <c r="E521" s="2">
        <v>45930</v>
      </c>
      <c r="F521" s="2">
        <v>45939</v>
      </c>
      <c r="G521">
        <v>9</v>
      </c>
      <c r="H521" t="s">
        <v>20</v>
      </c>
      <c r="I521">
        <v>0</v>
      </c>
      <c r="J521" t="s">
        <v>21</v>
      </c>
      <c r="K521" t="s">
        <v>17</v>
      </c>
      <c r="L521">
        <v>8319.65</v>
      </c>
    </row>
    <row r="522" spans="1:12" x14ac:dyDescent="0.25">
      <c r="A522" t="s">
        <v>549</v>
      </c>
      <c r="B522">
        <v>73</v>
      </c>
      <c r="C522" t="s">
        <v>24</v>
      </c>
      <c r="D522" t="s">
        <v>32</v>
      </c>
      <c r="E522" s="2">
        <v>45658</v>
      </c>
      <c r="F522" s="2">
        <v>45671</v>
      </c>
      <c r="G522">
        <v>13</v>
      </c>
      <c r="H522" t="s">
        <v>20</v>
      </c>
      <c r="I522">
        <v>0</v>
      </c>
      <c r="J522" t="s">
        <v>16</v>
      </c>
      <c r="K522" t="s">
        <v>17</v>
      </c>
      <c r="L522">
        <v>8182.34</v>
      </c>
    </row>
    <row r="523" spans="1:12" x14ac:dyDescent="0.25">
      <c r="A523" t="s">
        <v>550</v>
      </c>
      <c r="B523">
        <v>66</v>
      </c>
      <c r="C523" t="s">
        <v>24</v>
      </c>
      <c r="D523" t="s">
        <v>34</v>
      </c>
      <c r="E523" s="2">
        <v>45775</v>
      </c>
      <c r="F523" s="2">
        <v>45788</v>
      </c>
      <c r="G523">
        <v>13</v>
      </c>
      <c r="H523" t="s">
        <v>20</v>
      </c>
      <c r="I523">
        <v>0</v>
      </c>
      <c r="J523" t="s">
        <v>16</v>
      </c>
      <c r="K523" t="s">
        <v>47</v>
      </c>
      <c r="L523">
        <v>2441.31</v>
      </c>
    </row>
    <row r="524" spans="1:12" x14ac:dyDescent="0.25">
      <c r="A524" t="s">
        <v>551</v>
      </c>
      <c r="B524">
        <v>28</v>
      </c>
      <c r="C524" t="s">
        <v>24</v>
      </c>
      <c r="D524" t="s">
        <v>34</v>
      </c>
      <c r="E524" s="2">
        <v>45902</v>
      </c>
      <c r="F524" s="2">
        <v>45915</v>
      </c>
      <c r="G524">
        <v>13</v>
      </c>
      <c r="H524" t="s">
        <v>15</v>
      </c>
      <c r="I524">
        <v>29</v>
      </c>
      <c r="J524" t="s">
        <v>29</v>
      </c>
      <c r="K524" t="s">
        <v>47</v>
      </c>
      <c r="L524">
        <v>3240.8</v>
      </c>
    </row>
    <row r="525" spans="1:12" x14ac:dyDescent="0.25">
      <c r="A525" t="s">
        <v>552</v>
      </c>
      <c r="B525">
        <v>84</v>
      </c>
      <c r="C525" t="s">
        <v>13</v>
      </c>
      <c r="D525" t="s">
        <v>34</v>
      </c>
      <c r="E525" s="2">
        <v>46021</v>
      </c>
      <c r="F525" s="2">
        <v>46033</v>
      </c>
      <c r="G525">
        <v>12</v>
      </c>
      <c r="H525" t="s">
        <v>20</v>
      </c>
      <c r="I525">
        <v>0</v>
      </c>
      <c r="J525" t="s">
        <v>16</v>
      </c>
      <c r="K525" t="s">
        <v>47</v>
      </c>
      <c r="L525">
        <v>9990.92</v>
      </c>
    </row>
    <row r="526" spans="1:12" x14ac:dyDescent="0.25">
      <c r="A526" t="s">
        <v>553</v>
      </c>
      <c r="B526">
        <v>64</v>
      </c>
      <c r="C526" t="s">
        <v>13</v>
      </c>
      <c r="D526" t="s">
        <v>14</v>
      </c>
      <c r="E526" s="2">
        <v>46010</v>
      </c>
      <c r="F526" s="2">
        <v>46023</v>
      </c>
      <c r="G526">
        <v>13</v>
      </c>
      <c r="H526" t="s">
        <v>20</v>
      </c>
      <c r="I526">
        <v>0</v>
      </c>
      <c r="J526" t="s">
        <v>29</v>
      </c>
      <c r="K526" t="s">
        <v>17</v>
      </c>
      <c r="L526">
        <v>8987.8700000000008</v>
      </c>
    </row>
    <row r="527" spans="1:12" x14ac:dyDescent="0.25">
      <c r="A527" t="s">
        <v>554</v>
      </c>
      <c r="B527">
        <v>90</v>
      </c>
      <c r="C527" t="s">
        <v>24</v>
      </c>
      <c r="D527" t="s">
        <v>34</v>
      </c>
      <c r="E527" s="2">
        <v>45791</v>
      </c>
      <c r="F527" s="2">
        <v>45805</v>
      </c>
      <c r="G527">
        <v>14</v>
      </c>
      <c r="H527" t="s">
        <v>20</v>
      </c>
      <c r="I527">
        <v>0</v>
      </c>
      <c r="J527" t="s">
        <v>25</v>
      </c>
      <c r="K527" t="s">
        <v>17</v>
      </c>
      <c r="L527">
        <v>6263.09</v>
      </c>
    </row>
    <row r="528" spans="1:12" x14ac:dyDescent="0.25">
      <c r="A528" t="s">
        <v>555</v>
      </c>
      <c r="B528">
        <v>89</v>
      </c>
      <c r="C528" t="s">
        <v>24</v>
      </c>
      <c r="D528" t="s">
        <v>14</v>
      </c>
      <c r="E528" s="2">
        <v>45762</v>
      </c>
      <c r="F528" s="2">
        <v>45769</v>
      </c>
      <c r="G528">
        <v>7</v>
      </c>
      <c r="H528" t="s">
        <v>20</v>
      </c>
      <c r="I528">
        <v>0</v>
      </c>
      <c r="J528" t="s">
        <v>25</v>
      </c>
      <c r="K528" t="s">
        <v>17</v>
      </c>
      <c r="L528">
        <v>8546.2099999999991</v>
      </c>
    </row>
    <row r="529" spans="1:12" x14ac:dyDescent="0.25">
      <c r="A529" t="s">
        <v>556</v>
      </c>
      <c r="B529">
        <v>68</v>
      </c>
      <c r="C529" t="s">
        <v>13</v>
      </c>
      <c r="D529" t="s">
        <v>28</v>
      </c>
      <c r="E529" s="2">
        <v>45787</v>
      </c>
      <c r="F529" s="2">
        <v>45792</v>
      </c>
      <c r="G529">
        <v>5</v>
      </c>
      <c r="H529" t="s">
        <v>20</v>
      </c>
      <c r="I529">
        <v>0</v>
      </c>
      <c r="J529" t="s">
        <v>16</v>
      </c>
      <c r="K529" t="s">
        <v>17</v>
      </c>
      <c r="L529">
        <v>3831.68</v>
      </c>
    </row>
    <row r="530" spans="1:12" x14ac:dyDescent="0.25">
      <c r="A530" t="s">
        <v>557</v>
      </c>
      <c r="B530">
        <v>83</v>
      </c>
      <c r="C530" t="s">
        <v>24</v>
      </c>
      <c r="D530" t="s">
        <v>32</v>
      </c>
      <c r="E530" s="2">
        <v>46016</v>
      </c>
      <c r="F530" s="2">
        <v>46019</v>
      </c>
      <c r="G530">
        <v>3</v>
      </c>
      <c r="H530" t="s">
        <v>15</v>
      </c>
      <c r="I530">
        <v>26</v>
      </c>
      <c r="J530" t="s">
        <v>16</v>
      </c>
      <c r="K530" t="s">
        <v>22</v>
      </c>
      <c r="L530">
        <v>6142</v>
      </c>
    </row>
    <row r="531" spans="1:12" x14ac:dyDescent="0.25">
      <c r="A531" t="s">
        <v>558</v>
      </c>
      <c r="B531">
        <v>36</v>
      </c>
      <c r="C531" t="s">
        <v>24</v>
      </c>
      <c r="D531" t="s">
        <v>34</v>
      </c>
      <c r="E531" s="2">
        <v>45983</v>
      </c>
      <c r="F531" s="2">
        <v>45984</v>
      </c>
      <c r="G531">
        <v>1</v>
      </c>
      <c r="H531" t="s">
        <v>20</v>
      </c>
      <c r="I531">
        <v>0</v>
      </c>
      <c r="J531" t="s">
        <v>29</v>
      </c>
      <c r="K531" t="s">
        <v>22</v>
      </c>
      <c r="L531">
        <v>1429.17</v>
      </c>
    </row>
    <row r="532" spans="1:12" x14ac:dyDescent="0.25">
      <c r="A532" t="s">
        <v>559</v>
      </c>
      <c r="B532">
        <v>22</v>
      </c>
      <c r="C532" t="s">
        <v>24</v>
      </c>
      <c r="D532" t="s">
        <v>40</v>
      </c>
      <c r="E532" s="2">
        <v>45771</v>
      </c>
      <c r="F532" s="2">
        <v>45777</v>
      </c>
      <c r="G532">
        <v>6</v>
      </c>
      <c r="H532" t="s">
        <v>15</v>
      </c>
      <c r="I532">
        <v>20</v>
      </c>
      <c r="J532" t="s">
        <v>25</v>
      </c>
      <c r="K532" t="s">
        <v>17</v>
      </c>
      <c r="L532">
        <v>14471.18</v>
      </c>
    </row>
    <row r="533" spans="1:12" x14ac:dyDescent="0.25">
      <c r="A533" t="s">
        <v>560</v>
      </c>
      <c r="B533">
        <v>81</v>
      </c>
      <c r="C533" t="s">
        <v>24</v>
      </c>
      <c r="D533" t="s">
        <v>19</v>
      </c>
      <c r="E533" s="2">
        <v>45687</v>
      </c>
      <c r="F533" s="2">
        <v>45700</v>
      </c>
      <c r="G533">
        <v>13</v>
      </c>
      <c r="H533" t="s">
        <v>20</v>
      </c>
      <c r="I533">
        <v>0</v>
      </c>
      <c r="J533" t="s">
        <v>21</v>
      </c>
      <c r="K533" t="s">
        <v>17</v>
      </c>
      <c r="L533">
        <v>13996</v>
      </c>
    </row>
    <row r="534" spans="1:12" x14ac:dyDescent="0.25">
      <c r="A534" t="s">
        <v>561</v>
      </c>
      <c r="B534">
        <v>83</v>
      </c>
      <c r="C534" t="s">
        <v>13</v>
      </c>
      <c r="D534" t="s">
        <v>34</v>
      </c>
      <c r="E534" s="2">
        <v>45923</v>
      </c>
      <c r="F534" s="2">
        <v>45928</v>
      </c>
      <c r="G534">
        <v>5</v>
      </c>
      <c r="H534" t="s">
        <v>15</v>
      </c>
      <c r="I534">
        <v>6</v>
      </c>
      <c r="J534" t="s">
        <v>16</v>
      </c>
      <c r="K534" t="s">
        <v>47</v>
      </c>
      <c r="L534">
        <v>3969.22</v>
      </c>
    </row>
    <row r="535" spans="1:12" x14ac:dyDescent="0.25">
      <c r="A535" t="s">
        <v>562</v>
      </c>
      <c r="B535">
        <v>53</v>
      </c>
      <c r="C535" t="s">
        <v>24</v>
      </c>
      <c r="D535" t="s">
        <v>32</v>
      </c>
      <c r="E535" s="2">
        <v>45658</v>
      </c>
      <c r="F535" s="2">
        <v>45661</v>
      </c>
      <c r="G535">
        <v>3</v>
      </c>
      <c r="H535" t="s">
        <v>15</v>
      </c>
      <c r="I535">
        <v>22</v>
      </c>
      <c r="J535" t="s">
        <v>29</v>
      </c>
      <c r="K535" t="s">
        <v>47</v>
      </c>
      <c r="L535">
        <v>8998.16</v>
      </c>
    </row>
    <row r="536" spans="1:12" x14ac:dyDescent="0.25">
      <c r="A536" t="s">
        <v>563</v>
      </c>
      <c r="B536">
        <v>26</v>
      </c>
      <c r="C536" t="s">
        <v>13</v>
      </c>
      <c r="D536" t="s">
        <v>34</v>
      </c>
      <c r="E536" s="2">
        <v>45923</v>
      </c>
      <c r="F536" s="2">
        <v>45924</v>
      </c>
      <c r="G536">
        <v>1</v>
      </c>
      <c r="H536" t="s">
        <v>20</v>
      </c>
      <c r="I536">
        <v>0</v>
      </c>
      <c r="J536" t="s">
        <v>25</v>
      </c>
      <c r="K536" t="s">
        <v>17</v>
      </c>
      <c r="L536">
        <v>12531.59</v>
      </c>
    </row>
    <row r="537" spans="1:12" x14ac:dyDescent="0.25">
      <c r="A537" t="s">
        <v>564</v>
      </c>
      <c r="B537">
        <v>53</v>
      </c>
      <c r="C537" t="s">
        <v>13</v>
      </c>
      <c r="D537" t="s">
        <v>34</v>
      </c>
      <c r="E537" s="2">
        <v>45956</v>
      </c>
      <c r="F537" s="2">
        <v>45962</v>
      </c>
      <c r="G537">
        <v>6</v>
      </c>
      <c r="H537" t="s">
        <v>20</v>
      </c>
      <c r="I537">
        <v>0</v>
      </c>
      <c r="J537" t="s">
        <v>21</v>
      </c>
      <c r="K537" t="s">
        <v>47</v>
      </c>
      <c r="L537">
        <v>13980.85</v>
      </c>
    </row>
    <row r="538" spans="1:12" x14ac:dyDescent="0.25">
      <c r="A538" t="s">
        <v>565</v>
      </c>
      <c r="B538">
        <v>70</v>
      </c>
      <c r="C538" t="s">
        <v>13</v>
      </c>
      <c r="D538" t="s">
        <v>34</v>
      </c>
      <c r="E538" s="2">
        <v>45952</v>
      </c>
      <c r="F538" s="2">
        <v>45953</v>
      </c>
      <c r="G538">
        <v>1</v>
      </c>
      <c r="H538" t="s">
        <v>15</v>
      </c>
      <c r="I538">
        <v>3</v>
      </c>
      <c r="J538" t="s">
        <v>25</v>
      </c>
      <c r="K538" t="s">
        <v>47</v>
      </c>
      <c r="L538">
        <v>14231.72</v>
      </c>
    </row>
    <row r="539" spans="1:12" x14ac:dyDescent="0.25">
      <c r="A539" t="s">
        <v>566</v>
      </c>
      <c r="B539">
        <v>50</v>
      </c>
      <c r="C539" t="s">
        <v>24</v>
      </c>
      <c r="D539" t="s">
        <v>40</v>
      </c>
      <c r="E539" s="2">
        <v>45920</v>
      </c>
      <c r="F539" s="2">
        <v>45925</v>
      </c>
      <c r="G539">
        <v>5</v>
      </c>
      <c r="H539" t="s">
        <v>20</v>
      </c>
      <c r="I539">
        <v>0</v>
      </c>
      <c r="J539" t="s">
        <v>29</v>
      </c>
      <c r="K539" t="s">
        <v>22</v>
      </c>
      <c r="L539">
        <v>11483.36</v>
      </c>
    </row>
    <row r="540" spans="1:12" x14ac:dyDescent="0.25">
      <c r="A540" t="s">
        <v>567</v>
      </c>
      <c r="B540">
        <v>21</v>
      </c>
      <c r="C540" t="s">
        <v>24</v>
      </c>
      <c r="D540" t="s">
        <v>19</v>
      </c>
      <c r="E540" s="2">
        <v>45892</v>
      </c>
      <c r="F540" s="2">
        <v>45903</v>
      </c>
      <c r="G540">
        <v>11</v>
      </c>
      <c r="H540" t="s">
        <v>20</v>
      </c>
      <c r="I540">
        <v>0</v>
      </c>
      <c r="J540" t="s">
        <v>25</v>
      </c>
      <c r="K540" t="s">
        <v>22</v>
      </c>
      <c r="L540">
        <v>6048.76</v>
      </c>
    </row>
    <row r="541" spans="1:12" x14ac:dyDescent="0.25">
      <c r="A541" t="s">
        <v>568</v>
      </c>
      <c r="B541">
        <v>58</v>
      </c>
      <c r="C541" t="s">
        <v>24</v>
      </c>
      <c r="D541" t="s">
        <v>32</v>
      </c>
      <c r="E541" s="2">
        <v>45770</v>
      </c>
      <c r="F541" s="2">
        <v>45781</v>
      </c>
      <c r="G541">
        <v>11</v>
      </c>
      <c r="H541" t="s">
        <v>20</v>
      </c>
      <c r="I541">
        <v>0</v>
      </c>
      <c r="J541" t="s">
        <v>16</v>
      </c>
      <c r="K541" t="s">
        <v>17</v>
      </c>
      <c r="L541">
        <v>12566.57</v>
      </c>
    </row>
    <row r="542" spans="1:12" x14ac:dyDescent="0.25">
      <c r="A542" t="s">
        <v>569</v>
      </c>
      <c r="B542">
        <v>61</v>
      </c>
      <c r="C542" t="s">
        <v>13</v>
      </c>
      <c r="D542" t="s">
        <v>34</v>
      </c>
      <c r="E542" s="2">
        <v>45785</v>
      </c>
      <c r="F542" s="2">
        <v>45790</v>
      </c>
      <c r="G542">
        <v>5</v>
      </c>
      <c r="H542" t="s">
        <v>15</v>
      </c>
      <c r="I542">
        <v>30</v>
      </c>
      <c r="J542" t="s">
        <v>21</v>
      </c>
      <c r="K542" t="s">
        <v>47</v>
      </c>
      <c r="L542">
        <v>5051.16</v>
      </c>
    </row>
    <row r="543" spans="1:12" x14ac:dyDescent="0.25">
      <c r="A543" t="s">
        <v>570</v>
      </c>
      <c r="B543">
        <v>42</v>
      </c>
      <c r="C543" t="s">
        <v>24</v>
      </c>
      <c r="D543" t="s">
        <v>28</v>
      </c>
      <c r="E543" s="2">
        <v>45769</v>
      </c>
      <c r="F543" s="2">
        <v>45779</v>
      </c>
      <c r="G543">
        <v>10</v>
      </c>
      <c r="H543" t="s">
        <v>15</v>
      </c>
      <c r="I543">
        <v>7</v>
      </c>
      <c r="J543" t="s">
        <v>21</v>
      </c>
      <c r="K543" t="s">
        <v>17</v>
      </c>
      <c r="L543">
        <v>4009.82</v>
      </c>
    </row>
    <row r="544" spans="1:12" x14ac:dyDescent="0.25">
      <c r="A544" t="s">
        <v>571</v>
      </c>
      <c r="B544">
        <v>49</v>
      </c>
      <c r="C544" t="s">
        <v>24</v>
      </c>
      <c r="D544" t="s">
        <v>14</v>
      </c>
      <c r="E544" s="2">
        <v>45793</v>
      </c>
      <c r="F544" s="2">
        <v>45797</v>
      </c>
      <c r="G544">
        <v>4</v>
      </c>
      <c r="H544" t="s">
        <v>15</v>
      </c>
      <c r="I544">
        <v>25</v>
      </c>
      <c r="J544" t="s">
        <v>16</v>
      </c>
      <c r="K544" t="s">
        <v>22</v>
      </c>
      <c r="L544">
        <v>13842.73</v>
      </c>
    </row>
    <row r="545" spans="1:12" x14ac:dyDescent="0.25">
      <c r="A545" t="s">
        <v>572</v>
      </c>
      <c r="B545">
        <v>18</v>
      </c>
      <c r="C545" t="s">
        <v>13</v>
      </c>
      <c r="D545" t="s">
        <v>40</v>
      </c>
      <c r="E545" s="2">
        <v>46004</v>
      </c>
      <c r="F545" s="2">
        <v>46015</v>
      </c>
      <c r="G545">
        <v>11</v>
      </c>
      <c r="H545" t="s">
        <v>20</v>
      </c>
      <c r="I545">
        <v>0</v>
      </c>
      <c r="J545" t="s">
        <v>25</v>
      </c>
      <c r="K545" t="s">
        <v>17</v>
      </c>
      <c r="L545">
        <v>5073.55</v>
      </c>
    </row>
    <row r="546" spans="1:12" x14ac:dyDescent="0.25">
      <c r="A546" t="s">
        <v>573</v>
      </c>
      <c r="B546">
        <v>41</v>
      </c>
      <c r="C546" t="s">
        <v>24</v>
      </c>
      <c r="D546" t="s">
        <v>40</v>
      </c>
      <c r="E546" s="2">
        <v>45952</v>
      </c>
      <c r="F546" s="2">
        <v>45966</v>
      </c>
      <c r="G546">
        <v>14</v>
      </c>
      <c r="H546" t="s">
        <v>15</v>
      </c>
      <c r="I546">
        <v>8</v>
      </c>
      <c r="J546" t="s">
        <v>21</v>
      </c>
      <c r="K546" t="s">
        <v>22</v>
      </c>
      <c r="L546">
        <v>8123.16</v>
      </c>
    </row>
    <row r="547" spans="1:12" x14ac:dyDescent="0.25">
      <c r="A547" t="s">
        <v>574</v>
      </c>
      <c r="B547">
        <v>22</v>
      </c>
      <c r="C547" t="s">
        <v>24</v>
      </c>
      <c r="D547" t="s">
        <v>40</v>
      </c>
      <c r="E547" s="2">
        <v>45874</v>
      </c>
      <c r="F547" s="2">
        <v>45882</v>
      </c>
      <c r="G547">
        <v>8</v>
      </c>
      <c r="H547" t="s">
        <v>20</v>
      </c>
      <c r="I547">
        <v>0</v>
      </c>
      <c r="J547" t="s">
        <v>21</v>
      </c>
      <c r="K547" t="s">
        <v>47</v>
      </c>
      <c r="L547">
        <v>14659.35</v>
      </c>
    </row>
    <row r="548" spans="1:12" x14ac:dyDescent="0.25">
      <c r="A548" t="s">
        <v>575</v>
      </c>
      <c r="B548">
        <v>19</v>
      </c>
      <c r="C548" t="s">
        <v>13</v>
      </c>
      <c r="D548" t="s">
        <v>28</v>
      </c>
      <c r="E548" s="2">
        <v>46015</v>
      </c>
      <c r="F548" s="2">
        <v>46024</v>
      </c>
      <c r="G548">
        <v>9</v>
      </c>
      <c r="H548" t="s">
        <v>20</v>
      </c>
      <c r="I548">
        <v>0</v>
      </c>
      <c r="J548" t="s">
        <v>21</v>
      </c>
      <c r="K548" t="s">
        <v>47</v>
      </c>
      <c r="L548">
        <v>8924.6200000000008</v>
      </c>
    </row>
    <row r="549" spans="1:12" x14ac:dyDescent="0.25">
      <c r="A549" t="s">
        <v>576</v>
      </c>
      <c r="B549">
        <v>51</v>
      </c>
      <c r="C549" t="s">
        <v>13</v>
      </c>
      <c r="D549" t="s">
        <v>34</v>
      </c>
      <c r="E549" s="2">
        <v>45824</v>
      </c>
      <c r="F549" s="2">
        <v>45830</v>
      </c>
      <c r="G549">
        <v>6</v>
      </c>
      <c r="H549" t="s">
        <v>20</v>
      </c>
      <c r="I549">
        <v>0</v>
      </c>
      <c r="J549" t="s">
        <v>25</v>
      </c>
      <c r="K549" t="s">
        <v>22</v>
      </c>
      <c r="L549">
        <v>4406.42</v>
      </c>
    </row>
    <row r="550" spans="1:12" x14ac:dyDescent="0.25">
      <c r="A550" t="s">
        <v>577</v>
      </c>
      <c r="B550">
        <v>81</v>
      </c>
      <c r="C550" t="s">
        <v>24</v>
      </c>
      <c r="D550" t="s">
        <v>14</v>
      </c>
      <c r="E550" s="2">
        <v>45971</v>
      </c>
      <c r="F550" s="2">
        <v>45977</v>
      </c>
      <c r="G550">
        <v>6</v>
      </c>
      <c r="H550" t="s">
        <v>20</v>
      </c>
      <c r="I550">
        <v>0</v>
      </c>
      <c r="J550" t="s">
        <v>29</v>
      </c>
      <c r="K550" t="s">
        <v>17</v>
      </c>
      <c r="L550">
        <v>11406.84</v>
      </c>
    </row>
    <row r="551" spans="1:12" x14ac:dyDescent="0.25">
      <c r="A551" t="s">
        <v>578</v>
      </c>
      <c r="B551">
        <v>75</v>
      </c>
      <c r="C551" t="s">
        <v>13</v>
      </c>
      <c r="D551" t="s">
        <v>34</v>
      </c>
      <c r="E551" s="2">
        <v>45844</v>
      </c>
      <c r="F551" s="2">
        <v>45858</v>
      </c>
      <c r="G551">
        <v>14</v>
      </c>
      <c r="H551" t="s">
        <v>20</v>
      </c>
      <c r="I551">
        <v>0</v>
      </c>
      <c r="J551" t="s">
        <v>21</v>
      </c>
      <c r="K551" t="s">
        <v>17</v>
      </c>
      <c r="L551">
        <v>10447.17</v>
      </c>
    </row>
    <row r="552" spans="1:12" x14ac:dyDescent="0.25">
      <c r="A552" t="s">
        <v>579</v>
      </c>
      <c r="B552">
        <v>48</v>
      </c>
      <c r="C552" t="s">
        <v>24</v>
      </c>
      <c r="D552" t="s">
        <v>40</v>
      </c>
      <c r="E552" s="2">
        <v>45709</v>
      </c>
      <c r="F552" s="2">
        <v>45721</v>
      </c>
      <c r="G552">
        <v>12</v>
      </c>
      <c r="H552" t="s">
        <v>15</v>
      </c>
      <c r="I552">
        <v>7</v>
      </c>
      <c r="J552" t="s">
        <v>21</v>
      </c>
      <c r="K552" t="s">
        <v>17</v>
      </c>
      <c r="L552">
        <v>2668.45</v>
      </c>
    </row>
    <row r="553" spans="1:12" x14ac:dyDescent="0.25">
      <c r="A553" t="s">
        <v>580</v>
      </c>
      <c r="B553">
        <v>35</v>
      </c>
      <c r="C553" t="s">
        <v>24</v>
      </c>
      <c r="D553" t="s">
        <v>40</v>
      </c>
      <c r="E553" s="2">
        <v>45662</v>
      </c>
      <c r="F553" s="2">
        <v>45665</v>
      </c>
      <c r="G553">
        <v>3</v>
      </c>
      <c r="H553" t="s">
        <v>20</v>
      </c>
      <c r="I553">
        <v>0</v>
      </c>
      <c r="J553" t="s">
        <v>25</v>
      </c>
      <c r="K553" t="s">
        <v>47</v>
      </c>
      <c r="L553">
        <v>8651.01</v>
      </c>
    </row>
    <row r="554" spans="1:12" x14ac:dyDescent="0.25">
      <c r="A554" t="s">
        <v>581</v>
      </c>
      <c r="B554">
        <v>38</v>
      </c>
      <c r="C554" t="s">
        <v>13</v>
      </c>
      <c r="D554" t="s">
        <v>14</v>
      </c>
      <c r="E554" s="2">
        <v>45948</v>
      </c>
      <c r="F554" s="2">
        <v>45949</v>
      </c>
      <c r="G554">
        <v>1</v>
      </c>
      <c r="H554" t="s">
        <v>20</v>
      </c>
      <c r="I554">
        <v>0</v>
      </c>
      <c r="J554" t="s">
        <v>25</v>
      </c>
      <c r="K554" t="s">
        <v>47</v>
      </c>
      <c r="L554">
        <v>12665.09</v>
      </c>
    </row>
    <row r="555" spans="1:12" x14ac:dyDescent="0.25">
      <c r="A555" t="s">
        <v>582</v>
      </c>
      <c r="B555">
        <v>51</v>
      </c>
      <c r="C555" t="s">
        <v>24</v>
      </c>
      <c r="D555" t="s">
        <v>32</v>
      </c>
      <c r="E555" s="2">
        <v>45707</v>
      </c>
      <c r="F555" s="2">
        <v>45715</v>
      </c>
      <c r="G555">
        <v>8</v>
      </c>
      <c r="H555" t="s">
        <v>20</v>
      </c>
      <c r="I555">
        <v>0</v>
      </c>
      <c r="J555" t="s">
        <v>25</v>
      </c>
      <c r="K555" t="s">
        <v>47</v>
      </c>
      <c r="L555">
        <v>787.61</v>
      </c>
    </row>
    <row r="556" spans="1:12" x14ac:dyDescent="0.25">
      <c r="A556" t="s">
        <v>583</v>
      </c>
      <c r="B556">
        <v>43</v>
      </c>
      <c r="C556" t="s">
        <v>13</v>
      </c>
      <c r="D556" t="s">
        <v>32</v>
      </c>
      <c r="E556" s="2">
        <v>45720</v>
      </c>
      <c r="F556" s="2">
        <v>45726</v>
      </c>
      <c r="G556">
        <v>6</v>
      </c>
      <c r="H556" t="s">
        <v>20</v>
      </c>
      <c r="I556">
        <v>0</v>
      </c>
      <c r="J556" t="s">
        <v>25</v>
      </c>
      <c r="K556" t="s">
        <v>47</v>
      </c>
      <c r="L556">
        <v>10261.299999999999</v>
      </c>
    </row>
    <row r="557" spans="1:12" x14ac:dyDescent="0.25">
      <c r="A557" t="s">
        <v>584</v>
      </c>
      <c r="B557">
        <v>28</v>
      </c>
      <c r="C557" t="s">
        <v>24</v>
      </c>
      <c r="D557" t="s">
        <v>34</v>
      </c>
      <c r="E557" s="2">
        <v>45907</v>
      </c>
      <c r="F557" s="2">
        <v>45920</v>
      </c>
      <c r="G557">
        <v>13</v>
      </c>
      <c r="H557" t="s">
        <v>20</v>
      </c>
      <c r="I557">
        <v>0</v>
      </c>
      <c r="J557" t="s">
        <v>25</v>
      </c>
      <c r="K557" t="s">
        <v>47</v>
      </c>
      <c r="L557">
        <v>9659.83</v>
      </c>
    </row>
    <row r="558" spans="1:12" x14ac:dyDescent="0.25">
      <c r="A558" t="s">
        <v>585</v>
      </c>
      <c r="B558">
        <v>61</v>
      </c>
      <c r="C558" t="s">
        <v>24</v>
      </c>
      <c r="D558" t="s">
        <v>28</v>
      </c>
      <c r="E558" s="2">
        <v>45732</v>
      </c>
      <c r="F558" s="2">
        <v>45746</v>
      </c>
      <c r="G558">
        <v>14</v>
      </c>
      <c r="H558" t="s">
        <v>15</v>
      </c>
      <c r="I558">
        <v>20</v>
      </c>
      <c r="J558" t="s">
        <v>29</v>
      </c>
      <c r="K558" t="s">
        <v>22</v>
      </c>
      <c r="L558">
        <v>1647.12</v>
      </c>
    </row>
    <row r="559" spans="1:12" x14ac:dyDescent="0.25">
      <c r="A559" t="s">
        <v>586</v>
      </c>
      <c r="B559">
        <v>55</v>
      </c>
      <c r="C559" t="s">
        <v>24</v>
      </c>
      <c r="D559" t="s">
        <v>34</v>
      </c>
      <c r="E559" s="2">
        <v>45833</v>
      </c>
      <c r="F559" s="2">
        <v>45837</v>
      </c>
      <c r="G559">
        <v>4</v>
      </c>
      <c r="H559" t="s">
        <v>20</v>
      </c>
      <c r="I559">
        <v>0</v>
      </c>
      <c r="J559" t="s">
        <v>29</v>
      </c>
      <c r="K559" t="s">
        <v>47</v>
      </c>
      <c r="L559">
        <v>13371.53</v>
      </c>
    </row>
    <row r="560" spans="1:12" x14ac:dyDescent="0.25">
      <c r="A560" t="s">
        <v>587</v>
      </c>
      <c r="B560">
        <v>75</v>
      </c>
      <c r="C560" t="s">
        <v>24</v>
      </c>
      <c r="D560" t="s">
        <v>14</v>
      </c>
      <c r="E560" s="2">
        <v>45843</v>
      </c>
      <c r="F560" s="2">
        <v>45855</v>
      </c>
      <c r="G560">
        <v>12</v>
      </c>
      <c r="H560" t="s">
        <v>20</v>
      </c>
      <c r="I560">
        <v>0</v>
      </c>
      <c r="J560" t="s">
        <v>21</v>
      </c>
      <c r="K560" t="s">
        <v>22</v>
      </c>
      <c r="L560">
        <v>2313.08</v>
      </c>
    </row>
    <row r="561" spans="1:12" x14ac:dyDescent="0.25">
      <c r="A561" t="s">
        <v>588</v>
      </c>
      <c r="B561">
        <v>28</v>
      </c>
      <c r="C561" t="s">
        <v>13</v>
      </c>
      <c r="D561" t="s">
        <v>14</v>
      </c>
      <c r="E561" s="2">
        <v>45778</v>
      </c>
      <c r="F561" s="2">
        <v>45789</v>
      </c>
      <c r="G561">
        <v>11</v>
      </c>
      <c r="H561" t="s">
        <v>15</v>
      </c>
      <c r="I561">
        <v>13</v>
      </c>
      <c r="J561" t="s">
        <v>16</v>
      </c>
      <c r="K561" t="s">
        <v>22</v>
      </c>
      <c r="L561">
        <v>1424.99</v>
      </c>
    </row>
    <row r="562" spans="1:12" x14ac:dyDescent="0.25">
      <c r="A562" t="s">
        <v>589</v>
      </c>
      <c r="B562">
        <v>68</v>
      </c>
      <c r="C562" t="s">
        <v>13</v>
      </c>
      <c r="D562" t="s">
        <v>19</v>
      </c>
      <c r="E562" s="2">
        <v>45900</v>
      </c>
      <c r="F562" s="2">
        <v>45909</v>
      </c>
      <c r="G562">
        <v>9</v>
      </c>
      <c r="H562" t="s">
        <v>15</v>
      </c>
      <c r="I562">
        <v>9</v>
      </c>
      <c r="J562" t="s">
        <v>21</v>
      </c>
      <c r="K562" t="s">
        <v>22</v>
      </c>
      <c r="L562">
        <v>9995.07</v>
      </c>
    </row>
    <row r="563" spans="1:12" x14ac:dyDescent="0.25">
      <c r="A563" t="s">
        <v>590</v>
      </c>
      <c r="B563">
        <v>54</v>
      </c>
      <c r="C563" t="s">
        <v>24</v>
      </c>
      <c r="D563" t="s">
        <v>28</v>
      </c>
      <c r="E563" s="2">
        <v>45857</v>
      </c>
      <c r="F563" s="2">
        <v>45862</v>
      </c>
      <c r="G563">
        <v>5</v>
      </c>
      <c r="H563" t="s">
        <v>15</v>
      </c>
      <c r="I563">
        <v>5</v>
      </c>
      <c r="J563" t="s">
        <v>21</v>
      </c>
      <c r="K563" t="s">
        <v>17</v>
      </c>
      <c r="L563">
        <v>12658.51</v>
      </c>
    </row>
    <row r="564" spans="1:12" x14ac:dyDescent="0.25">
      <c r="A564" t="s">
        <v>591</v>
      </c>
      <c r="B564">
        <v>59</v>
      </c>
      <c r="C564" t="s">
        <v>24</v>
      </c>
      <c r="D564" t="s">
        <v>40</v>
      </c>
      <c r="E564" s="2">
        <v>45672</v>
      </c>
      <c r="F564" s="2">
        <v>45673</v>
      </c>
      <c r="G564">
        <v>1</v>
      </c>
      <c r="H564" t="s">
        <v>20</v>
      </c>
      <c r="I564">
        <v>0</v>
      </c>
      <c r="J564" t="s">
        <v>25</v>
      </c>
      <c r="K564" t="s">
        <v>17</v>
      </c>
      <c r="L564">
        <v>6950.25</v>
      </c>
    </row>
    <row r="565" spans="1:12" x14ac:dyDescent="0.25">
      <c r="A565" t="s">
        <v>592</v>
      </c>
      <c r="B565">
        <v>76</v>
      </c>
      <c r="C565" t="s">
        <v>24</v>
      </c>
      <c r="D565" t="s">
        <v>34</v>
      </c>
      <c r="E565" s="2">
        <v>46015</v>
      </c>
      <c r="F565" s="2">
        <v>46024</v>
      </c>
      <c r="G565">
        <v>9</v>
      </c>
      <c r="H565" t="s">
        <v>15</v>
      </c>
      <c r="I565">
        <v>21</v>
      </c>
      <c r="J565" t="s">
        <v>25</v>
      </c>
      <c r="K565" t="s">
        <v>47</v>
      </c>
      <c r="L565">
        <v>7483.95</v>
      </c>
    </row>
    <row r="566" spans="1:12" x14ac:dyDescent="0.25">
      <c r="A566" t="s">
        <v>593</v>
      </c>
      <c r="B566">
        <v>57</v>
      </c>
      <c r="C566" t="s">
        <v>24</v>
      </c>
      <c r="D566" t="s">
        <v>40</v>
      </c>
      <c r="E566" s="2">
        <v>45774</v>
      </c>
      <c r="F566" s="2">
        <v>45787</v>
      </c>
      <c r="G566">
        <v>13</v>
      </c>
      <c r="H566" t="s">
        <v>15</v>
      </c>
      <c r="I566">
        <v>9</v>
      </c>
      <c r="J566" t="s">
        <v>21</v>
      </c>
      <c r="K566" t="s">
        <v>47</v>
      </c>
      <c r="L566">
        <v>653.05999999999995</v>
      </c>
    </row>
    <row r="567" spans="1:12" x14ac:dyDescent="0.25">
      <c r="A567" t="s">
        <v>594</v>
      </c>
      <c r="B567">
        <v>35</v>
      </c>
      <c r="C567" t="s">
        <v>24</v>
      </c>
      <c r="D567" t="s">
        <v>32</v>
      </c>
      <c r="E567" s="2">
        <v>45925</v>
      </c>
      <c r="F567" s="2">
        <v>45939</v>
      </c>
      <c r="G567">
        <v>14</v>
      </c>
      <c r="H567" t="s">
        <v>20</v>
      </c>
      <c r="I567">
        <v>0</v>
      </c>
      <c r="J567" t="s">
        <v>29</v>
      </c>
      <c r="K567" t="s">
        <v>17</v>
      </c>
      <c r="L567">
        <v>620.6</v>
      </c>
    </row>
    <row r="568" spans="1:12" x14ac:dyDescent="0.25">
      <c r="A568" t="s">
        <v>595</v>
      </c>
      <c r="B568">
        <v>19</v>
      </c>
      <c r="C568" t="s">
        <v>24</v>
      </c>
      <c r="D568" t="s">
        <v>32</v>
      </c>
      <c r="E568" s="2">
        <v>45909</v>
      </c>
      <c r="F568" s="2">
        <v>45922</v>
      </c>
      <c r="G568">
        <v>13</v>
      </c>
      <c r="H568" t="s">
        <v>20</v>
      </c>
      <c r="I568">
        <v>0</v>
      </c>
      <c r="J568" t="s">
        <v>21</v>
      </c>
      <c r="K568" t="s">
        <v>22</v>
      </c>
      <c r="L568">
        <v>8449.08</v>
      </c>
    </row>
    <row r="569" spans="1:12" x14ac:dyDescent="0.25">
      <c r="A569" t="s">
        <v>596</v>
      </c>
      <c r="B569">
        <v>73</v>
      </c>
      <c r="C569" t="s">
        <v>24</v>
      </c>
      <c r="D569" t="s">
        <v>14</v>
      </c>
      <c r="E569" s="2">
        <v>45754</v>
      </c>
      <c r="F569" s="2">
        <v>45761</v>
      </c>
      <c r="G569">
        <v>7</v>
      </c>
      <c r="H569" t="s">
        <v>20</v>
      </c>
      <c r="I569">
        <v>0</v>
      </c>
      <c r="J569" t="s">
        <v>21</v>
      </c>
      <c r="K569" t="s">
        <v>17</v>
      </c>
      <c r="L569">
        <v>11188.21</v>
      </c>
    </row>
    <row r="570" spans="1:12" x14ac:dyDescent="0.25">
      <c r="A570" t="s">
        <v>597</v>
      </c>
      <c r="B570">
        <v>51</v>
      </c>
      <c r="C570" t="s">
        <v>13</v>
      </c>
      <c r="D570" t="s">
        <v>40</v>
      </c>
      <c r="E570" s="2">
        <v>45857</v>
      </c>
      <c r="F570" s="2">
        <v>45871</v>
      </c>
      <c r="G570">
        <v>14</v>
      </c>
      <c r="H570" t="s">
        <v>20</v>
      </c>
      <c r="I570">
        <v>0</v>
      </c>
      <c r="J570" t="s">
        <v>21</v>
      </c>
      <c r="K570" t="s">
        <v>17</v>
      </c>
      <c r="L570">
        <v>11585.81</v>
      </c>
    </row>
    <row r="571" spans="1:12" x14ac:dyDescent="0.25">
      <c r="A571" t="s">
        <v>598</v>
      </c>
      <c r="B571">
        <v>52</v>
      </c>
      <c r="C571" t="s">
        <v>24</v>
      </c>
      <c r="D571" t="s">
        <v>28</v>
      </c>
      <c r="E571" s="2">
        <v>45971</v>
      </c>
      <c r="F571" s="2">
        <v>45984</v>
      </c>
      <c r="G571">
        <v>13</v>
      </c>
      <c r="H571" t="s">
        <v>20</v>
      </c>
      <c r="I571">
        <v>0</v>
      </c>
      <c r="J571" t="s">
        <v>25</v>
      </c>
      <c r="K571" t="s">
        <v>47</v>
      </c>
      <c r="L571">
        <v>3226.01</v>
      </c>
    </row>
    <row r="572" spans="1:12" x14ac:dyDescent="0.25">
      <c r="A572" t="s">
        <v>599</v>
      </c>
      <c r="B572">
        <v>32</v>
      </c>
      <c r="C572" t="s">
        <v>24</v>
      </c>
      <c r="D572" t="s">
        <v>34</v>
      </c>
      <c r="E572" s="2">
        <v>45693</v>
      </c>
      <c r="F572" s="2">
        <v>45696</v>
      </c>
      <c r="G572">
        <v>3</v>
      </c>
      <c r="H572" t="s">
        <v>15</v>
      </c>
      <c r="I572">
        <v>15</v>
      </c>
      <c r="J572" t="s">
        <v>25</v>
      </c>
      <c r="K572" t="s">
        <v>17</v>
      </c>
      <c r="L572">
        <v>9529.93</v>
      </c>
    </row>
    <row r="573" spans="1:12" x14ac:dyDescent="0.25">
      <c r="A573" t="s">
        <v>600</v>
      </c>
      <c r="B573">
        <v>24</v>
      </c>
      <c r="C573" t="s">
        <v>13</v>
      </c>
      <c r="D573" t="s">
        <v>14</v>
      </c>
      <c r="E573" s="2">
        <v>45754</v>
      </c>
      <c r="F573" s="2">
        <v>45760</v>
      </c>
      <c r="G573">
        <v>6</v>
      </c>
      <c r="H573" t="s">
        <v>15</v>
      </c>
      <c r="I573">
        <v>4</v>
      </c>
      <c r="J573" t="s">
        <v>25</v>
      </c>
      <c r="K573" t="s">
        <v>47</v>
      </c>
      <c r="L573">
        <v>2313.0700000000002</v>
      </c>
    </row>
    <row r="574" spans="1:12" x14ac:dyDescent="0.25">
      <c r="A574" t="s">
        <v>601</v>
      </c>
      <c r="B574">
        <v>29</v>
      </c>
      <c r="C574" t="s">
        <v>13</v>
      </c>
      <c r="D574" t="s">
        <v>19</v>
      </c>
      <c r="E574" s="2">
        <v>45882</v>
      </c>
      <c r="F574" s="2">
        <v>45894</v>
      </c>
      <c r="G574">
        <v>12</v>
      </c>
      <c r="H574" t="s">
        <v>15</v>
      </c>
      <c r="I574">
        <v>16</v>
      </c>
      <c r="J574" t="s">
        <v>21</v>
      </c>
      <c r="K574" t="s">
        <v>47</v>
      </c>
      <c r="L574">
        <v>6593.52</v>
      </c>
    </row>
    <row r="575" spans="1:12" x14ac:dyDescent="0.25">
      <c r="A575" t="s">
        <v>602</v>
      </c>
      <c r="B575">
        <v>22</v>
      </c>
      <c r="C575" t="s">
        <v>24</v>
      </c>
      <c r="D575" t="s">
        <v>19</v>
      </c>
      <c r="E575" s="2">
        <v>45913</v>
      </c>
      <c r="F575" s="2">
        <v>45919</v>
      </c>
      <c r="G575">
        <v>6</v>
      </c>
      <c r="H575" t="s">
        <v>20</v>
      </c>
      <c r="I575">
        <v>0</v>
      </c>
      <c r="J575" t="s">
        <v>21</v>
      </c>
      <c r="K575" t="s">
        <v>22</v>
      </c>
      <c r="L575">
        <v>4364.3</v>
      </c>
    </row>
    <row r="576" spans="1:12" x14ac:dyDescent="0.25">
      <c r="A576" t="s">
        <v>603</v>
      </c>
      <c r="B576">
        <v>41</v>
      </c>
      <c r="C576" t="s">
        <v>13</v>
      </c>
      <c r="D576" t="s">
        <v>32</v>
      </c>
      <c r="E576" s="2">
        <v>45858</v>
      </c>
      <c r="F576" s="2">
        <v>45860</v>
      </c>
      <c r="G576">
        <v>2</v>
      </c>
      <c r="H576" t="s">
        <v>20</v>
      </c>
      <c r="I576">
        <v>0</v>
      </c>
      <c r="J576" t="s">
        <v>29</v>
      </c>
      <c r="K576" t="s">
        <v>22</v>
      </c>
      <c r="L576">
        <v>2268.44</v>
      </c>
    </row>
    <row r="577" spans="1:12" x14ac:dyDescent="0.25">
      <c r="A577" t="s">
        <v>604</v>
      </c>
      <c r="B577">
        <v>74</v>
      </c>
      <c r="C577" t="s">
        <v>13</v>
      </c>
      <c r="D577" t="s">
        <v>28</v>
      </c>
      <c r="E577" s="2">
        <v>45785</v>
      </c>
      <c r="F577" s="2">
        <v>45792</v>
      </c>
      <c r="G577">
        <v>7</v>
      </c>
      <c r="H577" t="s">
        <v>20</v>
      </c>
      <c r="I577">
        <v>0</v>
      </c>
      <c r="J577" t="s">
        <v>16</v>
      </c>
      <c r="K577" t="s">
        <v>22</v>
      </c>
      <c r="L577">
        <v>7182.1</v>
      </c>
    </row>
    <row r="578" spans="1:12" x14ac:dyDescent="0.25">
      <c r="A578" t="s">
        <v>605</v>
      </c>
      <c r="B578">
        <v>44</v>
      </c>
      <c r="C578" t="s">
        <v>24</v>
      </c>
      <c r="D578" t="s">
        <v>40</v>
      </c>
      <c r="E578" s="2">
        <v>45706</v>
      </c>
      <c r="F578" s="2">
        <v>45715</v>
      </c>
      <c r="G578">
        <v>9</v>
      </c>
      <c r="H578" t="s">
        <v>20</v>
      </c>
      <c r="I578">
        <v>0</v>
      </c>
      <c r="J578" t="s">
        <v>25</v>
      </c>
      <c r="K578" t="s">
        <v>47</v>
      </c>
      <c r="L578">
        <v>2799.87</v>
      </c>
    </row>
    <row r="579" spans="1:12" x14ac:dyDescent="0.25">
      <c r="A579" t="s">
        <v>606</v>
      </c>
      <c r="B579">
        <v>84</v>
      </c>
      <c r="C579" t="s">
        <v>13</v>
      </c>
      <c r="D579" t="s">
        <v>32</v>
      </c>
      <c r="E579" s="2">
        <v>45679</v>
      </c>
      <c r="F579" s="2">
        <v>45691</v>
      </c>
      <c r="G579">
        <v>12</v>
      </c>
      <c r="H579" t="s">
        <v>20</v>
      </c>
      <c r="I579">
        <v>0</v>
      </c>
      <c r="J579" t="s">
        <v>29</v>
      </c>
      <c r="K579" t="s">
        <v>17</v>
      </c>
      <c r="L579">
        <v>4832.79</v>
      </c>
    </row>
    <row r="580" spans="1:12" x14ac:dyDescent="0.25">
      <c r="A580" t="s">
        <v>607</v>
      </c>
      <c r="B580">
        <v>45</v>
      </c>
      <c r="C580" t="s">
        <v>13</v>
      </c>
      <c r="D580" t="s">
        <v>14</v>
      </c>
      <c r="E580" s="2">
        <v>45842</v>
      </c>
      <c r="F580" s="2">
        <v>45843</v>
      </c>
      <c r="G580">
        <v>1</v>
      </c>
      <c r="H580" t="s">
        <v>20</v>
      </c>
      <c r="I580">
        <v>0</v>
      </c>
      <c r="J580" t="s">
        <v>29</v>
      </c>
      <c r="K580" t="s">
        <v>47</v>
      </c>
      <c r="L580">
        <v>718.48</v>
      </c>
    </row>
    <row r="581" spans="1:12" x14ac:dyDescent="0.25">
      <c r="A581" t="s">
        <v>608</v>
      </c>
      <c r="B581">
        <v>49</v>
      </c>
      <c r="C581" t="s">
        <v>13</v>
      </c>
      <c r="D581" t="s">
        <v>19</v>
      </c>
      <c r="E581" s="2">
        <v>45799</v>
      </c>
      <c r="F581" s="2">
        <v>45809</v>
      </c>
      <c r="G581">
        <v>10</v>
      </c>
      <c r="H581" t="s">
        <v>15</v>
      </c>
      <c r="I581">
        <v>19</v>
      </c>
      <c r="J581" t="s">
        <v>29</v>
      </c>
      <c r="K581" t="s">
        <v>17</v>
      </c>
      <c r="L581">
        <v>9145.08</v>
      </c>
    </row>
    <row r="582" spans="1:12" x14ac:dyDescent="0.25">
      <c r="A582" t="s">
        <v>609</v>
      </c>
      <c r="B582">
        <v>38</v>
      </c>
      <c r="C582" t="s">
        <v>24</v>
      </c>
      <c r="D582" t="s">
        <v>19</v>
      </c>
      <c r="E582" s="2">
        <v>45848</v>
      </c>
      <c r="F582" s="2">
        <v>45861</v>
      </c>
      <c r="G582">
        <v>13</v>
      </c>
      <c r="H582" t="s">
        <v>15</v>
      </c>
      <c r="I582">
        <v>22</v>
      </c>
      <c r="J582" t="s">
        <v>25</v>
      </c>
      <c r="K582" t="s">
        <v>17</v>
      </c>
      <c r="L582">
        <v>1370.76</v>
      </c>
    </row>
    <row r="583" spans="1:12" x14ac:dyDescent="0.25">
      <c r="A583" t="s">
        <v>610</v>
      </c>
      <c r="B583">
        <v>86</v>
      </c>
      <c r="C583" t="s">
        <v>13</v>
      </c>
      <c r="D583" t="s">
        <v>14</v>
      </c>
      <c r="E583" s="2">
        <v>45840</v>
      </c>
      <c r="F583" s="2">
        <v>45851</v>
      </c>
      <c r="G583">
        <v>11</v>
      </c>
      <c r="H583" t="s">
        <v>15</v>
      </c>
      <c r="I583">
        <v>16</v>
      </c>
      <c r="J583" t="s">
        <v>21</v>
      </c>
      <c r="K583" t="s">
        <v>47</v>
      </c>
      <c r="L583">
        <v>14734.3</v>
      </c>
    </row>
    <row r="584" spans="1:12" x14ac:dyDescent="0.25">
      <c r="A584" t="s">
        <v>611</v>
      </c>
      <c r="B584">
        <v>74</v>
      </c>
      <c r="C584" t="s">
        <v>13</v>
      </c>
      <c r="D584" t="s">
        <v>19</v>
      </c>
      <c r="E584" s="2">
        <v>45988</v>
      </c>
      <c r="F584" s="2">
        <v>46001</v>
      </c>
      <c r="G584">
        <v>13</v>
      </c>
      <c r="H584" t="s">
        <v>20</v>
      </c>
      <c r="I584">
        <v>0</v>
      </c>
      <c r="J584" t="s">
        <v>29</v>
      </c>
      <c r="K584" t="s">
        <v>47</v>
      </c>
      <c r="L584">
        <v>11003.79</v>
      </c>
    </row>
    <row r="585" spans="1:12" x14ac:dyDescent="0.25">
      <c r="A585" t="s">
        <v>612</v>
      </c>
      <c r="B585">
        <v>74</v>
      </c>
      <c r="C585" t="s">
        <v>24</v>
      </c>
      <c r="D585" t="s">
        <v>34</v>
      </c>
      <c r="E585" s="2">
        <v>45786</v>
      </c>
      <c r="F585" s="2">
        <v>45787</v>
      </c>
      <c r="G585">
        <v>1</v>
      </c>
      <c r="H585" t="s">
        <v>20</v>
      </c>
      <c r="I585">
        <v>0</v>
      </c>
      <c r="J585" t="s">
        <v>29</v>
      </c>
      <c r="K585" t="s">
        <v>22</v>
      </c>
      <c r="L585">
        <v>8717.18</v>
      </c>
    </row>
    <row r="586" spans="1:12" x14ac:dyDescent="0.25">
      <c r="A586" t="s">
        <v>613</v>
      </c>
      <c r="B586">
        <v>77</v>
      </c>
      <c r="C586" t="s">
        <v>24</v>
      </c>
      <c r="D586" t="s">
        <v>34</v>
      </c>
      <c r="E586" s="2">
        <v>45936</v>
      </c>
      <c r="F586" s="2">
        <v>45942</v>
      </c>
      <c r="G586">
        <v>6</v>
      </c>
      <c r="H586" t="s">
        <v>20</v>
      </c>
      <c r="I586">
        <v>0</v>
      </c>
      <c r="J586" t="s">
        <v>21</v>
      </c>
      <c r="K586" t="s">
        <v>22</v>
      </c>
      <c r="L586">
        <v>8201.49</v>
      </c>
    </row>
    <row r="587" spans="1:12" x14ac:dyDescent="0.25">
      <c r="A587" t="s">
        <v>614</v>
      </c>
      <c r="B587">
        <v>87</v>
      </c>
      <c r="C587" t="s">
        <v>24</v>
      </c>
      <c r="D587" t="s">
        <v>40</v>
      </c>
      <c r="E587" s="2">
        <v>45888</v>
      </c>
      <c r="F587" s="2">
        <v>45893</v>
      </c>
      <c r="G587">
        <v>5</v>
      </c>
      <c r="H587" t="s">
        <v>20</v>
      </c>
      <c r="I587">
        <v>0</v>
      </c>
      <c r="J587" t="s">
        <v>16</v>
      </c>
      <c r="K587" t="s">
        <v>17</v>
      </c>
      <c r="L587">
        <v>7836.39</v>
      </c>
    </row>
    <row r="588" spans="1:12" x14ac:dyDescent="0.25">
      <c r="A588" t="s">
        <v>615</v>
      </c>
      <c r="B588">
        <v>64</v>
      </c>
      <c r="C588" t="s">
        <v>13</v>
      </c>
      <c r="D588" t="s">
        <v>32</v>
      </c>
      <c r="E588" s="2">
        <v>45752</v>
      </c>
      <c r="F588" s="2">
        <v>45753</v>
      </c>
      <c r="G588">
        <v>1</v>
      </c>
      <c r="H588" t="s">
        <v>20</v>
      </c>
      <c r="I588">
        <v>0</v>
      </c>
      <c r="J588" t="s">
        <v>16</v>
      </c>
      <c r="K588" t="s">
        <v>17</v>
      </c>
      <c r="L588">
        <v>14523.87</v>
      </c>
    </row>
    <row r="589" spans="1:12" x14ac:dyDescent="0.25">
      <c r="A589" t="s">
        <v>616</v>
      </c>
      <c r="B589">
        <v>81</v>
      </c>
      <c r="C589" t="s">
        <v>13</v>
      </c>
      <c r="D589" t="s">
        <v>34</v>
      </c>
      <c r="E589" s="2">
        <v>45856</v>
      </c>
      <c r="F589" s="2">
        <v>45860</v>
      </c>
      <c r="G589">
        <v>4</v>
      </c>
      <c r="H589" t="s">
        <v>20</v>
      </c>
      <c r="I589">
        <v>0</v>
      </c>
      <c r="J589" t="s">
        <v>25</v>
      </c>
      <c r="K589" t="s">
        <v>47</v>
      </c>
      <c r="L589">
        <v>6442.17</v>
      </c>
    </row>
    <row r="590" spans="1:12" x14ac:dyDescent="0.25">
      <c r="A590" t="s">
        <v>617</v>
      </c>
      <c r="B590">
        <v>26</v>
      </c>
      <c r="C590" t="s">
        <v>13</v>
      </c>
      <c r="D590" t="s">
        <v>14</v>
      </c>
      <c r="E590" s="2">
        <v>45822</v>
      </c>
      <c r="F590" s="2">
        <v>45824</v>
      </c>
      <c r="G590">
        <v>2</v>
      </c>
      <c r="H590" t="s">
        <v>15</v>
      </c>
      <c r="I590">
        <v>6</v>
      </c>
      <c r="J590" t="s">
        <v>16</v>
      </c>
      <c r="K590" t="s">
        <v>22</v>
      </c>
      <c r="L590">
        <v>2052.3000000000002</v>
      </c>
    </row>
    <row r="591" spans="1:12" x14ac:dyDescent="0.25">
      <c r="A591" t="s">
        <v>618</v>
      </c>
      <c r="B591">
        <v>67</v>
      </c>
      <c r="C591" t="s">
        <v>24</v>
      </c>
      <c r="D591" t="s">
        <v>34</v>
      </c>
      <c r="E591" s="2">
        <v>45756</v>
      </c>
      <c r="F591" s="2">
        <v>45758</v>
      </c>
      <c r="G591">
        <v>2</v>
      </c>
      <c r="H591" t="s">
        <v>15</v>
      </c>
      <c r="I591">
        <v>20</v>
      </c>
      <c r="J591" t="s">
        <v>25</v>
      </c>
      <c r="K591" t="s">
        <v>22</v>
      </c>
      <c r="L591">
        <v>5812.13</v>
      </c>
    </row>
    <row r="592" spans="1:12" x14ac:dyDescent="0.25">
      <c r="A592" t="s">
        <v>619</v>
      </c>
      <c r="B592">
        <v>44</v>
      </c>
      <c r="C592" t="s">
        <v>24</v>
      </c>
      <c r="D592" t="s">
        <v>19</v>
      </c>
      <c r="E592" s="2">
        <v>45968</v>
      </c>
      <c r="F592" s="2">
        <v>45980</v>
      </c>
      <c r="G592">
        <v>12</v>
      </c>
      <c r="H592" t="s">
        <v>15</v>
      </c>
      <c r="I592">
        <v>15</v>
      </c>
      <c r="J592" t="s">
        <v>16</v>
      </c>
      <c r="K592" t="s">
        <v>47</v>
      </c>
      <c r="L592">
        <v>8591.2900000000009</v>
      </c>
    </row>
    <row r="593" spans="1:12" x14ac:dyDescent="0.25">
      <c r="A593" t="s">
        <v>620</v>
      </c>
      <c r="B593">
        <v>25</v>
      </c>
      <c r="C593" t="s">
        <v>24</v>
      </c>
      <c r="D593" t="s">
        <v>34</v>
      </c>
      <c r="E593" s="2">
        <v>45870</v>
      </c>
      <c r="F593" s="2">
        <v>45884</v>
      </c>
      <c r="G593">
        <v>14</v>
      </c>
      <c r="H593" t="s">
        <v>20</v>
      </c>
      <c r="I593">
        <v>0</v>
      </c>
      <c r="J593" t="s">
        <v>16</v>
      </c>
      <c r="K593" t="s">
        <v>17</v>
      </c>
      <c r="L593">
        <v>1520.63</v>
      </c>
    </row>
    <row r="594" spans="1:12" x14ac:dyDescent="0.25">
      <c r="A594" t="s">
        <v>621</v>
      </c>
      <c r="B594">
        <v>84</v>
      </c>
      <c r="C594" t="s">
        <v>13</v>
      </c>
      <c r="D594" t="s">
        <v>19</v>
      </c>
      <c r="E594" s="2">
        <v>45813</v>
      </c>
      <c r="F594" s="2">
        <v>45815</v>
      </c>
      <c r="G594">
        <v>2</v>
      </c>
      <c r="H594" t="s">
        <v>20</v>
      </c>
      <c r="I594">
        <v>0</v>
      </c>
      <c r="J594" t="s">
        <v>21</v>
      </c>
      <c r="K594" t="s">
        <v>17</v>
      </c>
      <c r="L594">
        <v>6087.3</v>
      </c>
    </row>
    <row r="595" spans="1:12" x14ac:dyDescent="0.25">
      <c r="A595" t="s">
        <v>622</v>
      </c>
      <c r="B595">
        <v>90</v>
      </c>
      <c r="C595" t="s">
        <v>13</v>
      </c>
      <c r="D595" t="s">
        <v>34</v>
      </c>
      <c r="E595" s="2">
        <v>45756</v>
      </c>
      <c r="F595" s="2">
        <v>45765</v>
      </c>
      <c r="G595">
        <v>9</v>
      </c>
      <c r="H595" t="s">
        <v>20</v>
      </c>
      <c r="I595">
        <v>0</v>
      </c>
      <c r="J595" t="s">
        <v>29</v>
      </c>
      <c r="K595" t="s">
        <v>17</v>
      </c>
      <c r="L595">
        <v>2029.96</v>
      </c>
    </row>
    <row r="596" spans="1:12" x14ac:dyDescent="0.25">
      <c r="A596" t="s">
        <v>623</v>
      </c>
      <c r="B596">
        <v>76</v>
      </c>
      <c r="C596" t="s">
        <v>24</v>
      </c>
      <c r="D596" t="s">
        <v>19</v>
      </c>
      <c r="E596" s="2">
        <v>45984</v>
      </c>
      <c r="F596" s="2">
        <v>45994</v>
      </c>
      <c r="G596">
        <v>10</v>
      </c>
      <c r="H596" t="s">
        <v>20</v>
      </c>
      <c r="I596">
        <v>0</v>
      </c>
      <c r="J596" t="s">
        <v>21</v>
      </c>
      <c r="K596" t="s">
        <v>22</v>
      </c>
      <c r="L596">
        <v>8474.5</v>
      </c>
    </row>
    <row r="597" spans="1:12" x14ac:dyDescent="0.25">
      <c r="A597" t="s">
        <v>624</v>
      </c>
      <c r="B597">
        <v>86</v>
      </c>
      <c r="C597" t="s">
        <v>24</v>
      </c>
      <c r="D597" t="s">
        <v>32</v>
      </c>
      <c r="E597" s="2">
        <v>45916</v>
      </c>
      <c r="F597" s="2">
        <v>45922</v>
      </c>
      <c r="G597">
        <v>6</v>
      </c>
      <c r="H597" t="s">
        <v>20</v>
      </c>
      <c r="I597">
        <v>0</v>
      </c>
      <c r="J597" t="s">
        <v>25</v>
      </c>
      <c r="K597" t="s">
        <v>17</v>
      </c>
      <c r="L597">
        <v>14876.21</v>
      </c>
    </row>
    <row r="598" spans="1:12" x14ac:dyDescent="0.25">
      <c r="A598" t="s">
        <v>625</v>
      </c>
      <c r="B598">
        <v>73</v>
      </c>
      <c r="C598" t="s">
        <v>24</v>
      </c>
      <c r="D598" t="s">
        <v>34</v>
      </c>
      <c r="E598" s="2">
        <v>45824</v>
      </c>
      <c r="F598" s="2">
        <v>45838</v>
      </c>
      <c r="G598">
        <v>14</v>
      </c>
      <c r="H598" t="s">
        <v>20</v>
      </c>
      <c r="I598">
        <v>0</v>
      </c>
      <c r="J598" t="s">
        <v>21</v>
      </c>
      <c r="K598" t="s">
        <v>17</v>
      </c>
      <c r="L598">
        <v>8411.58</v>
      </c>
    </row>
    <row r="599" spans="1:12" x14ac:dyDescent="0.25">
      <c r="A599" t="s">
        <v>626</v>
      </c>
      <c r="B599">
        <v>50</v>
      </c>
      <c r="C599" t="s">
        <v>24</v>
      </c>
      <c r="D599" t="s">
        <v>40</v>
      </c>
      <c r="E599" s="2">
        <v>45850</v>
      </c>
      <c r="F599" s="2">
        <v>45863</v>
      </c>
      <c r="G599">
        <v>13</v>
      </c>
      <c r="H599" t="s">
        <v>20</v>
      </c>
      <c r="I599">
        <v>0</v>
      </c>
      <c r="J599" t="s">
        <v>29</v>
      </c>
      <c r="K599" t="s">
        <v>47</v>
      </c>
      <c r="L599">
        <v>502.84</v>
      </c>
    </row>
    <row r="600" spans="1:12" x14ac:dyDescent="0.25">
      <c r="A600" t="s">
        <v>627</v>
      </c>
      <c r="B600">
        <v>84</v>
      </c>
      <c r="C600" t="s">
        <v>13</v>
      </c>
      <c r="D600" t="s">
        <v>32</v>
      </c>
      <c r="E600" s="2">
        <v>45675</v>
      </c>
      <c r="F600" s="2">
        <v>45680</v>
      </c>
      <c r="G600">
        <v>5</v>
      </c>
      <c r="H600" t="s">
        <v>20</v>
      </c>
      <c r="I600">
        <v>0</v>
      </c>
      <c r="J600" t="s">
        <v>16</v>
      </c>
      <c r="K600" t="s">
        <v>47</v>
      </c>
      <c r="L600">
        <v>14773.72</v>
      </c>
    </row>
    <row r="601" spans="1:12" x14ac:dyDescent="0.25">
      <c r="A601" t="s">
        <v>628</v>
      </c>
      <c r="B601">
        <v>53</v>
      </c>
      <c r="C601" t="s">
        <v>13</v>
      </c>
      <c r="D601" t="s">
        <v>19</v>
      </c>
      <c r="E601" s="2">
        <v>45767</v>
      </c>
      <c r="F601" s="2">
        <v>45781</v>
      </c>
      <c r="G601">
        <v>14</v>
      </c>
      <c r="H601" t="s">
        <v>20</v>
      </c>
      <c r="I601">
        <v>0</v>
      </c>
      <c r="J601" t="s">
        <v>16</v>
      </c>
      <c r="K601" t="s">
        <v>47</v>
      </c>
      <c r="L601">
        <v>5657.01</v>
      </c>
    </row>
    <row r="602" spans="1:12" x14ac:dyDescent="0.25">
      <c r="A602" t="s">
        <v>629</v>
      </c>
      <c r="B602">
        <v>49</v>
      </c>
      <c r="C602" t="s">
        <v>13</v>
      </c>
      <c r="D602" t="s">
        <v>32</v>
      </c>
      <c r="E602" s="2">
        <v>45728</v>
      </c>
      <c r="F602" s="2">
        <v>45733</v>
      </c>
      <c r="G602">
        <v>5</v>
      </c>
      <c r="H602" t="s">
        <v>20</v>
      </c>
      <c r="I602">
        <v>0</v>
      </c>
      <c r="J602" t="s">
        <v>25</v>
      </c>
      <c r="K602" t="s">
        <v>22</v>
      </c>
      <c r="L602">
        <v>8772.06</v>
      </c>
    </row>
    <row r="603" spans="1:12" x14ac:dyDescent="0.25">
      <c r="A603" t="s">
        <v>630</v>
      </c>
      <c r="B603">
        <v>59</v>
      </c>
      <c r="C603" t="s">
        <v>24</v>
      </c>
      <c r="D603" t="s">
        <v>14</v>
      </c>
      <c r="E603" s="2">
        <v>45949</v>
      </c>
      <c r="F603" s="2">
        <v>45953</v>
      </c>
      <c r="G603">
        <v>4</v>
      </c>
      <c r="H603" t="s">
        <v>20</v>
      </c>
      <c r="I603">
        <v>0</v>
      </c>
      <c r="J603" t="s">
        <v>29</v>
      </c>
      <c r="K603" t="s">
        <v>17</v>
      </c>
      <c r="L603">
        <v>10691.29</v>
      </c>
    </row>
    <row r="604" spans="1:12" x14ac:dyDescent="0.25">
      <c r="A604" t="s">
        <v>631</v>
      </c>
      <c r="B604">
        <v>22</v>
      </c>
      <c r="C604" t="s">
        <v>24</v>
      </c>
      <c r="D604" t="s">
        <v>19</v>
      </c>
      <c r="E604" s="2">
        <v>45706</v>
      </c>
      <c r="F604" s="2">
        <v>45716</v>
      </c>
      <c r="G604">
        <v>10</v>
      </c>
      <c r="H604" t="s">
        <v>20</v>
      </c>
      <c r="I604">
        <v>0</v>
      </c>
      <c r="J604" t="s">
        <v>16</v>
      </c>
      <c r="K604" t="s">
        <v>47</v>
      </c>
      <c r="L604">
        <v>5544.99</v>
      </c>
    </row>
    <row r="605" spans="1:12" x14ac:dyDescent="0.25">
      <c r="A605" t="s">
        <v>632</v>
      </c>
      <c r="B605">
        <v>33</v>
      </c>
      <c r="C605" t="s">
        <v>13</v>
      </c>
      <c r="D605" t="s">
        <v>28</v>
      </c>
      <c r="E605" s="2">
        <v>45880</v>
      </c>
      <c r="F605" s="2">
        <v>45887</v>
      </c>
      <c r="G605">
        <v>7</v>
      </c>
      <c r="H605" t="s">
        <v>20</v>
      </c>
      <c r="I605">
        <v>0</v>
      </c>
      <c r="J605" t="s">
        <v>16</v>
      </c>
      <c r="K605" t="s">
        <v>17</v>
      </c>
      <c r="L605">
        <v>11772.57</v>
      </c>
    </row>
    <row r="606" spans="1:12" x14ac:dyDescent="0.25">
      <c r="A606" t="s">
        <v>633</v>
      </c>
      <c r="B606">
        <v>23</v>
      </c>
      <c r="C606" t="s">
        <v>24</v>
      </c>
      <c r="D606" t="s">
        <v>34</v>
      </c>
      <c r="E606" s="2">
        <v>45853</v>
      </c>
      <c r="F606" s="2">
        <v>45854</v>
      </c>
      <c r="G606">
        <v>1</v>
      </c>
      <c r="H606" t="s">
        <v>20</v>
      </c>
      <c r="I606">
        <v>0</v>
      </c>
      <c r="J606" t="s">
        <v>21</v>
      </c>
      <c r="K606" t="s">
        <v>47</v>
      </c>
      <c r="L606">
        <v>7784.82</v>
      </c>
    </row>
    <row r="607" spans="1:12" x14ac:dyDescent="0.25">
      <c r="A607" t="s">
        <v>634</v>
      </c>
      <c r="B607">
        <v>68</v>
      </c>
      <c r="C607" t="s">
        <v>24</v>
      </c>
      <c r="D607" t="s">
        <v>34</v>
      </c>
      <c r="E607" s="2">
        <v>45771</v>
      </c>
      <c r="F607" s="2">
        <v>45774</v>
      </c>
      <c r="G607">
        <v>3</v>
      </c>
      <c r="H607" t="s">
        <v>15</v>
      </c>
      <c r="I607">
        <v>19</v>
      </c>
      <c r="J607" t="s">
        <v>16</v>
      </c>
      <c r="K607" t="s">
        <v>22</v>
      </c>
      <c r="L607">
        <v>6763.07</v>
      </c>
    </row>
    <row r="608" spans="1:12" x14ac:dyDescent="0.25">
      <c r="A608" t="s">
        <v>635</v>
      </c>
      <c r="B608">
        <v>28</v>
      </c>
      <c r="C608" t="s">
        <v>24</v>
      </c>
      <c r="D608" t="s">
        <v>34</v>
      </c>
      <c r="E608" s="2">
        <v>45859</v>
      </c>
      <c r="F608" s="2">
        <v>45862</v>
      </c>
      <c r="G608">
        <v>3</v>
      </c>
      <c r="H608" t="s">
        <v>15</v>
      </c>
      <c r="I608">
        <v>24</v>
      </c>
      <c r="J608" t="s">
        <v>16</v>
      </c>
      <c r="K608" t="s">
        <v>17</v>
      </c>
      <c r="L608">
        <v>6288.27</v>
      </c>
    </row>
    <row r="609" spans="1:12" x14ac:dyDescent="0.25">
      <c r="A609" t="s">
        <v>636</v>
      </c>
      <c r="B609">
        <v>34</v>
      </c>
      <c r="C609" t="s">
        <v>13</v>
      </c>
      <c r="D609" t="s">
        <v>40</v>
      </c>
      <c r="E609" s="2">
        <v>45701</v>
      </c>
      <c r="F609" s="2">
        <v>45708</v>
      </c>
      <c r="G609">
        <v>7</v>
      </c>
      <c r="H609" t="s">
        <v>20</v>
      </c>
      <c r="I609">
        <v>0</v>
      </c>
      <c r="J609" t="s">
        <v>21</v>
      </c>
      <c r="K609" t="s">
        <v>47</v>
      </c>
      <c r="L609">
        <v>6232.12</v>
      </c>
    </row>
    <row r="610" spans="1:12" x14ac:dyDescent="0.25">
      <c r="A610" t="s">
        <v>637</v>
      </c>
      <c r="B610">
        <v>85</v>
      </c>
      <c r="C610" t="s">
        <v>13</v>
      </c>
      <c r="D610" t="s">
        <v>14</v>
      </c>
      <c r="E610" s="2">
        <v>45950</v>
      </c>
      <c r="F610" s="2">
        <v>45954</v>
      </c>
      <c r="G610">
        <v>4</v>
      </c>
      <c r="H610" t="s">
        <v>20</v>
      </c>
      <c r="I610">
        <v>0</v>
      </c>
      <c r="J610" t="s">
        <v>16</v>
      </c>
      <c r="K610" t="s">
        <v>47</v>
      </c>
      <c r="L610">
        <v>11763.19</v>
      </c>
    </row>
    <row r="611" spans="1:12" x14ac:dyDescent="0.25">
      <c r="A611" t="s">
        <v>638</v>
      </c>
      <c r="B611">
        <v>29</v>
      </c>
      <c r="C611" t="s">
        <v>13</v>
      </c>
      <c r="D611" t="s">
        <v>28</v>
      </c>
      <c r="E611" s="2">
        <v>45823</v>
      </c>
      <c r="F611" s="2">
        <v>45834</v>
      </c>
      <c r="G611">
        <v>11</v>
      </c>
      <c r="H611" t="s">
        <v>20</v>
      </c>
      <c r="I611">
        <v>0</v>
      </c>
      <c r="J611" t="s">
        <v>29</v>
      </c>
      <c r="K611" t="s">
        <v>47</v>
      </c>
      <c r="L611">
        <v>5796.38</v>
      </c>
    </row>
    <row r="612" spans="1:12" x14ac:dyDescent="0.25">
      <c r="A612" t="s">
        <v>639</v>
      </c>
      <c r="B612">
        <v>21</v>
      </c>
      <c r="C612" t="s">
        <v>24</v>
      </c>
      <c r="D612" t="s">
        <v>14</v>
      </c>
      <c r="E612" s="2">
        <v>45755</v>
      </c>
      <c r="F612" s="2">
        <v>45761</v>
      </c>
      <c r="G612">
        <v>6</v>
      </c>
      <c r="H612" t="s">
        <v>20</v>
      </c>
      <c r="I612">
        <v>0</v>
      </c>
      <c r="J612" t="s">
        <v>25</v>
      </c>
      <c r="K612" t="s">
        <v>17</v>
      </c>
      <c r="L612">
        <v>12412.97</v>
      </c>
    </row>
    <row r="613" spans="1:12" x14ac:dyDescent="0.25">
      <c r="A613" t="s">
        <v>640</v>
      </c>
      <c r="B613">
        <v>23</v>
      </c>
      <c r="C613" t="s">
        <v>13</v>
      </c>
      <c r="D613" t="s">
        <v>14</v>
      </c>
      <c r="E613" s="2">
        <v>45884</v>
      </c>
      <c r="F613" s="2">
        <v>45894</v>
      </c>
      <c r="G613">
        <v>10</v>
      </c>
      <c r="H613" t="s">
        <v>15</v>
      </c>
      <c r="I613">
        <v>22</v>
      </c>
      <c r="J613" t="s">
        <v>25</v>
      </c>
      <c r="K613" t="s">
        <v>22</v>
      </c>
      <c r="L613">
        <v>11487.14</v>
      </c>
    </row>
    <row r="614" spans="1:12" x14ac:dyDescent="0.25">
      <c r="A614" t="s">
        <v>641</v>
      </c>
      <c r="B614">
        <v>49</v>
      </c>
      <c r="C614" t="s">
        <v>13</v>
      </c>
      <c r="D614" t="s">
        <v>32</v>
      </c>
      <c r="E614" s="2">
        <v>45701</v>
      </c>
      <c r="F614" s="2">
        <v>45703</v>
      </c>
      <c r="G614">
        <v>2</v>
      </c>
      <c r="H614" t="s">
        <v>20</v>
      </c>
      <c r="I614">
        <v>0</v>
      </c>
      <c r="J614" t="s">
        <v>16</v>
      </c>
      <c r="K614" t="s">
        <v>47</v>
      </c>
      <c r="L614">
        <v>10560.03</v>
      </c>
    </row>
    <row r="615" spans="1:12" x14ac:dyDescent="0.25">
      <c r="A615" t="s">
        <v>642</v>
      </c>
      <c r="B615">
        <v>20</v>
      </c>
      <c r="C615" t="s">
        <v>24</v>
      </c>
      <c r="D615" t="s">
        <v>14</v>
      </c>
      <c r="E615" s="2">
        <v>45714</v>
      </c>
      <c r="F615" s="2">
        <v>45719</v>
      </c>
      <c r="G615">
        <v>5</v>
      </c>
      <c r="H615" t="s">
        <v>20</v>
      </c>
      <c r="I615">
        <v>0</v>
      </c>
      <c r="J615" t="s">
        <v>21</v>
      </c>
      <c r="K615" t="s">
        <v>22</v>
      </c>
      <c r="L615">
        <v>8423.15</v>
      </c>
    </row>
    <row r="616" spans="1:12" x14ac:dyDescent="0.25">
      <c r="A616" t="s">
        <v>643</v>
      </c>
      <c r="B616">
        <v>36</v>
      </c>
      <c r="C616" t="s">
        <v>13</v>
      </c>
      <c r="D616" t="s">
        <v>40</v>
      </c>
      <c r="E616" s="2">
        <v>45790</v>
      </c>
      <c r="F616" s="2">
        <v>45799</v>
      </c>
      <c r="G616">
        <v>9</v>
      </c>
      <c r="H616" t="s">
        <v>20</v>
      </c>
      <c r="I616">
        <v>0</v>
      </c>
      <c r="J616" t="s">
        <v>16</v>
      </c>
      <c r="K616" t="s">
        <v>47</v>
      </c>
      <c r="L616">
        <v>2969.63</v>
      </c>
    </row>
    <row r="617" spans="1:12" x14ac:dyDescent="0.25">
      <c r="A617" t="s">
        <v>644</v>
      </c>
      <c r="B617">
        <v>52</v>
      </c>
      <c r="C617" t="s">
        <v>13</v>
      </c>
      <c r="D617" t="s">
        <v>40</v>
      </c>
      <c r="E617" s="2">
        <v>45803</v>
      </c>
      <c r="F617" s="2">
        <v>45807</v>
      </c>
      <c r="G617">
        <v>4</v>
      </c>
      <c r="H617" t="s">
        <v>20</v>
      </c>
      <c r="I617">
        <v>0</v>
      </c>
      <c r="J617" t="s">
        <v>16</v>
      </c>
      <c r="K617" t="s">
        <v>22</v>
      </c>
      <c r="L617">
        <v>6135.35</v>
      </c>
    </row>
    <row r="618" spans="1:12" x14ac:dyDescent="0.25">
      <c r="A618" t="s">
        <v>645</v>
      </c>
      <c r="B618">
        <v>64</v>
      </c>
      <c r="C618" t="s">
        <v>13</v>
      </c>
      <c r="D618" t="s">
        <v>19</v>
      </c>
      <c r="E618" s="2">
        <v>45796</v>
      </c>
      <c r="F618" s="2">
        <v>45807</v>
      </c>
      <c r="G618">
        <v>11</v>
      </c>
      <c r="H618" t="s">
        <v>20</v>
      </c>
      <c r="I618">
        <v>0</v>
      </c>
      <c r="J618" t="s">
        <v>25</v>
      </c>
      <c r="K618" t="s">
        <v>17</v>
      </c>
      <c r="L618">
        <v>6104.59</v>
      </c>
    </row>
    <row r="619" spans="1:12" x14ac:dyDescent="0.25">
      <c r="A619" t="s">
        <v>646</v>
      </c>
      <c r="B619">
        <v>30</v>
      </c>
      <c r="C619" t="s">
        <v>24</v>
      </c>
      <c r="D619" t="s">
        <v>40</v>
      </c>
      <c r="E619" s="2">
        <v>45852</v>
      </c>
      <c r="F619" s="2">
        <v>45861</v>
      </c>
      <c r="G619">
        <v>9</v>
      </c>
      <c r="H619" t="s">
        <v>20</v>
      </c>
      <c r="I619">
        <v>0</v>
      </c>
      <c r="J619" t="s">
        <v>16</v>
      </c>
      <c r="K619" t="s">
        <v>22</v>
      </c>
      <c r="L619">
        <v>3383.69</v>
      </c>
    </row>
    <row r="620" spans="1:12" x14ac:dyDescent="0.25">
      <c r="A620" t="s">
        <v>647</v>
      </c>
      <c r="B620">
        <v>20</v>
      </c>
      <c r="C620" t="s">
        <v>13</v>
      </c>
      <c r="D620" t="s">
        <v>14</v>
      </c>
      <c r="E620" s="2">
        <v>45892</v>
      </c>
      <c r="F620" s="2">
        <v>45901</v>
      </c>
      <c r="G620">
        <v>9</v>
      </c>
      <c r="H620" t="s">
        <v>20</v>
      </c>
      <c r="I620">
        <v>0</v>
      </c>
      <c r="J620" t="s">
        <v>25</v>
      </c>
      <c r="K620" t="s">
        <v>47</v>
      </c>
      <c r="L620">
        <v>7604.03</v>
      </c>
    </row>
    <row r="621" spans="1:12" x14ac:dyDescent="0.25">
      <c r="A621" t="s">
        <v>648</v>
      </c>
      <c r="B621">
        <v>63</v>
      </c>
      <c r="C621" t="s">
        <v>24</v>
      </c>
      <c r="D621" t="s">
        <v>28</v>
      </c>
      <c r="E621" s="2">
        <v>45738</v>
      </c>
      <c r="F621" s="2">
        <v>45739</v>
      </c>
      <c r="G621">
        <v>1</v>
      </c>
      <c r="H621" t="s">
        <v>20</v>
      </c>
      <c r="I621">
        <v>0</v>
      </c>
      <c r="J621" t="s">
        <v>25</v>
      </c>
      <c r="K621" t="s">
        <v>22</v>
      </c>
      <c r="L621">
        <v>14941.92</v>
      </c>
    </row>
    <row r="622" spans="1:12" x14ac:dyDescent="0.25">
      <c r="A622" t="s">
        <v>649</v>
      </c>
      <c r="B622">
        <v>50</v>
      </c>
      <c r="C622" t="s">
        <v>24</v>
      </c>
      <c r="D622" t="s">
        <v>19</v>
      </c>
      <c r="E622" s="2">
        <v>45914</v>
      </c>
      <c r="F622" s="2">
        <v>45919</v>
      </c>
      <c r="G622">
        <v>5</v>
      </c>
      <c r="H622" t="s">
        <v>20</v>
      </c>
      <c r="I622">
        <v>0</v>
      </c>
      <c r="J622" t="s">
        <v>25</v>
      </c>
      <c r="K622" t="s">
        <v>22</v>
      </c>
      <c r="L622">
        <v>2699.77</v>
      </c>
    </row>
    <row r="623" spans="1:12" x14ac:dyDescent="0.25">
      <c r="A623" t="s">
        <v>650</v>
      </c>
      <c r="B623">
        <v>66</v>
      </c>
      <c r="C623" t="s">
        <v>13</v>
      </c>
      <c r="D623" t="s">
        <v>40</v>
      </c>
      <c r="E623" s="2">
        <v>45859</v>
      </c>
      <c r="F623" s="2">
        <v>45870</v>
      </c>
      <c r="G623">
        <v>11</v>
      </c>
      <c r="H623" t="s">
        <v>15</v>
      </c>
      <c r="I623">
        <v>8</v>
      </c>
      <c r="J623" t="s">
        <v>21</v>
      </c>
      <c r="K623" t="s">
        <v>47</v>
      </c>
      <c r="L623">
        <v>14572.79</v>
      </c>
    </row>
    <row r="624" spans="1:12" x14ac:dyDescent="0.25">
      <c r="A624" t="s">
        <v>651</v>
      </c>
      <c r="B624">
        <v>34</v>
      </c>
      <c r="C624" t="s">
        <v>13</v>
      </c>
      <c r="D624" t="s">
        <v>28</v>
      </c>
      <c r="E624" s="2">
        <v>45967</v>
      </c>
      <c r="F624" s="2">
        <v>45973</v>
      </c>
      <c r="G624">
        <v>6</v>
      </c>
      <c r="H624" t="s">
        <v>20</v>
      </c>
      <c r="I624">
        <v>0</v>
      </c>
      <c r="J624" t="s">
        <v>21</v>
      </c>
      <c r="K624" t="s">
        <v>17</v>
      </c>
      <c r="L624">
        <v>8349.6299999999992</v>
      </c>
    </row>
    <row r="625" spans="1:12" x14ac:dyDescent="0.25">
      <c r="A625" t="s">
        <v>652</v>
      </c>
      <c r="B625">
        <v>85</v>
      </c>
      <c r="C625" t="s">
        <v>13</v>
      </c>
      <c r="D625" t="s">
        <v>40</v>
      </c>
      <c r="E625" s="2">
        <v>45761</v>
      </c>
      <c r="F625" s="2">
        <v>45775</v>
      </c>
      <c r="G625">
        <v>14</v>
      </c>
      <c r="H625" t="s">
        <v>15</v>
      </c>
      <c r="I625">
        <v>30</v>
      </c>
      <c r="J625" t="s">
        <v>21</v>
      </c>
      <c r="K625" t="s">
        <v>17</v>
      </c>
      <c r="L625">
        <v>14028.93</v>
      </c>
    </row>
    <row r="626" spans="1:12" x14ac:dyDescent="0.25">
      <c r="A626" t="s">
        <v>653</v>
      </c>
      <c r="B626">
        <v>86</v>
      </c>
      <c r="C626" t="s">
        <v>13</v>
      </c>
      <c r="D626" t="s">
        <v>14</v>
      </c>
      <c r="E626" s="2">
        <v>45738</v>
      </c>
      <c r="F626" s="2">
        <v>45744</v>
      </c>
      <c r="G626">
        <v>6</v>
      </c>
      <c r="H626" t="s">
        <v>15</v>
      </c>
      <c r="I626">
        <v>11</v>
      </c>
      <c r="J626" t="s">
        <v>21</v>
      </c>
      <c r="K626" t="s">
        <v>17</v>
      </c>
      <c r="L626">
        <v>927.51</v>
      </c>
    </row>
    <row r="627" spans="1:12" x14ac:dyDescent="0.25">
      <c r="A627" t="s">
        <v>654</v>
      </c>
      <c r="B627">
        <v>56</v>
      </c>
      <c r="C627" t="s">
        <v>24</v>
      </c>
      <c r="D627" t="s">
        <v>28</v>
      </c>
      <c r="E627" s="2">
        <v>45821</v>
      </c>
      <c r="F627" s="2">
        <v>45828</v>
      </c>
      <c r="G627">
        <v>7</v>
      </c>
      <c r="H627" t="s">
        <v>20</v>
      </c>
      <c r="I627">
        <v>0</v>
      </c>
      <c r="J627" t="s">
        <v>25</v>
      </c>
      <c r="K627" t="s">
        <v>22</v>
      </c>
      <c r="L627">
        <v>11797.06</v>
      </c>
    </row>
    <row r="628" spans="1:12" x14ac:dyDescent="0.25">
      <c r="A628" t="s">
        <v>655</v>
      </c>
      <c r="B628">
        <v>52</v>
      </c>
      <c r="C628" t="s">
        <v>13</v>
      </c>
      <c r="D628" t="s">
        <v>34</v>
      </c>
      <c r="E628" s="2">
        <v>45712</v>
      </c>
      <c r="F628" s="2">
        <v>45715</v>
      </c>
      <c r="G628">
        <v>3</v>
      </c>
      <c r="H628" t="s">
        <v>15</v>
      </c>
      <c r="I628">
        <v>8</v>
      </c>
      <c r="J628" t="s">
        <v>21</v>
      </c>
      <c r="K628" t="s">
        <v>17</v>
      </c>
      <c r="L628">
        <v>878.23</v>
      </c>
    </row>
    <row r="629" spans="1:12" x14ac:dyDescent="0.25">
      <c r="A629" t="s">
        <v>656</v>
      </c>
      <c r="B629">
        <v>35</v>
      </c>
      <c r="C629" t="s">
        <v>24</v>
      </c>
      <c r="D629" t="s">
        <v>28</v>
      </c>
      <c r="E629" s="2">
        <v>45698</v>
      </c>
      <c r="F629" s="2">
        <v>45710</v>
      </c>
      <c r="G629">
        <v>12</v>
      </c>
      <c r="H629" t="s">
        <v>20</v>
      </c>
      <c r="I629">
        <v>0</v>
      </c>
      <c r="J629" t="s">
        <v>25</v>
      </c>
      <c r="K629" t="s">
        <v>22</v>
      </c>
      <c r="L629">
        <v>12855.88</v>
      </c>
    </row>
    <row r="630" spans="1:12" x14ac:dyDescent="0.25">
      <c r="A630" t="s">
        <v>657</v>
      </c>
      <c r="B630">
        <v>42</v>
      </c>
      <c r="C630" t="s">
        <v>13</v>
      </c>
      <c r="D630" t="s">
        <v>19</v>
      </c>
      <c r="E630" s="2">
        <v>45909</v>
      </c>
      <c r="F630" s="2">
        <v>45917</v>
      </c>
      <c r="G630">
        <v>8</v>
      </c>
      <c r="H630" t="s">
        <v>15</v>
      </c>
      <c r="I630">
        <v>14</v>
      </c>
      <c r="J630" t="s">
        <v>16</v>
      </c>
      <c r="K630" t="s">
        <v>47</v>
      </c>
      <c r="L630">
        <v>14277.87</v>
      </c>
    </row>
    <row r="631" spans="1:12" x14ac:dyDescent="0.25">
      <c r="A631" t="s">
        <v>658</v>
      </c>
      <c r="B631">
        <v>43</v>
      </c>
      <c r="C631" t="s">
        <v>13</v>
      </c>
      <c r="D631" t="s">
        <v>19</v>
      </c>
      <c r="E631" s="2">
        <v>45771</v>
      </c>
      <c r="F631" s="2">
        <v>45783</v>
      </c>
      <c r="G631">
        <v>12</v>
      </c>
      <c r="H631" t="s">
        <v>20</v>
      </c>
      <c r="I631">
        <v>0</v>
      </c>
      <c r="J631" t="s">
        <v>21</v>
      </c>
      <c r="K631" t="s">
        <v>47</v>
      </c>
      <c r="L631">
        <v>13073.37</v>
      </c>
    </row>
    <row r="632" spans="1:12" x14ac:dyDescent="0.25">
      <c r="A632" t="s">
        <v>659</v>
      </c>
      <c r="B632">
        <v>76</v>
      </c>
      <c r="C632" t="s">
        <v>13</v>
      </c>
      <c r="D632" t="s">
        <v>40</v>
      </c>
      <c r="E632" s="2">
        <v>45908</v>
      </c>
      <c r="F632" s="2">
        <v>45920</v>
      </c>
      <c r="G632">
        <v>12</v>
      </c>
      <c r="H632" t="s">
        <v>20</v>
      </c>
      <c r="I632">
        <v>0</v>
      </c>
      <c r="J632" t="s">
        <v>29</v>
      </c>
      <c r="K632" t="s">
        <v>22</v>
      </c>
      <c r="L632">
        <v>9314.98</v>
      </c>
    </row>
    <row r="633" spans="1:12" x14ac:dyDescent="0.25">
      <c r="A633" t="s">
        <v>660</v>
      </c>
      <c r="B633">
        <v>86</v>
      </c>
      <c r="C633" t="s">
        <v>13</v>
      </c>
      <c r="D633" t="s">
        <v>34</v>
      </c>
      <c r="E633" s="2">
        <v>45852</v>
      </c>
      <c r="F633" s="2">
        <v>45864</v>
      </c>
      <c r="G633">
        <v>12</v>
      </c>
      <c r="H633" t="s">
        <v>20</v>
      </c>
      <c r="I633">
        <v>0</v>
      </c>
      <c r="J633" t="s">
        <v>16</v>
      </c>
      <c r="K633" t="s">
        <v>47</v>
      </c>
      <c r="L633">
        <v>7125.06</v>
      </c>
    </row>
    <row r="634" spans="1:12" x14ac:dyDescent="0.25">
      <c r="A634" t="s">
        <v>661</v>
      </c>
      <c r="B634">
        <v>68</v>
      </c>
      <c r="C634" t="s">
        <v>13</v>
      </c>
      <c r="D634" t="s">
        <v>34</v>
      </c>
      <c r="E634" s="2">
        <v>45679</v>
      </c>
      <c r="F634" s="2">
        <v>45683</v>
      </c>
      <c r="G634">
        <v>4</v>
      </c>
      <c r="H634" t="s">
        <v>20</v>
      </c>
      <c r="I634">
        <v>0</v>
      </c>
      <c r="J634" t="s">
        <v>29</v>
      </c>
      <c r="K634" t="s">
        <v>17</v>
      </c>
      <c r="L634">
        <v>11594.82</v>
      </c>
    </row>
    <row r="635" spans="1:12" x14ac:dyDescent="0.25">
      <c r="A635" t="s">
        <v>662</v>
      </c>
      <c r="B635">
        <v>68</v>
      </c>
      <c r="C635" t="s">
        <v>24</v>
      </c>
      <c r="D635" t="s">
        <v>32</v>
      </c>
      <c r="E635" s="2">
        <v>45683</v>
      </c>
      <c r="F635" s="2">
        <v>45687</v>
      </c>
      <c r="G635">
        <v>4</v>
      </c>
      <c r="H635" t="s">
        <v>15</v>
      </c>
      <c r="I635">
        <v>15</v>
      </c>
      <c r="J635" t="s">
        <v>21</v>
      </c>
      <c r="K635" t="s">
        <v>47</v>
      </c>
      <c r="L635">
        <v>4769.09</v>
      </c>
    </row>
    <row r="636" spans="1:12" x14ac:dyDescent="0.25">
      <c r="A636" t="s">
        <v>663</v>
      </c>
      <c r="B636">
        <v>36</v>
      </c>
      <c r="C636" t="s">
        <v>24</v>
      </c>
      <c r="D636" t="s">
        <v>28</v>
      </c>
      <c r="E636" s="2">
        <v>45685</v>
      </c>
      <c r="F636" s="2">
        <v>45697</v>
      </c>
      <c r="G636">
        <v>12</v>
      </c>
      <c r="H636" t="s">
        <v>20</v>
      </c>
      <c r="I636">
        <v>0</v>
      </c>
      <c r="J636" t="s">
        <v>29</v>
      </c>
      <c r="K636" t="s">
        <v>22</v>
      </c>
      <c r="L636">
        <v>10978.38</v>
      </c>
    </row>
    <row r="637" spans="1:12" x14ac:dyDescent="0.25">
      <c r="A637" t="s">
        <v>664</v>
      </c>
      <c r="B637">
        <v>87</v>
      </c>
      <c r="C637" t="s">
        <v>13</v>
      </c>
      <c r="D637" t="s">
        <v>40</v>
      </c>
      <c r="E637" s="2">
        <v>45715</v>
      </c>
      <c r="F637" s="2">
        <v>45718</v>
      </c>
      <c r="G637">
        <v>3</v>
      </c>
      <c r="H637" t="s">
        <v>20</v>
      </c>
      <c r="I637">
        <v>0</v>
      </c>
      <c r="J637" t="s">
        <v>29</v>
      </c>
      <c r="K637" t="s">
        <v>47</v>
      </c>
      <c r="L637">
        <v>7037.84</v>
      </c>
    </row>
    <row r="638" spans="1:12" x14ac:dyDescent="0.25">
      <c r="A638" t="s">
        <v>665</v>
      </c>
      <c r="B638">
        <v>43</v>
      </c>
      <c r="C638" t="s">
        <v>24</v>
      </c>
      <c r="D638" t="s">
        <v>19</v>
      </c>
      <c r="E638" s="2">
        <v>45749</v>
      </c>
      <c r="F638" s="2">
        <v>45757</v>
      </c>
      <c r="G638">
        <v>8</v>
      </c>
      <c r="H638" t="s">
        <v>20</v>
      </c>
      <c r="I638">
        <v>0</v>
      </c>
      <c r="J638" t="s">
        <v>25</v>
      </c>
      <c r="K638" t="s">
        <v>47</v>
      </c>
      <c r="L638">
        <v>10529.9</v>
      </c>
    </row>
    <row r="639" spans="1:12" x14ac:dyDescent="0.25">
      <c r="A639" t="s">
        <v>666</v>
      </c>
      <c r="B639">
        <v>33</v>
      </c>
      <c r="C639" t="s">
        <v>13</v>
      </c>
      <c r="D639" t="s">
        <v>19</v>
      </c>
      <c r="E639" s="2">
        <v>46022</v>
      </c>
      <c r="F639" s="2">
        <v>46035</v>
      </c>
      <c r="G639">
        <v>13</v>
      </c>
      <c r="H639" t="s">
        <v>15</v>
      </c>
      <c r="I639">
        <v>23</v>
      </c>
      <c r="J639" t="s">
        <v>29</v>
      </c>
      <c r="K639" t="s">
        <v>17</v>
      </c>
      <c r="L639">
        <v>5762.68</v>
      </c>
    </row>
    <row r="640" spans="1:12" x14ac:dyDescent="0.25">
      <c r="A640" t="s">
        <v>667</v>
      </c>
      <c r="B640">
        <v>83</v>
      </c>
      <c r="C640" t="s">
        <v>13</v>
      </c>
      <c r="D640" t="s">
        <v>40</v>
      </c>
      <c r="E640" s="2">
        <v>45926</v>
      </c>
      <c r="F640" s="2">
        <v>45938</v>
      </c>
      <c r="G640">
        <v>12</v>
      </c>
      <c r="H640" t="s">
        <v>20</v>
      </c>
      <c r="I640">
        <v>0</v>
      </c>
      <c r="J640" t="s">
        <v>29</v>
      </c>
      <c r="K640" t="s">
        <v>22</v>
      </c>
      <c r="L640">
        <v>11639.77</v>
      </c>
    </row>
    <row r="641" spans="1:12" x14ac:dyDescent="0.25">
      <c r="A641" t="s">
        <v>668</v>
      </c>
      <c r="B641">
        <v>37</v>
      </c>
      <c r="C641" t="s">
        <v>13</v>
      </c>
      <c r="D641" t="s">
        <v>14</v>
      </c>
      <c r="E641" s="2">
        <v>45829</v>
      </c>
      <c r="F641" s="2">
        <v>45839</v>
      </c>
      <c r="G641">
        <v>10</v>
      </c>
      <c r="H641" t="s">
        <v>20</v>
      </c>
      <c r="I641">
        <v>0</v>
      </c>
      <c r="J641" t="s">
        <v>21</v>
      </c>
      <c r="K641" t="s">
        <v>17</v>
      </c>
      <c r="L641">
        <v>1244</v>
      </c>
    </row>
    <row r="642" spans="1:12" x14ac:dyDescent="0.25">
      <c r="A642" t="s">
        <v>669</v>
      </c>
      <c r="B642">
        <v>75</v>
      </c>
      <c r="C642" t="s">
        <v>24</v>
      </c>
      <c r="D642" t="s">
        <v>28</v>
      </c>
      <c r="E642" s="2">
        <v>45815</v>
      </c>
      <c r="F642" s="2">
        <v>45820</v>
      </c>
      <c r="G642">
        <v>5</v>
      </c>
      <c r="H642" t="s">
        <v>20</v>
      </c>
      <c r="I642">
        <v>0</v>
      </c>
      <c r="J642" t="s">
        <v>21</v>
      </c>
      <c r="K642" t="s">
        <v>22</v>
      </c>
      <c r="L642">
        <v>13528.86</v>
      </c>
    </row>
    <row r="643" spans="1:12" x14ac:dyDescent="0.25">
      <c r="A643" t="s">
        <v>670</v>
      </c>
      <c r="B643">
        <v>50</v>
      </c>
      <c r="C643" t="s">
        <v>13</v>
      </c>
      <c r="D643" t="s">
        <v>40</v>
      </c>
      <c r="E643" s="2">
        <v>45761</v>
      </c>
      <c r="F643" s="2">
        <v>45762</v>
      </c>
      <c r="G643">
        <v>1</v>
      </c>
      <c r="H643" t="s">
        <v>20</v>
      </c>
      <c r="I643">
        <v>0</v>
      </c>
      <c r="J643" t="s">
        <v>29</v>
      </c>
      <c r="K643" t="s">
        <v>47</v>
      </c>
      <c r="L643">
        <v>8380.77</v>
      </c>
    </row>
    <row r="644" spans="1:12" x14ac:dyDescent="0.25">
      <c r="A644" t="s">
        <v>671</v>
      </c>
      <c r="B644">
        <v>48</v>
      </c>
      <c r="C644" t="s">
        <v>13</v>
      </c>
      <c r="D644" t="s">
        <v>34</v>
      </c>
      <c r="E644" s="2">
        <v>45660</v>
      </c>
      <c r="F644" s="2">
        <v>45670</v>
      </c>
      <c r="G644">
        <v>10</v>
      </c>
      <c r="H644" t="s">
        <v>20</v>
      </c>
      <c r="I644">
        <v>0</v>
      </c>
      <c r="J644" t="s">
        <v>29</v>
      </c>
      <c r="K644" t="s">
        <v>47</v>
      </c>
      <c r="L644">
        <v>6447.19</v>
      </c>
    </row>
    <row r="645" spans="1:12" x14ac:dyDescent="0.25">
      <c r="A645" t="s">
        <v>672</v>
      </c>
      <c r="B645">
        <v>49</v>
      </c>
      <c r="C645" t="s">
        <v>24</v>
      </c>
      <c r="D645" t="s">
        <v>34</v>
      </c>
      <c r="E645" s="2">
        <v>45698</v>
      </c>
      <c r="F645" s="2">
        <v>45708</v>
      </c>
      <c r="G645">
        <v>10</v>
      </c>
      <c r="H645" t="s">
        <v>20</v>
      </c>
      <c r="I645">
        <v>0</v>
      </c>
      <c r="J645" t="s">
        <v>21</v>
      </c>
      <c r="K645" t="s">
        <v>22</v>
      </c>
      <c r="L645">
        <v>3180.18</v>
      </c>
    </row>
    <row r="646" spans="1:12" x14ac:dyDescent="0.25">
      <c r="A646" t="s">
        <v>673</v>
      </c>
      <c r="B646">
        <v>36</v>
      </c>
      <c r="C646" t="s">
        <v>13</v>
      </c>
      <c r="D646" t="s">
        <v>28</v>
      </c>
      <c r="E646" s="2">
        <v>45686</v>
      </c>
      <c r="F646" s="2">
        <v>45697</v>
      </c>
      <c r="G646">
        <v>11</v>
      </c>
      <c r="H646" t="s">
        <v>20</v>
      </c>
      <c r="I646">
        <v>0</v>
      </c>
      <c r="J646" t="s">
        <v>25</v>
      </c>
      <c r="K646" t="s">
        <v>47</v>
      </c>
      <c r="L646">
        <v>13845.58</v>
      </c>
    </row>
    <row r="647" spans="1:12" x14ac:dyDescent="0.25">
      <c r="A647" t="s">
        <v>674</v>
      </c>
      <c r="B647">
        <v>40</v>
      </c>
      <c r="C647" t="s">
        <v>13</v>
      </c>
      <c r="D647" t="s">
        <v>28</v>
      </c>
      <c r="E647" s="2">
        <v>45683</v>
      </c>
      <c r="F647" s="2">
        <v>45685</v>
      </c>
      <c r="G647">
        <v>2</v>
      </c>
      <c r="H647" t="s">
        <v>20</v>
      </c>
      <c r="I647">
        <v>0</v>
      </c>
      <c r="J647" t="s">
        <v>25</v>
      </c>
      <c r="K647" t="s">
        <v>17</v>
      </c>
      <c r="L647">
        <v>10083.41</v>
      </c>
    </row>
    <row r="648" spans="1:12" x14ac:dyDescent="0.25">
      <c r="A648" t="s">
        <v>675</v>
      </c>
      <c r="B648">
        <v>89</v>
      </c>
      <c r="C648" t="s">
        <v>13</v>
      </c>
      <c r="D648" t="s">
        <v>40</v>
      </c>
      <c r="E648" s="2">
        <v>46016</v>
      </c>
      <c r="F648" s="2">
        <v>46026</v>
      </c>
      <c r="G648">
        <v>10</v>
      </c>
      <c r="H648" t="s">
        <v>20</v>
      </c>
      <c r="I648">
        <v>0</v>
      </c>
      <c r="J648" t="s">
        <v>25</v>
      </c>
      <c r="K648" t="s">
        <v>22</v>
      </c>
      <c r="L648">
        <v>1850.33</v>
      </c>
    </row>
    <row r="649" spans="1:12" x14ac:dyDescent="0.25">
      <c r="A649" t="s">
        <v>676</v>
      </c>
      <c r="B649">
        <v>66</v>
      </c>
      <c r="C649" t="s">
        <v>13</v>
      </c>
      <c r="D649" t="s">
        <v>40</v>
      </c>
      <c r="E649" s="2">
        <v>45811</v>
      </c>
      <c r="F649" s="2">
        <v>45817</v>
      </c>
      <c r="G649">
        <v>6</v>
      </c>
      <c r="H649" t="s">
        <v>20</v>
      </c>
      <c r="I649">
        <v>0</v>
      </c>
      <c r="J649" t="s">
        <v>16</v>
      </c>
      <c r="K649" t="s">
        <v>47</v>
      </c>
      <c r="L649">
        <v>7326.84</v>
      </c>
    </row>
    <row r="650" spans="1:12" x14ac:dyDescent="0.25">
      <c r="A650" t="s">
        <v>677</v>
      </c>
      <c r="B650">
        <v>60</v>
      </c>
      <c r="C650" t="s">
        <v>24</v>
      </c>
      <c r="D650" t="s">
        <v>34</v>
      </c>
      <c r="E650" s="2">
        <v>45720</v>
      </c>
      <c r="F650" s="2">
        <v>45732</v>
      </c>
      <c r="G650">
        <v>12</v>
      </c>
      <c r="H650" t="s">
        <v>20</v>
      </c>
      <c r="I650">
        <v>0</v>
      </c>
      <c r="J650" t="s">
        <v>21</v>
      </c>
      <c r="K650" t="s">
        <v>17</v>
      </c>
      <c r="L650">
        <v>3531.24</v>
      </c>
    </row>
    <row r="651" spans="1:12" x14ac:dyDescent="0.25">
      <c r="A651" t="s">
        <v>678</v>
      </c>
      <c r="B651">
        <v>85</v>
      </c>
      <c r="C651" t="s">
        <v>13</v>
      </c>
      <c r="D651" t="s">
        <v>40</v>
      </c>
      <c r="E651" s="2">
        <v>45687</v>
      </c>
      <c r="F651" s="2">
        <v>45689</v>
      </c>
      <c r="G651">
        <v>2</v>
      </c>
      <c r="H651" t="s">
        <v>20</v>
      </c>
      <c r="I651">
        <v>0</v>
      </c>
      <c r="J651" t="s">
        <v>25</v>
      </c>
      <c r="K651" t="s">
        <v>47</v>
      </c>
      <c r="L651">
        <v>9328.25</v>
      </c>
    </row>
    <row r="652" spans="1:12" x14ac:dyDescent="0.25">
      <c r="A652" t="s">
        <v>679</v>
      </c>
      <c r="B652">
        <v>63</v>
      </c>
      <c r="C652" t="s">
        <v>13</v>
      </c>
      <c r="D652" t="s">
        <v>34</v>
      </c>
      <c r="E652" s="2">
        <v>45820</v>
      </c>
      <c r="F652" s="2">
        <v>45825</v>
      </c>
      <c r="G652">
        <v>5</v>
      </c>
      <c r="H652" t="s">
        <v>20</v>
      </c>
      <c r="I652">
        <v>0</v>
      </c>
      <c r="J652" t="s">
        <v>29</v>
      </c>
      <c r="K652" t="s">
        <v>17</v>
      </c>
      <c r="L652">
        <v>11073.18</v>
      </c>
    </row>
    <row r="653" spans="1:12" x14ac:dyDescent="0.25">
      <c r="A653" t="s">
        <v>680</v>
      </c>
      <c r="B653">
        <v>47</v>
      </c>
      <c r="C653" t="s">
        <v>24</v>
      </c>
      <c r="D653" t="s">
        <v>14</v>
      </c>
      <c r="E653" s="2">
        <v>45912</v>
      </c>
      <c r="F653" s="2">
        <v>45920</v>
      </c>
      <c r="G653">
        <v>8</v>
      </c>
      <c r="H653" t="s">
        <v>20</v>
      </c>
      <c r="I653">
        <v>0</v>
      </c>
      <c r="J653" t="s">
        <v>16</v>
      </c>
      <c r="K653" t="s">
        <v>22</v>
      </c>
      <c r="L653">
        <v>847.81</v>
      </c>
    </row>
    <row r="654" spans="1:12" x14ac:dyDescent="0.25">
      <c r="A654" t="s">
        <v>681</v>
      </c>
      <c r="B654">
        <v>44</v>
      </c>
      <c r="C654" t="s">
        <v>24</v>
      </c>
      <c r="D654" t="s">
        <v>40</v>
      </c>
      <c r="E654" s="2">
        <v>45978</v>
      </c>
      <c r="F654" s="2">
        <v>45991</v>
      </c>
      <c r="G654">
        <v>13</v>
      </c>
      <c r="H654" t="s">
        <v>15</v>
      </c>
      <c r="I654">
        <v>2</v>
      </c>
      <c r="J654" t="s">
        <v>25</v>
      </c>
      <c r="K654" t="s">
        <v>47</v>
      </c>
      <c r="L654">
        <v>8626.02</v>
      </c>
    </row>
    <row r="655" spans="1:12" x14ac:dyDescent="0.25">
      <c r="A655" t="s">
        <v>682</v>
      </c>
      <c r="B655">
        <v>43</v>
      </c>
      <c r="C655" t="s">
        <v>24</v>
      </c>
      <c r="D655" t="s">
        <v>32</v>
      </c>
      <c r="E655" s="2">
        <v>45984</v>
      </c>
      <c r="F655" s="2">
        <v>45988</v>
      </c>
      <c r="G655">
        <v>4</v>
      </c>
      <c r="H655" t="s">
        <v>15</v>
      </c>
      <c r="I655">
        <v>26</v>
      </c>
      <c r="J655" t="s">
        <v>16</v>
      </c>
      <c r="K655" t="s">
        <v>47</v>
      </c>
      <c r="L655">
        <v>4854.12</v>
      </c>
    </row>
    <row r="656" spans="1:12" x14ac:dyDescent="0.25">
      <c r="A656" t="s">
        <v>683</v>
      </c>
      <c r="B656">
        <v>32</v>
      </c>
      <c r="C656" t="s">
        <v>24</v>
      </c>
      <c r="D656" t="s">
        <v>32</v>
      </c>
      <c r="E656" s="2">
        <v>45939</v>
      </c>
      <c r="F656" s="2">
        <v>45945</v>
      </c>
      <c r="G656">
        <v>6</v>
      </c>
      <c r="H656" t="s">
        <v>20</v>
      </c>
      <c r="I656">
        <v>0</v>
      </c>
      <c r="J656" t="s">
        <v>29</v>
      </c>
      <c r="K656" t="s">
        <v>17</v>
      </c>
      <c r="L656">
        <v>8749.36</v>
      </c>
    </row>
    <row r="657" spans="1:12" x14ac:dyDescent="0.25">
      <c r="A657" t="s">
        <v>684</v>
      </c>
      <c r="B657">
        <v>60</v>
      </c>
      <c r="C657" t="s">
        <v>24</v>
      </c>
      <c r="D657" t="s">
        <v>28</v>
      </c>
      <c r="E657" s="2">
        <v>45672</v>
      </c>
      <c r="F657" s="2">
        <v>45686</v>
      </c>
      <c r="G657">
        <v>14</v>
      </c>
      <c r="H657" t="s">
        <v>15</v>
      </c>
      <c r="I657">
        <v>16</v>
      </c>
      <c r="J657" t="s">
        <v>29</v>
      </c>
      <c r="K657" t="s">
        <v>22</v>
      </c>
      <c r="L657">
        <v>9861.9599999999991</v>
      </c>
    </row>
    <row r="658" spans="1:12" x14ac:dyDescent="0.25">
      <c r="A658" t="s">
        <v>685</v>
      </c>
      <c r="B658">
        <v>86</v>
      </c>
      <c r="C658" t="s">
        <v>24</v>
      </c>
      <c r="D658" t="s">
        <v>40</v>
      </c>
      <c r="E658" s="2">
        <v>45904</v>
      </c>
      <c r="F658" s="2">
        <v>45907</v>
      </c>
      <c r="G658">
        <v>3</v>
      </c>
      <c r="H658" t="s">
        <v>20</v>
      </c>
      <c r="I658">
        <v>0</v>
      </c>
      <c r="J658" t="s">
        <v>29</v>
      </c>
      <c r="K658" t="s">
        <v>17</v>
      </c>
      <c r="L658">
        <v>1312.32</v>
      </c>
    </row>
    <row r="659" spans="1:12" x14ac:dyDescent="0.25">
      <c r="A659" t="s">
        <v>686</v>
      </c>
      <c r="B659">
        <v>58</v>
      </c>
      <c r="C659" t="s">
        <v>13</v>
      </c>
      <c r="D659" t="s">
        <v>14</v>
      </c>
      <c r="E659" s="2">
        <v>45924</v>
      </c>
      <c r="F659" s="2">
        <v>45929</v>
      </c>
      <c r="G659">
        <v>5</v>
      </c>
      <c r="H659" t="s">
        <v>20</v>
      </c>
      <c r="I659">
        <v>0</v>
      </c>
      <c r="J659" t="s">
        <v>25</v>
      </c>
      <c r="K659" t="s">
        <v>47</v>
      </c>
      <c r="L659">
        <v>1460.09</v>
      </c>
    </row>
    <row r="660" spans="1:12" x14ac:dyDescent="0.25">
      <c r="A660" t="s">
        <v>687</v>
      </c>
      <c r="B660">
        <v>61</v>
      </c>
      <c r="C660" t="s">
        <v>24</v>
      </c>
      <c r="D660" t="s">
        <v>28</v>
      </c>
      <c r="E660" s="2">
        <v>45734</v>
      </c>
      <c r="F660" s="2">
        <v>45739</v>
      </c>
      <c r="G660">
        <v>5</v>
      </c>
      <c r="H660" t="s">
        <v>20</v>
      </c>
      <c r="I660">
        <v>0</v>
      </c>
      <c r="J660" t="s">
        <v>21</v>
      </c>
      <c r="K660" t="s">
        <v>17</v>
      </c>
      <c r="L660">
        <v>9282.49</v>
      </c>
    </row>
    <row r="661" spans="1:12" x14ac:dyDescent="0.25">
      <c r="A661" t="s">
        <v>688</v>
      </c>
      <c r="B661">
        <v>57</v>
      </c>
      <c r="C661" t="s">
        <v>24</v>
      </c>
      <c r="D661" t="s">
        <v>28</v>
      </c>
      <c r="E661" s="2">
        <v>45753</v>
      </c>
      <c r="F661" s="2">
        <v>45763</v>
      </c>
      <c r="G661">
        <v>10</v>
      </c>
      <c r="H661" t="s">
        <v>15</v>
      </c>
      <c r="I661">
        <v>2</v>
      </c>
      <c r="J661" t="s">
        <v>25</v>
      </c>
      <c r="K661" t="s">
        <v>47</v>
      </c>
      <c r="L661">
        <v>1758.57</v>
      </c>
    </row>
    <row r="662" spans="1:12" x14ac:dyDescent="0.25">
      <c r="A662" t="s">
        <v>689</v>
      </c>
      <c r="B662">
        <v>56</v>
      </c>
      <c r="C662" t="s">
        <v>13</v>
      </c>
      <c r="D662" t="s">
        <v>34</v>
      </c>
      <c r="E662" s="2">
        <v>45779</v>
      </c>
      <c r="F662" s="2">
        <v>45785</v>
      </c>
      <c r="G662">
        <v>6</v>
      </c>
      <c r="H662" t="s">
        <v>20</v>
      </c>
      <c r="I662">
        <v>0</v>
      </c>
      <c r="J662" t="s">
        <v>25</v>
      </c>
      <c r="K662" t="s">
        <v>22</v>
      </c>
      <c r="L662">
        <v>2127.35</v>
      </c>
    </row>
    <row r="663" spans="1:12" x14ac:dyDescent="0.25">
      <c r="A663" t="s">
        <v>690</v>
      </c>
      <c r="B663">
        <v>29</v>
      </c>
      <c r="C663" t="s">
        <v>24</v>
      </c>
      <c r="D663" t="s">
        <v>34</v>
      </c>
      <c r="E663" s="2">
        <v>45677</v>
      </c>
      <c r="F663" s="2">
        <v>45690</v>
      </c>
      <c r="G663">
        <v>13</v>
      </c>
      <c r="H663" t="s">
        <v>15</v>
      </c>
      <c r="I663">
        <v>1</v>
      </c>
      <c r="J663" t="s">
        <v>29</v>
      </c>
      <c r="K663" t="s">
        <v>17</v>
      </c>
      <c r="L663">
        <v>2734.13</v>
      </c>
    </row>
    <row r="664" spans="1:12" x14ac:dyDescent="0.25">
      <c r="A664" t="s">
        <v>691</v>
      </c>
      <c r="B664">
        <v>85</v>
      </c>
      <c r="C664" t="s">
        <v>24</v>
      </c>
      <c r="D664" t="s">
        <v>32</v>
      </c>
      <c r="E664" s="2">
        <v>45832</v>
      </c>
      <c r="F664" s="2">
        <v>45840</v>
      </c>
      <c r="G664">
        <v>8</v>
      </c>
      <c r="H664" t="s">
        <v>20</v>
      </c>
      <c r="I664">
        <v>0</v>
      </c>
      <c r="J664" t="s">
        <v>21</v>
      </c>
      <c r="K664" t="s">
        <v>22</v>
      </c>
      <c r="L664">
        <v>12421.01</v>
      </c>
    </row>
    <row r="665" spans="1:12" x14ac:dyDescent="0.25">
      <c r="A665" t="s">
        <v>692</v>
      </c>
      <c r="B665">
        <v>44</v>
      </c>
      <c r="C665" t="s">
        <v>13</v>
      </c>
      <c r="D665" t="s">
        <v>40</v>
      </c>
      <c r="E665" s="2">
        <v>45922</v>
      </c>
      <c r="F665" s="2">
        <v>45933</v>
      </c>
      <c r="G665">
        <v>11</v>
      </c>
      <c r="H665" t="s">
        <v>20</v>
      </c>
      <c r="I665">
        <v>0</v>
      </c>
      <c r="J665" t="s">
        <v>29</v>
      </c>
      <c r="K665" t="s">
        <v>17</v>
      </c>
      <c r="L665">
        <v>13039.75</v>
      </c>
    </row>
    <row r="666" spans="1:12" x14ac:dyDescent="0.25">
      <c r="A666" t="s">
        <v>693</v>
      </c>
      <c r="B666">
        <v>23</v>
      </c>
      <c r="C666" t="s">
        <v>13</v>
      </c>
      <c r="D666" t="s">
        <v>32</v>
      </c>
      <c r="E666" s="2">
        <v>45717</v>
      </c>
      <c r="F666" s="2">
        <v>45718</v>
      </c>
      <c r="G666">
        <v>1</v>
      </c>
      <c r="H666" t="s">
        <v>20</v>
      </c>
      <c r="I666">
        <v>0</v>
      </c>
      <c r="J666" t="s">
        <v>29</v>
      </c>
      <c r="K666" t="s">
        <v>22</v>
      </c>
      <c r="L666">
        <v>1994.99</v>
      </c>
    </row>
    <row r="667" spans="1:12" x14ac:dyDescent="0.25">
      <c r="A667" t="s">
        <v>694</v>
      </c>
      <c r="B667">
        <v>57</v>
      </c>
      <c r="C667" t="s">
        <v>13</v>
      </c>
      <c r="D667" t="s">
        <v>32</v>
      </c>
      <c r="E667" s="2">
        <v>45995</v>
      </c>
      <c r="F667" s="2">
        <v>46007</v>
      </c>
      <c r="G667">
        <v>12</v>
      </c>
      <c r="H667" t="s">
        <v>20</v>
      </c>
      <c r="I667">
        <v>0</v>
      </c>
      <c r="J667" t="s">
        <v>21</v>
      </c>
      <c r="K667" t="s">
        <v>22</v>
      </c>
      <c r="L667">
        <v>4655.2299999999996</v>
      </c>
    </row>
    <row r="668" spans="1:12" x14ac:dyDescent="0.25">
      <c r="A668" t="s">
        <v>695</v>
      </c>
      <c r="B668">
        <v>33</v>
      </c>
      <c r="C668" t="s">
        <v>24</v>
      </c>
      <c r="D668" t="s">
        <v>14</v>
      </c>
      <c r="E668" s="2">
        <v>45930</v>
      </c>
      <c r="F668" s="2">
        <v>45936</v>
      </c>
      <c r="G668">
        <v>6</v>
      </c>
      <c r="H668" t="s">
        <v>20</v>
      </c>
      <c r="I668">
        <v>0</v>
      </c>
      <c r="J668" t="s">
        <v>21</v>
      </c>
      <c r="K668" t="s">
        <v>47</v>
      </c>
      <c r="L668">
        <v>2159.6799999999998</v>
      </c>
    </row>
    <row r="669" spans="1:12" x14ac:dyDescent="0.25">
      <c r="A669" t="s">
        <v>696</v>
      </c>
      <c r="B669">
        <v>44</v>
      </c>
      <c r="C669" t="s">
        <v>24</v>
      </c>
      <c r="D669" t="s">
        <v>34</v>
      </c>
      <c r="E669" s="2">
        <v>45976</v>
      </c>
      <c r="F669" s="2">
        <v>45985</v>
      </c>
      <c r="G669">
        <v>9</v>
      </c>
      <c r="H669" t="s">
        <v>20</v>
      </c>
      <c r="I669">
        <v>0</v>
      </c>
      <c r="J669" t="s">
        <v>25</v>
      </c>
      <c r="K669" t="s">
        <v>47</v>
      </c>
      <c r="L669">
        <v>2552.5700000000002</v>
      </c>
    </row>
    <row r="670" spans="1:12" x14ac:dyDescent="0.25">
      <c r="A670" t="s">
        <v>697</v>
      </c>
      <c r="B670">
        <v>49</v>
      </c>
      <c r="C670" t="s">
        <v>13</v>
      </c>
      <c r="D670" t="s">
        <v>19</v>
      </c>
      <c r="E670" s="2">
        <v>46018</v>
      </c>
      <c r="F670" s="2">
        <v>46031</v>
      </c>
      <c r="G670">
        <v>13</v>
      </c>
      <c r="H670" t="s">
        <v>15</v>
      </c>
      <c r="I670">
        <v>10</v>
      </c>
      <c r="J670" t="s">
        <v>25</v>
      </c>
      <c r="K670" t="s">
        <v>17</v>
      </c>
      <c r="L670">
        <v>6932.89</v>
      </c>
    </row>
    <row r="671" spans="1:12" x14ac:dyDescent="0.25">
      <c r="A671" t="s">
        <v>698</v>
      </c>
      <c r="B671">
        <v>24</v>
      </c>
      <c r="C671" t="s">
        <v>13</v>
      </c>
      <c r="D671" t="s">
        <v>40</v>
      </c>
      <c r="E671" s="2">
        <v>45724</v>
      </c>
      <c r="F671" s="2">
        <v>45725</v>
      </c>
      <c r="G671">
        <v>1</v>
      </c>
      <c r="H671" t="s">
        <v>20</v>
      </c>
      <c r="I671">
        <v>0</v>
      </c>
      <c r="J671" t="s">
        <v>16</v>
      </c>
      <c r="K671" t="s">
        <v>22</v>
      </c>
      <c r="L671">
        <v>6683.75</v>
      </c>
    </row>
    <row r="672" spans="1:12" x14ac:dyDescent="0.25">
      <c r="A672" t="s">
        <v>699</v>
      </c>
      <c r="B672">
        <v>75</v>
      </c>
      <c r="C672" t="s">
        <v>24</v>
      </c>
      <c r="D672" t="s">
        <v>32</v>
      </c>
      <c r="E672" s="2">
        <v>45749</v>
      </c>
      <c r="F672" s="2">
        <v>45761</v>
      </c>
      <c r="G672">
        <v>12</v>
      </c>
      <c r="H672" t="s">
        <v>20</v>
      </c>
      <c r="I672">
        <v>0</v>
      </c>
      <c r="J672" t="s">
        <v>25</v>
      </c>
      <c r="K672" t="s">
        <v>22</v>
      </c>
      <c r="L672">
        <v>10837.03</v>
      </c>
    </row>
    <row r="673" spans="1:12" x14ac:dyDescent="0.25">
      <c r="A673" t="s">
        <v>700</v>
      </c>
      <c r="B673">
        <v>77</v>
      </c>
      <c r="C673" t="s">
        <v>13</v>
      </c>
      <c r="D673" t="s">
        <v>19</v>
      </c>
      <c r="E673" s="2">
        <v>46001</v>
      </c>
      <c r="F673" s="2">
        <v>46014</v>
      </c>
      <c r="G673">
        <v>13</v>
      </c>
      <c r="H673" t="s">
        <v>20</v>
      </c>
      <c r="I673">
        <v>0</v>
      </c>
      <c r="J673" t="s">
        <v>29</v>
      </c>
      <c r="K673" t="s">
        <v>22</v>
      </c>
      <c r="L673">
        <v>7105.97</v>
      </c>
    </row>
    <row r="674" spans="1:12" x14ac:dyDescent="0.25">
      <c r="A674" t="s">
        <v>701</v>
      </c>
      <c r="B674">
        <v>77</v>
      </c>
      <c r="C674" t="s">
        <v>24</v>
      </c>
      <c r="D674" t="s">
        <v>14</v>
      </c>
      <c r="E674" s="2">
        <v>46008</v>
      </c>
      <c r="F674" s="2">
        <v>46019</v>
      </c>
      <c r="G674">
        <v>11</v>
      </c>
      <c r="H674" t="s">
        <v>20</v>
      </c>
      <c r="I674">
        <v>0</v>
      </c>
      <c r="J674" t="s">
        <v>21</v>
      </c>
      <c r="K674" t="s">
        <v>22</v>
      </c>
      <c r="L674">
        <v>12985.9</v>
      </c>
    </row>
    <row r="675" spans="1:12" x14ac:dyDescent="0.25">
      <c r="A675" t="s">
        <v>702</v>
      </c>
      <c r="B675">
        <v>68</v>
      </c>
      <c r="C675" t="s">
        <v>13</v>
      </c>
      <c r="D675" t="s">
        <v>28</v>
      </c>
      <c r="E675" s="2">
        <v>45973</v>
      </c>
      <c r="F675" s="2">
        <v>45978</v>
      </c>
      <c r="G675">
        <v>5</v>
      </c>
      <c r="H675" t="s">
        <v>20</v>
      </c>
      <c r="I675">
        <v>0</v>
      </c>
      <c r="J675" t="s">
        <v>25</v>
      </c>
      <c r="K675" t="s">
        <v>47</v>
      </c>
      <c r="L675">
        <v>7072.6</v>
      </c>
    </row>
    <row r="676" spans="1:12" x14ac:dyDescent="0.25">
      <c r="A676" t="s">
        <v>703</v>
      </c>
      <c r="B676">
        <v>62</v>
      </c>
      <c r="C676" t="s">
        <v>24</v>
      </c>
      <c r="D676" t="s">
        <v>40</v>
      </c>
      <c r="E676" s="2">
        <v>45673</v>
      </c>
      <c r="F676" s="2">
        <v>45675</v>
      </c>
      <c r="G676">
        <v>2</v>
      </c>
      <c r="H676" t="s">
        <v>20</v>
      </c>
      <c r="I676">
        <v>0</v>
      </c>
      <c r="J676" t="s">
        <v>21</v>
      </c>
      <c r="K676" t="s">
        <v>47</v>
      </c>
      <c r="L676">
        <v>11635.15</v>
      </c>
    </row>
    <row r="677" spans="1:12" x14ac:dyDescent="0.25">
      <c r="A677" t="s">
        <v>704</v>
      </c>
      <c r="B677">
        <v>31</v>
      </c>
      <c r="C677" t="s">
        <v>24</v>
      </c>
      <c r="D677" t="s">
        <v>28</v>
      </c>
      <c r="E677" s="2">
        <v>45967</v>
      </c>
      <c r="F677" s="2">
        <v>45977</v>
      </c>
      <c r="G677">
        <v>10</v>
      </c>
      <c r="H677" t="s">
        <v>15</v>
      </c>
      <c r="I677">
        <v>26</v>
      </c>
      <c r="J677" t="s">
        <v>16</v>
      </c>
      <c r="K677" t="s">
        <v>47</v>
      </c>
      <c r="L677">
        <v>8564.17</v>
      </c>
    </row>
    <row r="678" spans="1:12" x14ac:dyDescent="0.25">
      <c r="A678" t="s">
        <v>705</v>
      </c>
      <c r="B678">
        <v>77</v>
      </c>
      <c r="C678" t="s">
        <v>24</v>
      </c>
      <c r="D678" t="s">
        <v>34</v>
      </c>
      <c r="E678" s="2">
        <v>45694</v>
      </c>
      <c r="F678" s="2">
        <v>45707</v>
      </c>
      <c r="G678">
        <v>13</v>
      </c>
      <c r="H678" t="s">
        <v>20</v>
      </c>
      <c r="I678">
        <v>0</v>
      </c>
      <c r="J678" t="s">
        <v>29</v>
      </c>
      <c r="K678" t="s">
        <v>22</v>
      </c>
      <c r="L678">
        <v>9502.69</v>
      </c>
    </row>
    <row r="679" spans="1:12" x14ac:dyDescent="0.25">
      <c r="A679" t="s">
        <v>706</v>
      </c>
      <c r="B679">
        <v>67</v>
      </c>
      <c r="C679" t="s">
        <v>13</v>
      </c>
      <c r="D679" t="s">
        <v>32</v>
      </c>
      <c r="E679" s="2">
        <v>45938</v>
      </c>
      <c r="F679" s="2">
        <v>45941</v>
      </c>
      <c r="G679">
        <v>3</v>
      </c>
      <c r="H679" t="s">
        <v>20</v>
      </c>
      <c r="I679">
        <v>0</v>
      </c>
      <c r="J679" t="s">
        <v>21</v>
      </c>
      <c r="K679" t="s">
        <v>17</v>
      </c>
      <c r="L679">
        <v>9069.07</v>
      </c>
    </row>
    <row r="680" spans="1:12" x14ac:dyDescent="0.25">
      <c r="A680" t="s">
        <v>707</v>
      </c>
      <c r="B680">
        <v>87</v>
      </c>
      <c r="C680" t="s">
        <v>13</v>
      </c>
      <c r="D680" t="s">
        <v>14</v>
      </c>
      <c r="E680" s="2">
        <v>45880</v>
      </c>
      <c r="F680" s="2">
        <v>45890</v>
      </c>
      <c r="G680">
        <v>10</v>
      </c>
      <c r="H680" t="s">
        <v>20</v>
      </c>
      <c r="I680">
        <v>0</v>
      </c>
      <c r="J680" t="s">
        <v>16</v>
      </c>
      <c r="K680" t="s">
        <v>17</v>
      </c>
      <c r="L680">
        <v>13997.52</v>
      </c>
    </row>
    <row r="681" spans="1:12" x14ac:dyDescent="0.25">
      <c r="A681" t="s">
        <v>708</v>
      </c>
      <c r="B681">
        <v>77</v>
      </c>
      <c r="C681" t="s">
        <v>24</v>
      </c>
      <c r="D681" t="s">
        <v>34</v>
      </c>
      <c r="E681" s="2">
        <v>45951</v>
      </c>
      <c r="F681" s="2">
        <v>45965</v>
      </c>
      <c r="G681">
        <v>14</v>
      </c>
      <c r="H681" t="s">
        <v>20</v>
      </c>
      <c r="I681">
        <v>0</v>
      </c>
      <c r="J681" t="s">
        <v>16</v>
      </c>
      <c r="K681" t="s">
        <v>47</v>
      </c>
      <c r="L681">
        <v>3054.52</v>
      </c>
    </row>
    <row r="682" spans="1:12" x14ac:dyDescent="0.25">
      <c r="A682" t="s">
        <v>709</v>
      </c>
      <c r="B682">
        <v>66</v>
      </c>
      <c r="C682" t="s">
        <v>24</v>
      </c>
      <c r="D682" t="s">
        <v>40</v>
      </c>
      <c r="E682" s="2">
        <v>45865</v>
      </c>
      <c r="F682" s="2">
        <v>45867</v>
      </c>
      <c r="G682">
        <v>2</v>
      </c>
      <c r="H682" t="s">
        <v>20</v>
      </c>
      <c r="I682">
        <v>0</v>
      </c>
      <c r="J682" t="s">
        <v>16</v>
      </c>
      <c r="K682" t="s">
        <v>22</v>
      </c>
      <c r="L682">
        <v>3655.37</v>
      </c>
    </row>
    <row r="683" spans="1:12" x14ac:dyDescent="0.25">
      <c r="A683" t="s">
        <v>710</v>
      </c>
      <c r="B683">
        <v>18</v>
      </c>
      <c r="C683" t="s">
        <v>13</v>
      </c>
      <c r="D683" t="s">
        <v>28</v>
      </c>
      <c r="E683" s="2">
        <v>45729</v>
      </c>
      <c r="F683" s="2">
        <v>45739</v>
      </c>
      <c r="G683">
        <v>10</v>
      </c>
      <c r="H683" t="s">
        <v>20</v>
      </c>
      <c r="I683">
        <v>0</v>
      </c>
      <c r="J683" t="s">
        <v>21</v>
      </c>
      <c r="K683" t="s">
        <v>47</v>
      </c>
      <c r="L683">
        <v>8203.2099999999991</v>
      </c>
    </row>
    <row r="684" spans="1:12" x14ac:dyDescent="0.25">
      <c r="A684" t="s">
        <v>711</v>
      </c>
      <c r="B684">
        <v>43</v>
      </c>
      <c r="C684" t="s">
        <v>13</v>
      </c>
      <c r="D684" t="s">
        <v>28</v>
      </c>
      <c r="E684" s="2">
        <v>45857</v>
      </c>
      <c r="F684" s="2">
        <v>45867</v>
      </c>
      <c r="G684">
        <v>10</v>
      </c>
      <c r="H684" t="s">
        <v>20</v>
      </c>
      <c r="I684">
        <v>0</v>
      </c>
      <c r="J684" t="s">
        <v>25</v>
      </c>
      <c r="K684" t="s">
        <v>47</v>
      </c>
      <c r="L684">
        <v>8769.01</v>
      </c>
    </row>
    <row r="685" spans="1:12" x14ac:dyDescent="0.25">
      <c r="A685" t="s">
        <v>712</v>
      </c>
      <c r="B685">
        <v>73</v>
      </c>
      <c r="C685" t="s">
        <v>24</v>
      </c>
      <c r="D685" t="s">
        <v>19</v>
      </c>
      <c r="E685" s="2">
        <v>46005</v>
      </c>
      <c r="F685" s="2">
        <v>46010</v>
      </c>
      <c r="G685">
        <v>5</v>
      </c>
      <c r="H685" t="s">
        <v>20</v>
      </c>
      <c r="I685">
        <v>0</v>
      </c>
      <c r="J685" t="s">
        <v>16</v>
      </c>
      <c r="K685" t="s">
        <v>17</v>
      </c>
      <c r="L685">
        <v>14803.11</v>
      </c>
    </row>
    <row r="686" spans="1:12" x14ac:dyDescent="0.25">
      <c r="A686" t="s">
        <v>713</v>
      </c>
      <c r="B686">
        <v>55</v>
      </c>
      <c r="C686" t="s">
        <v>13</v>
      </c>
      <c r="D686" t="s">
        <v>32</v>
      </c>
      <c r="E686" s="2">
        <v>45864</v>
      </c>
      <c r="F686" s="2">
        <v>45878</v>
      </c>
      <c r="G686">
        <v>14</v>
      </c>
      <c r="H686" t="s">
        <v>15</v>
      </c>
      <c r="I686">
        <v>29</v>
      </c>
      <c r="J686" t="s">
        <v>16</v>
      </c>
      <c r="K686" t="s">
        <v>22</v>
      </c>
      <c r="L686">
        <v>10698.63</v>
      </c>
    </row>
    <row r="687" spans="1:12" x14ac:dyDescent="0.25">
      <c r="A687" t="s">
        <v>714</v>
      </c>
      <c r="B687">
        <v>21</v>
      </c>
      <c r="C687" t="s">
        <v>13</v>
      </c>
      <c r="D687" t="s">
        <v>40</v>
      </c>
      <c r="E687" s="2">
        <v>45841</v>
      </c>
      <c r="F687" s="2">
        <v>45843</v>
      </c>
      <c r="G687">
        <v>2</v>
      </c>
      <c r="H687" t="s">
        <v>20</v>
      </c>
      <c r="I687">
        <v>0</v>
      </c>
      <c r="J687" t="s">
        <v>29</v>
      </c>
      <c r="K687" t="s">
        <v>17</v>
      </c>
      <c r="L687">
        <v>5112.8500000000004</v>
      </c>
    </row>
    <row r="688" spans="1:12" x14ac:dyDescent="0.25">
      <c r="A688" t="s">
        <v>715</v>
      </c>
      <c r="B688">
        <v>87</v>
      </c>
      <c r="C688" t="s">
        <v>13</v>
      </c>
      <c r="D688" t="s">
        <v>28</v>
      </c>
      <c r="E688" s="2">
        <v>45853</v>
      </c>
      <c r="F688" s="2">
        <v>45860</v>
      </c>
      <c r="G688">
        <v>7</v>
      </c>
      <c r="H688" t="s">
        <v>20</v>
      </c>
      <c r="I688">
        <v>0</v>
      </c>
      <c r="J688" t="s">
        <v>21</v>
      </c>
      <c r="K688" t="s">
        <v>47</v>
      </c>
      <c r="L688">
        <v>2516.5</v>
      </c>
    </row>
    <row r="689" spans="1:12" x14ac:dyDescent="0.25">
      <c r="A689" t="s">
        <v>716</v>
      </c>
      <c r="B689">
        <v>64</v>
      </c>
      <c r="C689" t="s">
        <v>24</v>
      </c>
      <c r="D689" t="s">
        <v>14</v>
      </c>
      <c r="E689" s="2">
        <v>45942</v>
      </c>
      <c r="F689" s="2">
        <v>45949</v>
      </c>
      <c r="G689">
        <v>7</v>
      </c>
      <c r="H689" t="s">
        <v>20</v>
      </c>
      <c r="I689">
        <v>0</v>
      </c>
      <c r="J689" t="s">
        <v>25</v>
      </c>
      <c r="K689" t="s">
        <v>17</v>
      </c>
      <c r="L689">
        <v>2320.46</v>
      </c>
    </row>
    <row r="690" spans="1:12" x14ac:dyDescent="0.25">
      <c r="A690" t="s">
        <v>717</v>
      </c>
      <c r="B690">
        <v>36</v>
      </c>
      <c r="C690" t="s">
        <v>24</v>
      </c>
      <c r="D690" t="s">
        <v>28</v>
      </c>
      <c r="E690" s="2">
        <v>45663</v>
      </c>
      <c r="F690" s="2">
        <v>45665</v>
      </c>
      <c r="G690">
        <v>2</v>
      </c>
      <c r="H690" t="s">
        <v>20</v>
      </c>
      <c r="I690">
        <v>0</v>
      </c>
      <c r="J690" t="s">
        <v>29</v>
      </c>
      <c r="K690" t="s">
        <v>22</v>
      </c>
      <c r="L690">
        <v>1727.62</v>
      </c>
    </row>
    <row r="691" spans="1:12" x14ac:dyDescent="0.25">
      <c r="A691" t="s">
        <v>718</v>
      </c>
      <c r="B691">
        <v>76</v>
      </c>
      <c r="C691" t="s">
        <v>24</v>
      </c>
      <c r="D691" t="s">
        <v>34</v>
      </c>
      <c r="E691" s="2">
        <v>45986</v>
      </c>
      <c r="F691" s="2">
        <v>45999</v>
      </c>
      <c r="G691">
        <v>13</v>
      </c>
      <c r="H691" t="s">
        <v>20</v>
      </c>
      <c r="I691">
        <v>0</v>
      </c>
      <c r="J691" t="s">
        <v>21</v>
      </c>
      <c r="K691" t="s">
        <v>47</v>
      </c>
      <c r="L691">
        <v>7886.52</v>
      </c>
    </row>
    <row r="692" spans="1:12" x14ac:dyDescent="0.25">
      <c r="A692" t="s">
        <v>719</v>
      </c>
      <c r="B692">
        <v>63</v>
      </c>
      <c r="C692" t="s">
        <v>13</v>
      </c>
      <c r="D692" t="s">
        <v>14</v>
      </c>
      <c r="E692" s="2">
        <v>45940</v>
      </c>
      <c r="F692" s="2">
        <v>45954</v>
      </c>
      <c r="G692">
        <v>14</v>
      </c>
      <c r="H692" t="s">
        <v>20</v>
      </c>
      <c r="I692">
        <v>0</v>
      </c>
      <c r="J692" t="s">
        <v>29</v>
      </c>
      <c r="K692" t="s">
        <v>17</v>
      </c>
      <c r="L692">
        <v>607.73</v>
      </c>
    </row>
    <row r="693" spans="1:12" x14ac:dyDescent="0.25">
      <c r="A693" t="s">
        <v>720</v>
      </c>
      <c r="B693">
        <v>82</v>
      </c>
      <c r="C693" t="s">
        <v>24</v>
      </c>
      <c r="D693" t="s">
        <v>40</v>
      </c>
      <c r="E693" s="2">
        <v>45913</v>
      </c>
      <c r="F693" s="2">
        <v>45927</v>
      </c>
      <c r="G693">
        <v>14</v>
      </c>
      <c r="H693" t="s">
        <v>20</v>
      </c>
      <c r="I693">
        <v>0</v>
      </c>
      <c r="J693" t="s">
        <v>25</v>
      </c>
      <c r="K693" t="s">
        <v>22</v>
      </c>
      <c r="L693">
        <v>14684.39</v>
      </c>
    </row>
    <row r="694" spans="1:12" x14ac:dyDescent="0.25">
      <c r="A694" t="s">
        <v>721</v>
      </c>
      <c r="B694">
        <v>32</v>
      </c>
      <c r="C694" t="s">
        <v>24</v>
      </c>
      <c r="D694" t="s">
        <v>28</v>
      </c>
      <c r="E694" s="2">
        <v>45948</v>
      </c>
      <c r="F694" s="2">
        <v>45956</v>
      </c>
      <c r="G694">
        <v>8</v>
      </c>
      <c r="H694" t="s">
        <v>20</v>
      </c>
      <c r="I694">
        <v>0</v>
      </c>
      <c r="J694" t="s">
        <v>16</v>
      </c>
      <c r="K694" t="s">
        <v>22</v>
      </c>
      <c r="L694">
        <v>11087.69</v>
      </c>
    </row>
    <row r="695" spans="1:12" x14ac:dyDescent="0.25">
      <c r="A695" t="s">
        <v>722</v>
      </c>
      <c r="B695">
        <v>53</v>
      </c>
      <c r="C695" t="s">
        <v>24</v>
      </c>
      <c r="D695" t="s">
        <v>34</v>
      </c>
      <c r="E695" s="2">
        <v>45927</v>
      </c>
      <c r="F695" s="2">
        <v>45941</v>
      </c>
      <c r="G695">
        <v>14</v>
      </c>
      <c r="H695" t="s">
        <v>20</v>
      </c>
      <c r="I695">
        <v>0</v>
      </c>
      <c r="J695" t="s">
        <v>16</v>
      </c>
      <c r="K695" t="s">
        <v>17</v>
      </c>
      <c r="L695">
        <v>13403.77</v>
      </c>
    </row>
    <row r="696" spans="1:12" x14ac:dyDescent="0.25">
      <c r="A696" t="s">
        <v>723</v>
      </c>
      <c r="B696">
        <v>27</v>
      </c>
      <c r="C696" t="s">
        <v>24</v>
      </c>
      <c r="D696" t="s">
        <v>34</v>
      </c>
      <c r="E696" s="2">
        <v>45703</v>
      </c>
      <c r="F696" s="2">
        <v>45707</v>
      </c>
      <c r="G696">
        <v>4</v>
      </c>
      <c r="H696" t="s">
        <v>20</v>
      </c>
      <c r="I696">
        <v>0</v>
      </c>
      <c r="J696" t="s">
        <v>16</v>
      </c>
      <c r="K696" t="s">
        <v>47</v>
      </c>
      <c r="L696">
        <v>8257.98</v>
      </c>
    </row>
    <row r="697" spans="1:12" x14ac:dyDescent="0.25">
      <c r="A697" t="s">
        <v>724</v>
      </c>
      <c r="B697">
        <v>78</v>
      </c>
      <c r="C697" t="s">
        <v>24</v>
      </c>
      <c r="D697" t="s">
        <v>40</v>
      </c>
      <c r="E697" s="2">
        <v>45663</v>
      </c>
      <c r="F697" s="2">
        <v>45671</v>
      </c>
      <c r="G697">
        <v>8</v>
      </c>
      <c r="H697" t="s">
        <v>20</v>
      </c>
      <c r="I697">
        <v>0</v>
      </c>
      <c r="J697" t="s">
        <v>25</v>
      </c>
      <c r="K697" t="s">
        <v>47</v>
      </c>
      <c r="L697">
        <v>4693.5200000000004</v>
      </c>
    </row>
    <row r="698" spans="1:12" x14ac:dyDescent="0.25">
      <c r="A698" t="s">
        <v>725</v>
      </c>
      <c r="B698">
        <v>56</v>
      </c>
      <c r="C698" t="s">
        <v>24</v>
      </c>
      <c r="D698" t="s">
        <v>19</v>
      </c>
      <c r="E698" s="2">
        <v>45676</v>
      </c>
      <c r="F698" s="2">
        <v>45688</v>
      </c>
      <c r="G698">
        <v>12</v>
      </c>
      <c r="H698" t="s">
        <v>20</v>
      </c>
      <c r="I698">
        <v>0</v>
      </c>
      <c r="J698" t="s">
        <v>29</v>
      </c>
      <c r="K698" t="s">
        <v>17</v>
      </c>
      <c r="L698">
        <v>2951.65</v>
      </c>
    </row>
    <row r="699" spans="1:12" x14ac:dyDescent="0.25">
      <c r="A699" t="s">
        <v>726</v>
      </c>
      <c r="B699">
        <v>21</v>
      </c>
      <c r="C699" t="s">
        <v>24</v>
      </c>
      <c r="D699" t="s">
        <v>40</v>
      </c>
      <c r="E699" s="2">
        <v>45684</v>
      </c>
      <c r="F699" s="2">
        <v>45695</v>
      </c>
      <c r="G699">
        <v>11</v>
      </c>
      <c r="H699" t="s">
        <v>20</v>
      </c>
      <c r="I699">
        <v>0</v>
      </c>
      <c r="J699" t="s">
        <v>16</v>
      </c>
      <c r="K699" t="s">
        <v>22</v>
      </c>
      <c r="L699">
        <v>7831.14</v>
      </c>
    </row>
    <row r="700" spans="1:12" x14ac:dyDescent="0.25">
      <c r="A700" t="s">
        <v>727</v>
      </c>
      <c r="B700">
        <v>53</v>
      </c>
      <c r="C700" t="s">
        <v>24</v>
      </c>
      <c r="D700" t="s">
        <v>32</v>
      </c>
      <c r="E700" s="2">
        <v>45800</v>
      </c>
      <c r="F700" s="2">
        <v>45805</v>
      </c>
      <c r="G700">
        <v>5</v>
      </c>
      <c r="H700" t="s">
        <v>15</v>
      </c>
      <c r="I700">
        <v>1</v>
      </c>
      <c r="J700" t="s">
        <v>16</v>
      </c>
      <c r="K700" t="s">
        <v>17</v>
      </c>
      <c r="L700">
        <v>3031.9</v>
      </c>
    </row>
    <row r="701" spans="1:12" x14ac:dyDescent="0.25">
      <c r="A701" t="s">
        <v>728</v>
      </c>
      <c r="B701">
        <v>75</v>
      </c>
      <c r="C701" t="s">
        <v>24</v>
      </c>
      <c r="D701" t="s">
        <v>14</v>
      </c>
      <c r="E701" s="2">
        <v>45960</v>
      </c>
      <c r="F701" s="2">
        <v>45972</v>
      </c>
      <c r="G701">
        <v>12</v>
      </c>
      <c r="H701" t="s">
        <v>15</v>
      </c>
      <c r="I701">
        <v>9</v>
      </c>
      <c r="J701" t="s">
        <v>21</v>
      </c>
      <c r="K701" t="s">
        <v>47</v>
      </c>
      <c r="L701">
        <v>3121.73</v>
      </c>
    </row>
    <row r="702" spans="1:12" x14ac:dyDescent="0.25">
      <c r="A702" t="s">
        <v>729</v>
      </c>
      <c r="B702">
        <v>28</v>
      </c>
      <c r="C702" t="s">
        <v>13</v>
      </c>
      <c r="D702" t="s">
        <v>34</v>
      </c>
      <c r="E702" s="2">
        <v>45928</v>
      </c>
      <c r="F702" s="2">
        <v>45942</v>
      </c>
      <c r="G702">
        <v>14</v>
      </c>
      <c r="H702" t="s">
        <v>15</v>
      </c>
      <c r="I702">
        <v>30</v>
      </c>
      <c r="J702" t="s">
        <v>21</v>
      </c>
      <c r="K702" t="s">
        <v>47</v>
      </c>
      <c r="L702">
        <v>11415.04</v>
      </c>
    </row>
    <row r="703" spans="1:12" x14ac:dyDescent="0.25">
      <c r="A703" t="s">
        <v>730</v>
      </c>
      <c r="B703">
        <v>74</v>
      </c>
      <c r="C703" t="s">
        <v>13</v>
      </c>
      <c r="D703" t="s">
        <v>14</v>
      </c>
      <c r="E703" s="2">
        <v>45869</v>
      </c>
      <c r="F703" s="2">
        <v>45882</v>
      </c>
      <c r="G703">
        <v>13</v>
      </c>
      <c r="H703" t="s">
        <v>20</v>
      </c>
      <c r="I703">
        <v>0</v>
      </c>
      <c r="J703" t="s">
        <v>25</v>
      </c>
      <c r="K703" t="s">
        <v>22</v>
      </c>
      <c r="L703">
        <v>9812.7900000000009</v>
      </c>
    </row>
    <row r="704" spans="1:12" x14ac:dyDescent="0.25">
      <c r="A704" t="s">
        <v>731</v>
      </c>
      <c r="B704">
        <v>69</v>
      </c>
      <c r="C704" t="s">
        <v>24</v>
      </c>
      <c r="D704" t="s">
        <v>32</v>
      </c>
      <c r="E704" s="2">
        <v>45717</v>
      </c>
      <c r="F704" s="2">
        <v>45718</v>
      </c>
      <c r="G704">
        <v>1</v>
      </c>
      <c r="H704" t="s">
        <v>15</v>
      </c>
      <c r="I704">
        <v>16</v>
      </c>
      <c r="J704" t="s">
        <v>21</v>
      </c>
      <c r="K704" t="s">
        <v>47</v>
      </c>
      <c r="L704">
        <v>10410.89</v>
      </c>
    </row>
    <row r="705" spans="1:12" x14ac:dyDescent="0.25">
      <c r="A705" t="s">
        <v>732</v>
      </c>
      <c r="B705">
        <v>85</v>
      </c>
      <c r="C705" t="s">
        <v>24</v>
      </c>
      <c r="D705" t="s">
        <v>19</v>
      </c>
      <c r="E705" s="2">
        <v>45857</v>
      </c>
      <c r="F705" s="2">
        <v>45865</v>
      </c>
      <c r="G705">
        <v>8</v>
      </c>
      <c r="H705" t="s">
        <v>15</v>
      </c>
      <c r="I705">
        <v>10</v>
      </c>
      <c r="J705" t="s">
        <v>29</v>
      </c>
      <c r="K705" t="s">
        <v>47</v>
      </c>
      <c r="L705">
        <v>10338.15</v>
      </c>
    </row>
    <row r="706" spans="1:12" x14ac:dyDescent="0.25">
      <c r="A706" t="s">
        <v>733</v>
      </c>
      <c r="B706">
        <v>30</v>
      </c>
      <c r="C706" t="s">
        <v>24</v>
      </c>
      <c r="D706" t="s">
        <v>40</v>
      </c>
      <c r="E706" s="2">
        <v>45929</v>
      </c>
      <c r="F706" s="2">
        <v>45940</v>
      </c>
      <c r="G706">
        <v>11</v>
      </c>
      <c r="H706" t="s">
        <v>20</v>
      </c>
      <c r="I706">
        <v>0</v>
      </c>
      <c r="J706" t="s">
        <v>25</v>
      </c>
      <c r="K706" t="s">
        <v>47</v>
      </c>
      <c r="L706">
        <v>4419.7299999999996</v>
      </c>
    </row>
    <row r="707" spans="1:12" x14ac:dyDescent="0.25">
      <c r="A707" t="s">
        <v>734</v>
      </c>
      <c r="B707">
        <v>68</v>
      </c>
      <c r="C707" t="s">
        <v>24</v>
      </c>
      <c r="D707" t="s">
        <v>28</v>
      </c>
      <c r="E707" s="2">
        <v>45708</v>
      </c>
      <c r="F707" s="2">
        <v>45713</v>
      </c>
      <c r="G707">
        <v>5</v>
      </c>
      <c r="H707" t="s">
        <v>20</v>
      </c>
      <c r="I707">
        <v>0</v>
      </c>
      <c r="J707" t="s">
        <v>21</v>
      </c>
      <c r="K707" t="s">
        <v>17</v>
      </c>
      <c r="L707">
        <v>10242.4</v>
      </c>
    </row>
    <row r="708" spans="1:12" x14ac:dyDescent="0.25">
      <c r="A708" t="s">
        <v>735</v>
      </c>
      <c r="B708">
        <v>41</v>
      </c>
      <c r="C708" t="s">
        <v>24</v>
      </c>
      <c r="D708" t="s">
        <v>34</v>
      </c>
      <c r="E708" s="2">
        <v>45757</v>
      </c>
      <c r="F708" s="2">
        <v>45766</v>
      </c>
      <c r="G708">
        <v>9</v>
      </c>
      <c r="H708" t="s">
        <v>20</v>
      </c>
      <c r="I708">
        <v>0</v>
      </c>
      <c r="J708" t="s">
        <v>16</v>
      </c>
      <c r="K708" t="s">
        <v>17</v>
      </c>
      <c r="L708">
        <v>622.9</v>
      </c>
    </row>
    <row r="709" spans="1:12" x14ac:dyDescent="0.25">
      <c r="A709" t="s">
        <v>736</v>
      </c>
      <c r="B709">
        <v>85</v>
      </c>
      <c r="C709" t="s">
        <v>13</v>
      </c>
      <c r="D709" t="s">
        <v>28</v>
      </c>
      <c r="E709" s="2">
        <v>45692</v>
      </c>
      <c r="F709" s="2">
        <v>45693</v>
      </c>
      <c r="G709">
        <v>1</v>
      </c>
      <c r="H709" t="s">
        <v>20</v>
      </c>
      <c r="I709">
        <v>0</v>
      </c>
      <c r="J709" t="s">
        <v>29</v>
      </c>
      <c r="K709" t="s">
        <v>47</v>
      </c>
      <c r="L709">
        <v>3681.54</v>
      </c>
    </row>
    <row r="710" spans="1:12" x14ac:dyDescent="0.25">
      <c r="A710" t="s">
        <v>737</v>
      </c>
      <c r="B710">
        <v>21</v>
      </c>
      <c r="C710" t="s">
        <v>13</v>
      </c>
      <c r="D710" t="s">
        <v>19</v>
      </c>
      <c r="E710" s="2">
        <v>45803</v>
      </c>
      <c r="F710" s="2">
        <v>45808</v>
      </c>
      <c r="G710">
        <v>5</v>
      </c>
      <c r="H710" t="s">
        <v>15</v>
      </c>
      <c r="I710">
        <v>20</v>
      </c>
      <c r="J710" t="s">
        <v>21</v>
      </c>
      <c r="K710" t="s">
        <v>17</v>
      </c>
      <c r="L710">
        <v>9752.2000000000007</v>
      </c>
    </row>
    <row r="711" spans="1:12" x14ac:dyDescent="0.25">
      <c r="A711" t="s">
        <v>738</v>
      </c>
      <c r="B711">
        <v>34</v>
      </c>
      <c r="C711" t="s">
        <v>24</v>
      </c>
      <c r="D711" t="s">
        <v>28</v>
      </c>
      <c r="E711" s="2">
        <v>46020</v>
      </c>
      <c r="F711" s="2">
        <v>46022</v>
      </c>
      <c r="G711">
        <v>2</v>
      </c>
      <c r="H711" t="s">
        <v>15</v>
      </c>
      <c r="I711">
        <v>25</v>
      </c>
      <c r="J711" t="s">
        <v>21</v>
      </c>
      <c r="K711" t="s">
        <v>22</v>
      </c>
      <c r="L711">
        <v>10586.98</v>
      </c>
    </row>
    <row r="712" spans="1:12" x14ac:dyDescent="0.25">
      <c r="A712" t="s">
        <v>739</v>
      </c>
      <c r="B712">
        <v>27</v>
      </c>
      <c r="C712" t="s">
        <v>24</v>
      </c>
      <c r="D712" t="s">
        <v>32</v>
      </c>
      <c r="E712" s="2">
        <v>45787</v>
      </c>
      <c r="F712" s="2">
        <v>45792</v>
      </c>
      <c r="G712">
        <v>5</v>
      </c>
      <c r="H712" t="s">
        <v>20</v>
      </c>
      <c r="I712">
        <v>0</v>
      </c>
      <c r="J712" t="s">
        <v>29</v>
      </c>
      <c r="K712" t="s">
        <v>17</v>
      </c>
      <c r="L712">
        <v>13599.18</v>
      </c>
    </row>
    <row r="713" spans="1:12" x14ac:dyDescent="0.25">
      <c r="A713" t="s">
        <v>740</v>
      </c>
      <c r="B713">
        <v>27</v>
      </c>
      <c r="C713" t="s">
        <v>24</v>
      </c>
      <c r="D713" t="s">
        <v>19</v>
      </c>
      <c r="E713" s="2">
        <v>45823</v>
      </c>
      <c r="F713" s="2">
        <v>45828</v>
      </c>
      <c r="G713">
        <v>5</v>
      </c>
      <c r="H713" t="s">
        <v>15</v>
      </c>
      <c r="I713">
        <v>13</v>
      </c>
      <c r="J713" t="s">
        <v>29</v>
      </c>
      <c r="K713" t="s">
        <v>47</v>
      </c>
      <c r="L713">
        <v>14941.4</v>
      </c>
    </row>
    <row r="714" spans="1:12" x14ac:dyDescent="0.25">
      <c r="A714" t="s">
        <v>741</v>
      </c>
      <c r="B714">
        <v>74</v>
      </c>
      <c r="C714" t="s">
        <v>13</v>
      </c>
      <c r="D714" t="s">
        <v>40</v>
      </c>
      <c r="E714" s="2">
        <v>45790</v>
      </c>
      <c r="F714" s="2">
        <v>45804</v>
      </c>
      <c r="G714">
        <v>14</v>
      </c>
      <c r="H714" t="s">
        <v>15</v>
      </c>
      <c r="I714">
        <v>30</v>
      </c>
      <c r="J714" t="s">
        <v>21</v>
      </c>
      <c r="K714" t="s">
        <v>17</v>
      </c>
      <c r="L714">
        <v>6193.2</v>
      </c>
    </row>
    <row r="715" spans="1:12" x14ac:dyDescent="0.25">
      <c r="A715" t="s">
        <v>742</v>
      </c>
      <c r="B715">
        <v>87</v>
      </c>
      <c r="C715" t="s">
        <v>24</v>
      </c>
      <c r="D715" t="s">
        <v>14</v>
      </c>
      <c r="E715" s="2">
        <v>45988</v>
      </c>
      <c r="F715" s="2">
        <v>45996</v>
      </c>
      <c r="G715">
        <v>8</v>
      </c>
      <c r="H715" t="s">
        <v>15</v>
      </c>
      <c r="I715">
        <v>20</v>
      </c>
      <c r="J715" t="s">
        <v>16</v>
      </c>
      <c r="K715" t="s">
        <v>47</v>
      </c>
      <c r="L715">
        <v>10873.3</v>
      </c>
    </row>
    <row r="716" spans="1:12" x14ac:dyDescent="0.25">
      <c r="A716" t="s">
        <v>743</v>
      </c>
      <c r="B716">
        <v>50</v>
      </c>
      <c r="C716" t="s">
        <v>24</v>
      </c>
      <c r="D716" t="s">
        <v>19</v>
      </c>
      <c r="E716" s="2">
        <v>45710</v>
      </c>
      <c r="F716" s="2">
        <v>45711</v>
      </c>
      <c r="G716">
        <v>1</v>
      </c>
      <c r="H716" t="s">
        <v>15</v>
      </c>
      <c r="I716">
        <v>29</v>
      </c>
      <c r="J716" t="s">
        <v>29</v>
      </c>
      <c r="K716" t="s">
        <v>22</v>
      </c>
      <c r="L716">
        <v>9966.5499999999993</v>
      </c>
    </row>
    <row r="717" spans="1:12" x14ac:dyDescent="0.25">
      <c r="A717" t="s">
        <v>744</v>
      </c>
      <c r="B717">
        <v>52</v>
      </c>
      <c r="C717" t="s">
        <v>13</v>
      </c>
      <c r="D717" t="s">
        <v>28</v>
      </c>
      <c r="E717" s="2">
        <v>45658</v>
      </c>
      <c r="F717" s="2">
        <v>45659</v>
      </c>
      <c r="G717">
        <v>1</v>
      </c>
      <c r="H717" t="s">
        <v>20</v>
      </c>
      <c r="I717">
        <v>0</v>
      </c>
      <c r="J717" t="s">
        <v>25</v>
      </c>
      <c r="K717" t="s">
        <v>47</v>
      </c>
      <c r="L717">
        <v>8832.2800000000007</v>
      </c>
    </row>
    <row r="718" spans="1:12" x14ac:dyDescent="0.25">
      <c r="A718" t="s">
        <v>745</v>
      </c>
      <c r="B718">
        <v>80</v>
      </c>
      <c r="C718" t="s">
        <v>24</v>
      </c>
      <c r="D718" t="s">
        <v>40</v>
      </c>
      <c r="E718" s="2">
        <v>45921</v>
      </c>
      <c r="F718" s="2">
        <v>45933</v>
      </c>
      <c r="G718">
        <v>12</v>
      </c>
      <c r="H718" t="s">
        <v>20</v>
      </c>
      <c r="I718">
        <v>0</v>
      </c>
      <c r="J718" t="s">
        <v>29</v>
      </c>
      <c r="K718" t="s">
        <v>17</v>
      </c>
      <c r="L718">
        <v>11823.59</v>
      </c>
    </row>
    <row r="719" spans="1:12" x14ac:dyDescent="0.25">
      <c r="A719" t="s">
        <v>746</v>
      </c>
      <c r="B719">
        <v>67</v>
      </c>
      <c r="C719" t="s">
        <v>24</v>
      </c>
      <c r="D719" t="s">
        <v>19</v>
      </c>
      <c r="E719" s="2">
        <v>45693</v>
      </c>
      <c r="F719" s="2">
        <v>45702</v>
      </c>
      <c r="G719">
        <v>9</v>
      </c>
      <c r="H719" t="s">
        <v>15</v>
      </c>
      <c r="I719">
        <v>19</v>
      </c>
      <c r="J719" t="s">
        <v>25</v>
      </c>
      <c r="K719" t="s">
        <v>47</v>
      </c>
      <c r="L719">
        <v>10386.620000000001</v>
      </c>
    </row>
    <row r="720" spans="1:12" x14ac:dyDescent="0.25">
      <c r="A720" t="s">
        <v>747</v>
      </c>
      <c r="B720">
        <v>29</v>
      </c>
      <c r="C720" t="s">
        <v>24</v>
      </c>
      <c r="D720" t="s">
        <v>34</v>
      </c>
      <c r="E720" s="2">
        <v>45863</v>
      </c>
      <c r="F720" s="2">
        <v>45864</v>
      </c>
      <c r="G720">
        <v>1</v>
      </c>
      <c r="H720" t="s">
        <v>20</v>
      </c>
      <c r="I720">
        <v>0</v>
      </c>
      <c r="J720" t="s">
        <v>25</v>
      </c>
      <c r="K720" t="s">
        <v>22</v>
      </c>
      <c r="L720">
        <v>12697.13</v>
      </c>
    </row>
    <row r="721" spans="1:12" x14ac:dyDescent="0.25">
      <c r="A721" t="s">
        <v>748</v>
      </c>
      <c r="B721">
        <v>88</v>
      </c>
      <c r="C721" t="s">
        <v>13</v>
      </c>
      <c r="D721" t="s">
        <v>40</v>
      </c>
      <c r="E721" s="2">
        <v>45806</v>
      </c>
      <c r="F721" s="2">
        <v>45817</v>
      </c>
      <c r="G721">
        <v>11</v>
      </c>
      <c r="H721" t="s">
        <v>15</v>
      </c>
      <c r="I721">
        <v>22</v>
      </c>
      <c r="J721" t="s">
        <v>21</v>
      </c>
      <c r="K721" t="s">
        <v>47</v>
      </c>
      <c r="L721">
        <v>10590.29</v>
      </c>
    </row>
    <row r="722" spans="1:12" x14ac:dyDescent="0.25">
      <c r="A722" t="s">
        <v>749</v>
      </c>
      <c r="B722">
        <v>80</v>
      </c>
      <c r="C722" t="s">
        <v>13</v>
      </c>
      <c r="D722" t="s">
        <v>28</v>
      </c>
      <c r="E722" s="2">
        <v>45712</v>
      </c>
      <c r="F722" s="2">
        <v>45723</v>
      </c>
      <c r="G722">
        <v>11</v>
      </c>
      <c r="H722" t="s">
        <v>20</v>
      </c>
      <c r="I722">
        <v>0</v>
      </c>
      <c r="J722" t="s">
        <v>29</v>
      </c>
      <c r="K722" t="s">
        <v>17</v>
      </c>
      <c r="L722">
        <v>3247.24</v>
      </c>
    </row>
    <row r="723" spans="1:12" x14ac:dyDescent="0.25">
      <c r="A723" t="s">
        <v>750</v>
      </c>
      <c r="B723">
        <v>48</v>
      </c>
      <c r="C723" t="s">
        <v>24</v>
      </c>
      <c r="D723" t="s">
        <v>40</v>
      </c>
      <c r="E723" s="2">
        <v>45676</v>
      </c>
      <c r="F723" s="2">
        <v>45680</v>
      </c>
      <c r="G723">
        <v>4</v>
      </c>
      <c r="H723" t="s">
        <v>15</v>
      </c>
      <c r="I723">
        <v>3</v>
      </c>
      <c r="J723" t="s">
        <v>25</v>
      </c>
      <c r="K723" t="s">
        <v>47</v>
      </c>
      <c r="L723">
        <v>8242.1299999999992</v>
      </c>
    </row>
    <row r="724" spans="1:12" x14ac:dyDescent="0.25">
      <c r="A724" t="s">
        <v>751</v>
      </c>
      <c r="B724">
        <v>25</v>
      </c>
      <c r="C724" t="s">
        <v>24</v>
      </c>
      <c r="D724" t="s">
        <v>28</v>
      </c>
      <c r="E724" s="2">
        <v>45888</v>
      </c>
      <c r="F724" s="2">
        <v>45889</v>
      </c>
      <c r="G724">
        <v>1</v>
      </c>
      <c r="H724" t="s">
        <v>15</v>
      </c>
      <c r="I724">
        <v>2</v>
      </c>
      <c r="J724" t="s">
        <v>29</v>
      </c>
      <c r="K724" t="s">
        <v>22</v>
      </c>
      <c r="L724">
        <v>3569.33</v>
      </c>
    </row>
    <row r="725" spans="1:12" x14ac:dyDescent="0.25">
      <c r="A725" t="s">
        <v>752</v>
      </c>
      <c r="B725">
        <v>86</v>
      </c>
      <c r="C725" t="s">
        <v>13</v>
      </c>
      <c r="D725" t="s">
        <v>28</v>
      </c>
      <c r="E725" s="2">
        <v>45992</v>
      </c>
      <c r="F725" s="2">
        <v>46003</v>
      </c>
      <c r="G725">
        <v>11</v>
      </c>
      <c r="H725" t="s">
        <v>20</v>
      </c>
      <c r="I725">
        <v>0</v>
      </c>
      <c r="J725" t="s">
        <v>21</v>
      </c>
      <c r="K725" t="s">
        <v>22</v>
      </c>
      <c r="L725">
        <v>1034.73</v>
      </c>
    </row>
    <row r="726" spans="1:12" x14ac:dyDescent="0.25">
      <c r="A726" t="s">
        <v>753</v>
      </c>
      <c r="B726">
        <v>78</v>
      </c>
      <c r="C726" t="s">
        <v>13</v>
      </c>
      <c r="D726" t="s">
        <v>14</v>
      </c>
      <c r="E726" s="2">
        <v>45730</v>
      </c>
      <c r="F726" s="2">
        <v>45738</v>
      </c>
      <c r="G726">
        <v>8</v>
      </c>
      <c r="H726" t="s">
        <v>20</v>
      </c>
      <c r="I726">
        <v>0</v>
      </c>
      <c r="J726" t="s">
        <v>21</v>
      </c>
      <c r="K726" t="s">
        <v>22</v>
      </c>
      <c r="L726">
        <v>2997.61</v>
      </c>
    </row>
    <row r="727" spans="1:12" x14ac:dyDescent="0.25">
      <c r="A727" t="s">
        <v>754</v>
      </c>
      <c r="B727">
        <v>30</v>
      </c>
      <c r="C727" t="s">
        <v>24</v>
      </c>
      <c r="D727" t="s">
        <v>34</v>
      </c>
      <c r="E727" s="2">
        <v>45683</v>
      </c>
      <c r="F727" s="2">
        <v>45688</v>
      </c>
      <c r="G727">
        <v>5</v>
      </c>
      <c r="H727" t="s">
        <v>20</v>
      </c>
      <c r="I727">
        <v>0</v>
      </c>
      <c r="J727" t="s">
        <v>21</v>
      </c>
      <c r="K727" t="s">
        <v>17</v>
      </c>
      <c r="L727">
        <v>1427.39</v>
      </c>
    </row>
    <row r="728" spans="1:12" x14ac:dyDescent="0.25">
      <c r="A728" t="s">
        <v>755</v>
      </c>
      <c r="B728">
        <v>46</v>
      </c>
      <c r="C728" t="s">
        <v>13</v>
      </c>
      <c r="D728" t="s">
        <v>14</v>
      </c>
      <c r="E728" s="2">
        <v>45712</v>
      </c>
      <c r="F728" s="2">
        <v>45714</v>
      </c>
      <c r="G728">
        <v>2</v>
      </c>
      <c r="H728" t="s">
        <v>20</v>
      </c>
      <c r="I728">
        <v>0</v>
      </c>
      <c r="J728" t="s">
        <v>29</v>
      </c>
      <c r="K728" t="s">
        <v>47</v>
      </c>
      <c r="L728">
        <v>12267.05</v>
      </c>
    </row>
    <row r="729" spans="1:12" x14ac:dyDescent="0.25">
      <c r="A729" t="s">
        <v>756</v>
      </c>
      <c r="B729">
        <v>87</v>
      </c>
      <c r="C729" t="s">
        <v>13</v>
      </c>
      <c r="D729" t="s">
        <v>32</v>
      </c>
      <c r="E729" s="2">
        <v>46005</v>
      </c>
      <c r="F729" s="2">
        <v>46012</v>
      </c>
      <c r="G729">
        <v>7</v>
      </c>
      <c r="H729" t="s">
        <v>20</v>
      </c>
      <c r="I729">
        <v>0</v>
      </c>
      <c r="J729" t="s">
        <v>21</v>
      </c>
      <c r="K729" t="s">
        <v>22</v>
      </c>
      <c r="L729">
        <v>9099.74</v>
      </c>
    </row>
    <row r="730" spans="1:12" x14ac:dyDescent="0.25">
      <c r="A730" t="s">
        <v>757</v>
      </c>
      <c r="B730">
        <v>36</v>
      </c>
      <c r="C730" t="s">
        <v>24</v>
      </c>
      <c r="D730" t="s">
        <v>14</v>
      </c>
      <c r="E730" s="2">
        <v>45829</v>
      </c>
      <c r="F730" s="2">
        <v>45831</v>
      </c>
      <c r="G730">
        <v>2</v>
      </c>
      <c r="H730" t="s">
        <v>15</v>
      </c>
      <c r="I730">
        <v>23</v>
      </c>
      <c r="J730" t="s">
        <v>25</v>
      </c>
      <c r="K730" t="s">
        <v>17</v>
      </c>
      <c r="L730">
        <v>2892.59</v>
      </c>
    </row>
    <row r="731" spans="1:12" x14ac:dyDescent="0.25">
      <c r="A731" t="s">
        <v>758</v>
      </c>
      <c r="B731">
        <v>30</v>
      </c>
      <c r="C731" t="s">
        <v>24</v>
      </c>
      <c r="D731" t="s">
        <v>14</v>
      </c>
      <c r="E731" s="2">
        <v>45782</v>
      </c>
      <c r="F731" s="2">
        <v>45792</v>
      </c>
      <c r="G731">
        <v>10</v>
      </c>
      <c r="H731" t="s">
        <v>15</v>
      </c>
      <c r="I731">
        <v>1</v>
      </c>
      <c r="J731" t="s">
        <v>29</v>
      </c>
      <c r="K731" t="s">
        <v>22</v>
      </c>
      <c r="L731">
        <v>592.07000000000005</v>
      </c>
    </row>
    <row r="732" spans="1:12" x14ac:dyDescent="0.25">
      <c r="A732" t="s">
        <v>759</v>
      </c>
      <c r="B732">
        <v>54</v>
      </c>
      <c r="C732" t="s">
        <v>24</v>
      </c>
      <c r="D732" t="s">
        <v>28</v>
      </c>
      <c r="E732" s="2">
        <v>45749</v>
      </c>
      <c r="F732" s="2">
        <v>45751</v>
      </c>
      <c r="G732">
        <v>2</v>
      </c>
      <c r="H732" t="s">
        <v>20</v>
      </c>
      <c r="I732">
        <v>0</v>
      </c>
      <c r="J732" t="s">
        <v>29</v>
      </c>
      <c r="K732" t="s">
        <v>17</v>
      </c>
      <c r="L732">
        <v>2339.94</v>
      </c>
    </row>
    <row r="733" spans="1:12" x14ac:dyDescent="0.25">
      <c r="A733" t="s">
        <v>760</v>
      </c>
      <c r="B733">
        <v>75</v>
      </c>
      <c r="C733" t="s">
        <v>24</v>
      </c>
      <c r="D733" t="s">
        <v>14</v>
      </c>
      <c r="E733" s="2">
        <v>45731</v>
      </c>
      <c r="F733" s="2">
        <v>45742</v>
      </c>
      <c r="G733">
        <v>11</v>
      </c>
      <c r="H733" t="s">
        <v>15</v>
      </c>
      <c r="I733">
        <v>6</v>
      </c>
      <c r="J733" t="s">
        <v>16</v>
      </c>
      <c r="K733" t="s">
        <v>17</v>
      </c>
      <c r="L733">
        <v>3110.01</v>
      </c>
    </row>
    <row r="734" spans="1:12" x14ac:dyDescent="0.25">
      <c r="A734" t="s">
        <v>761</v>
      </c>
      <c r="B734">
        <v>56</v>
      </c>
      <c r="C734" t="s">
        <v>24</v>
      </c>
      <c r="D734" t="s">
        <v>40</v>
      </c>
      <c r="E734" s="2">
        <v>45913</v>
      </c>
      <c r="F734" s="2">
        <v>45923</v>
      </c>
      <c r="G734">
        <v>10</v>
      </c>
      <c r="H734" t="s">
        <v>20</v>
      </c>
      <c r="I734">
        <v>0</v>
      </c>
      <c r="J734" t="s">
        <v>16</v>
      </c>
      <c r="K734" t="s">
        <v>17</v>
      </c>
      <c r="L734">
        <v>3916.77</v>
      </c>
    </row>
    <row r="735" spans="1:12" x14ac:dyDescent="0.25">
      <c r="A735" t="s">
        <v>762</v>
      </c>
      <c r="B735">
        <v>64</v>
      </c>
      <c r="C735" t="s">
        <v>13</v>
      </c>
      <c r="D735" t="s">
        <v>40</v>
      </c>
      <c r="E735" s="2">
        <v>45718</v>
      </c>
      <c r="F735" s="2">
        <v>45727</v>
      </c>
      <c r="G735">
        <v>9</v>
      </c>
      <c r="H735" t="s">
        <v>20</v>
      </c>
      <c r="I735">
        <v>0</v>
      </c>
      <c r="J735" t="s">
        <v>21</v>
      </c>
      <c r="K735" t="s">
        <v>47</v>
      </c>
      <c r="L735">
        <v>1269.5</v>
      </c>
    </row>
    <row r="736" spans="1:12" x14ac:dyDescent="0.25">
      <c r="A736" t="s">
        <v>763</v>
      </c>
      <c r="B736">
        <v>78</v>
      </c>
      <c r="C736" t="s">
        <v>24</v>
      </c>
      <c r="D736" t="s">
        <v>14</v>
      </c>
      <c r="E736" s="2">
        <v>45715</v>
      </c>
      <c r="F736" s="2">
        <v>45728</v>
      </c>
      <c r="G736">
        <v>13</v>
      </c>
      <c r="H736" t="s">
        <v>15</v>
      </c>
      <c r="I736">
        <v>6</v>
      </c>
      <c r="J736" t="s">
        <v>16</v>
      </c>
      <c r="K736" t="s">
        <v>22</v>
      </c>
      <c r="L736">
        <v>9850.48</v>
      </c>
    </row>
    <row r="737" spans="1:12" x14ac:dyDescent="0.25">
      <c r="A737" t="s">
        <v>764</v>
      </c>
      <c r="B737">
        <v>60</v>
      </c>
      <c r="C737" t="s">
        <v>24</v>
      </c>
      <c r="D737" t="s">
        <v>19</v>
      </c>
      <c r="E737" s="2">
        <v>45803</v>
      </c>
      <c r="F737" s="2">
        <v>45807</v>
      </c>
      <c r="G737">
        <v>4</v>
      </c>
      <c r="H737" t="s">
        <v>20</v>
      </c>
      <c r="I737">
        <v>0</v>
      </c>
      <c r="J737" t="s">
        <v>16</v>
      </c>
      <c r="K737" t="s">
        <v>17</v>
      </c>
      <c r="L737">
        <v>1260.6199999999999</v>
      </c>
    </row>
    <row r="738" spans="1:12" x14ac:dyDescent="0.25">
      <c r="A738" t="s">
        <v>765</v>
      </c>
      <c r="B738">
        <v>21</v>
      </c>
      <c r="C738" t="s">
        <v>24</v>
      </c>
      <c r="D738" t="s">
        <v>34</v>
      </c>
      <c r="E738" s="2">
        <v>45933</v>
      </c>
      <c r="F738" s="2">
        <v>45936</v>
      </c>
      <c r="G738">
        <v>3</v>
      </c>
      <c r="H738" t="s">
        <v>15</v>
      </c>
      <c r="I738">
        <v>4</v>
      </c>
      <c r="J738" t="s">
        <v>16</v>
      </c>
      <c r="K738" t="s">
        <v>22</v>
      </c>
      <c r="L738">
        <v>10960.34</v>
      </c>
    </row>
    <row r="739" spans="1:12" x14ac:dyDescent="0.25">
      <c r="A739" t="s">
        <v>766</v>
      </c>
      <c r="B739">
        <v>43</v>
      </c>
      <c r="C739" t="s">
        <v>24</v>
      </c>
      <c r="D739" t="s">
        <v>14</v>
      </c>
      <c r="E739" s="2">
        <v>45961</v>
      </c>
      <c r="F739" s="2">
        <v>45971</v>
      </c>
      <c r="G739">
        <v>10</v>
      </c>
      <c r="H739" t="s">
        <v>20</v>
      </c>
      <c r="I739">
        <v>0</v>
      </c>
      <c r="J739" t="s">
        <v>16</v>
      </c>
      <c r="K739" t="s">
        <v>47</v>
      </c>
      <c r="L739">
        <v>3802.84</v>
      </c>
    </row>
    <row r="740" spans="1:12" x14ac:dyDescent="0.25">
      <c r="A740" t="s">
        <v>767</v>
      </c>
      <c r="B740">
        <v>43</v>
      </c>
      <c r="C740" t="s">
        <v>24</v>
      </c>
      <c r="D740" t="s">
        <v>14</v>
      </c>
      <c r="E740" s="2">
        <v>45779</v>
      </c>
      <c r="F740" s="2">
        <v>45791</v>
      </c>
      <c r="G740">
        <v>12</v>
      </c>
      <c r="H740" t="s">
        <v>20</v>
      </c>
      <c r="I740">
        <v>0</v>
      </c>
      <c r="J740" t="s">
        <v>16</v>
      </c>
      <c r="K740" t="s">
        <v>47</v>
      </c>
      <c r="L740">
        <v>8983.84</v>
      </c>
    </row>
    <row r="741" spans="1:12" x14ac:dyDescent="0.25">
      <c r="A741" t="s">
        <v>768</v>
      </c>
      <c r="B741">
        <v>76</v>
      </c>
      <c r="C741" t="s">
        <v>13</v>
      </c>
      <c r="D741" t="s">
        <v>40</v>
      </c>
      <c r="E741" s="2">
        <v>45685</v>
      </c>
      <c r="F741" s="2">
        <v>45692</v>
      </c>
      <c r="G741">
        <v>7</v>
      </c>
      <c r="H741" t="s">
        <v>15</v>
      </c>
      <c r="I741">
        <v>12</v>
      </c>
      <c r="J741" t="s">
        <v>21</v>
      </c>
      <c r="K741" t="s">
        <v>47</v>
      </c>
      <c r="L741">
        <v>10937.41</v>
      </c>
    </row>
    <row r="742" spans="1:12" x14ac:dyDescent="0.25">
      <c r="A742" t="s">
        <v>769</v>
      </c>
      <c r="B742">
        <v>43</v>
      </c>
      <c r="C742" t="s">
        <v>24</v>
      </c>
      <c r="D742" t="s">
        <v>14</v>
      </c>
      <c r="E742" s="2">
        <v>45981</v>
      </c>
      <c r="F742" s="2">
        <v>45987</v>
      </c>
      <c r="G742">
        <v>6</v>
      </c>
      <c r="H742" t="s">
        <v>20</v>
      </c>
      <c r="I742">
        <v>0</v>
      </c>
      <c r="J742" t="s">
        <v>16</v>
      </c>
      <c r="K742" t="s">
        <v>17</v>
      </c>
      <c r="L742">
        <v>8745.65</v>
      </c>
    </row>
    <row r="743" spans="1:12" x14ac:dyDescent="0.25">
      <c r="A743" t="s">
        <v>770</v>
      </c>
      <c r="B743">
        <v>77</v>
      </c>
      <c r="C743" t="s">
        <v>24</v>
      </c>
      <c r="D743" t="s">
        <v>40</v>
      </c>
      <c r="E743" s="2">
        <v>45801</v>
      </c>
      <c r="F743" s="2">
        <v>45804</v>
      </c>
      <c r="G743">
        <v>3</v>
      </c>
      <c r="H743" t="s">
        <v>15</v>
      </c>
      <c r="I743">
        <v>6</v>
      </c>
      <c r="J743" t="s">
        <v>25</v>
      </c>
      <c r="K743" t="s">
        <v>22</v>
      </c>
      <c r="L743">
        <v>13352.93</v>
      </c>
    </row>
    <row r="744" spans="1:12" x14ac:dyDescent="0.25">
      <c r="A744" t="s">
        <v>771</v>
      </c>
      <c r="B744">
        <v>39</v>
      </c>
      <c r="C744" t="s">
        <v>13</v>
      </c>
      <c r="D744" t="s">
        <v>19</v>
      </c>
      <c r="E744" s="2">
        <v>45967</v>
      </c>
      <c r="F744" s="2">
        <v>45970</v>
      </c>
      <c r="G744">
        <v>3</v>
      </c>
      <c r="H744" t="s">
        <v>20</v>
      </c>
      <c r="I744">
        <v>0</v>
      </c>
      <c r="J744" t="s">
        <v>29</v>
      </c>
      <c r="K744" t="s">
        <v>17</v>
      </c>
      <c r="L744">
        <v>7593.59</v>
      </c>
    </row>
    <row r="745" spans="1:12" x14ac:dyDescent="0.25">
      <c r="A745" t="s">
        <v>772</v>
      </c>
      <c r="B745">
        <v>77</v>
      </c>
      <c r="C745" t="s">
        <v>24</v>
      </c>
      <c r="D745" t="s">
        <v>19</v>
      </c>
      <c r="E745" s="2">
        <v>45768</v>
      </c>
      <c r="F745" s="2">
        <v>45778</v>
      </c>
      <c r="G745">
        <v>10</v>
      </c>
      <c r="H745" t="s">
        <v>20</v>
      </c>
      <c r="I745">
        <v>0</v>
      </c>
      <c r="J745" t="s">
        <v>29</v>
      </c>
      <c r="K745" t="s">
        <v>17</v>
      </c>
      <c r="L745">
        <v>13152.68</v>
      </c>
    </row>
    <row r="746" spans="1:12" x14ac:dyDescent="0.25">
      <c r="A746" t="s">
        <v>773</v>
      </c>
      <c r="B746">
        <v>46</v>
      </c>
      <c r="C746" t="s">
        <v>13</v>
      </c>
      <c r="D746" t="s">
        <v>34</v>
      </c>
      <c r="E746" s="2">
        <v>45784</v>
      </c>
      <c r="F746" s="2">
        <v>45790</v>
      </c>
      <c r="G746">
        <v>6</v>
      </c>
      <c r="H746" t="s">
        <v>20</v>
      </c>
      <c r="I746">
        <v>0</v>
      </c>
      <c r="J746" t="s">
        <v>16</v>
      </c>
      <c r="K746" t="s">
        <v>47</v>
      </c>
      <c r="L746">
        <v>14712.67</v>
      </c>
    </row>
    <row r="747" spans="1:12" x14ac:dyDescent="0.25">
      <c r="A747" t="s">
        <v>774</v>
      </c>
      <c r="B747">
        <v>82</v>
      </c>
      <c r="C747" t="s">
        <v>13</v>
      </c>
      <c r="D747" t="s">
        <v>40</v>
      </c>
      <c r="E747" s="2">
        <v>45678</v>
      </c>
      <c r="F747" s="2">
        <v>45686</v>
      </c>
      <c r="G747">
        <v>8</v>
      </c>
      <c r="H747" t="s">
        <v>20</v>
      </c>
      <c r="I747">
        <v>0</v>
      </c>
      <c r="J747" t="s">
        <v>29</v>
      </c>
      <c r="K747" t="s">
        <v>47</v>
      </c>
      <c r="L747">
        <v>12240.89</v>
      </c>
    </row>
    <row r="748" spans="1:12" x14ac:dyDescent="0.25">
      <c r="A748" t="s">
        <v>775</v>
      </c>
      <c r="B748">
        <v>81</v>
      </c>
      <c r="C748" t="s">
        <v>13</v>
      </c>
      <c r="D748" t="s">
        <v>19</v>
      </c>
      <c r="E748" s="2">
        <v>46014</v>
      </c>
      <c r="F748" s="2">
        <v>46028</v>
      </c>
      <c r="G748">
        <v>14</v>
      </c>
      <c r="H748" t="s">
        <v>15</v>
      </c>
      <c r="I748">
        <v>18</v>
      </c>
      <c r="J748" t="s">
        <v>16</v>
      </c>
      <c r="K748" t="s">
        <v>17</v>
      </c>
      <c r="L748">
        <v>11110.9</v>
      </c>
    </row>
    <row r="749" spans="1:12" x14ac:dyDescent="0.25">
      <c r="A749" t="s">
        <v>776</v>
      </c>
      <c r="B749">
        <v>48</v>
      </c>
      <c r="C749" t="s">
        <v>13</v>
      </c>
      <c r="D749" t="s">
        <v>19</v>
      </c>
      <c r="E749" s="2">
        <v>45769</v>
      </c>
      <c r="F749" s="2">
        <v>45772</v>
      </c>
      <c r="G749">
        <v>3</v>
      </c>
      <c r="H749" t="s">
        <v>20</v>
      </c>
      <c r="I749">
        <v>0</v>
      </c>
      <c r="J749" t="s">
        <v>29</v>
      </c>
      <c r="K749" t="s">
        <v>17</v>
      </c>
      <c r="L749">
        <v>4920.13</v>
      </c>
    </row>
    <row r="750" spans="1:12" x14ac:dyDescent="0.25">
      <c r="A750" t="s">
        <v>777</v>
      </c>
      <c r="B750">
        <v>21</v>
      </c>
      <c r="C750" t="s">
        <v>24</v>
      </c>
      <c r="D750" t="s">
        <v>40</v>
      </c>
      <c r="E750" s="2">
        <v>46018</v>
      </c>
      <c r="F750" s="2">
        <v>46026</v>
      </c>
      <c r="G750">
        <v>8</v>
      </c>
      <c r="H750" t="s">
        <v>20</v>
      </c>
      <c r="I750">
        <v>0</v>
      </c>
      <c r="J750" t="s">
        <v>21</v>
      </c>
      <c r="K750" t="s">
        <v>17</v>
      </c>
      <c r="L750">
        <v>6377.73</v>
      </c>
    </row>
    <row r="751" spans="1:12" x14ac:dyDescent="0.25">
      <c r="A751" t="s">
        <v>778</v>
      </c>
      <c r="B751">
        <v>18</v>
      </c>
      <c r="C751" t="s">
        <v>13</v>
      </c>
      <c r="D751" t="s">
        <v>40</v>
      </c>
      <c r="E751" s="2">
        <v>45847</v>
      </c>
      <c r="F751" s="2">
        <v>45858</v>
      </c>
      <c r="G751">
        <v>11</v>
      </c>
      <c r="H751" t="s">
        <v>20</v>
      </c>
      <c r="I751">
        <v>0</v>
      </c>
      <c r="J751" t="s">
        <v>25</v>
      </c>
      <c r="K751" t="s">
        <v>17</v>
      </c>
      <c r="L751">
        <v>974.36</v>
      </c>
    </row>
    <row r="752" spans="1:12" x14ac:dyDescent="0.25">
      <c r="A752" t="s">
        <v>779</v>
      </c>
      <c r="B752">
        <v>87</v>
      </c>
      <c r="C752" t="s">
        <v>13</v>
      </c>
      <c r="D752" t="s">
        <v>28</v>
      </c>
      <c r="E752" s="2">
        <v>45876</v>
      </c>
      <c r="F752" s="2">
        <v>45889</v>
      </c>
      <c r="G752">
        <v>13</v>
      </c>
      <c r="H752" t="s">
        <v>15</v>
      </c>
      <c r="I752">
        <v>3</v>
      </c>
      <c r="J752" t="s">
        <v>25</v>
      </c>
      <c r="K752" t="s">
        <v>17</v>
      </c>
      <c r="L752">
        <v>14017.53</v>
      </c>
    </row>
    <row r="753" spans="1:12" x14ac:dyDescent="0.25">
      <c r="A753" t="s">
        <v>780</v>
      </c>
      <c r="B753">
        <v>24</v>
      </c>
      <c r="C753" t="s">
        <v>13</v>
      </c>
      <c r="D753" t="s">
        <v>40</v>
      </c>
      <c r="E753" s="2">
        <v>45921</v>
      </c>
      <c r="F753" s="2">
        <v>45932</v>
      </c>
      <c r="G753">
        <v>11</v>
      </c>
      <c r="H753" t="s">
        <v>20</v>
      </c>
      <c r="I753">
        <v>0</v>
      </c>
      <c r="J753" t="s">
        <v>25</v>
      </c>
      <c r="K753" t="s">
        <v>47</v>
      </c>
      <c r="L753">
        <v>9477.44</v>
      </c>
    </row>
    <row r="754" spans="1:12" x14ac:dyDescent="0.25">
      <c r="A754" t="s">
        <v>781</v>
      </c>
      <c r="B754">
        <v>89</v>
      </c>
      <c r="C754" t="s">
        <v>13</v>
      </c>
      <c r="D754" t="s">
        <v>34</v>
      </c>
      <c r="E754" s="2">
        <v>45845</v>
      </c>
      <c r="F754" s="2">
        <v>45851</v>
      </c>
      <c r="G754">
        <v>6</v>
      </c>
      <c r="H754" t="s">
        <v>15</v>
      </c>
      <c r="I754">
        <v>23</v>
      </c>
      <c r="J754" t="s">
        <v>21</v>
      </c>
      <c r="K754" t="s">
        <v>22</v>
      </c>
      <c r="L754">
        <v>14728.15</v>
      </c>
    </row>
    <row r="755" spans="1:12" x14ac:dyDescent="0.25">
      <c r="A755" t="s">
        <v>782</v>
      </c>
      <c r="B755">
        <v>79</v>
      </c>
      <c r="C755" t="s">
        <v>13</v>
      </c>
      <c r="D755" t="s">
        <v>28</v>
      </c>
      <c r="E755" s="2">
        <v>45780</v>
      </c>
      <c r="F755" s="2">
        <v>45789</v>
      </c>
      <c r="G755">
        <v>9</v>
      </c>
      <c r="H755" t="s">
        <v>15</v>
      </c>
      <c r="I755">
        <v>25</v>
      </c>
      <c r="J755" t="s">
        <v>21</v>
      </c>
      <c r="K755" t="s">
        <v>47</v>
      </c>
      <c r="L755">
        <v>5614.32</v>
      </c>
    </row>
    <row r="756" spans="1:12" x14ac:dyDescent="0.25">
      <c r="A756" t="s">
        <v>783</v>
      </c>
      <c r="B756">
        <v>53</v>
      </c>
      <c r="C756" t="s">
        <v>13</v>
      </c>
      <c r="D756" t="s">
        <v>19</v>
      </c>
      <c r="E756" s="2">
        <v>45794</v>
      </c>
      <c r="F756" s="2">
        <v>45803</v>
      </c>
      <c r="G756">
        <v>9</v>
      </c>
      <c r="H756" t="s">
        <v>20</v>
      </c>
      <c r="I756">
        <v>0</v>
      </c>
      <c r="J756" t="s">
        <v>25</v>
      </c>
      <c r="K756" t="s">
        <v>47</v>
      </c>
      <c r="L756">
        <v>7059.95</v>
      </c>
    </row>
    <row r="757" spans="1:12" x14ac:dyDescent="0.25">
      <c r="A757" t="s">
        <v>784</v>
      </c>
      <c r="B757">
        <v>78</v>
      </c>
      <c r="C757" t="s">
        <v>24</v>
      </c>
      <c r="D757" t="s">
        <v>40</v>
      </c>
      <c r="E757" s="2">
        <v>45914</v>
      </c>
      <c r="F757" s="2">
        <v>45923</v>
      </c>
      <c r="G757">
        <v>9</v>
      </c>
      <c r="H757" t="s">
        <v>20</v>
      </c>
      <c r="I757">
        <v>0</v>
      </c>
      <c r="J757" t="s">
        <v>25</v>
      </c>
      <c r="K757" t="s">
        <v>17</v>
      </c>
      <c r="L757">
        <v>14207.8</v>
      </c>
    </row>
    <row r="758" spans="1:12" x14ac:dyDescent="0.25">
      <c r="A758" t="s">
        <v>785</v>
      </c>
      <c r="B758">
        <v>76</v>
      </c>
      <c r="C758" t="s">
        <v>13</v>
      </c>
      <c r="D758" t="s">
        <v>19</v>
      </c>
      <c r="E758" s="2">
        <v>45691</v>
      </c>
      <c r="F758" s="2">
        <v>45695</v>
      </c>
      <c r="G758">
        <v>4</v>
      </c>
      <c r="H758" t="s">
        <v>20</v>
      </c>
      <c r="I758">
        <v>0</v>
      </c>
      <c r="J758" t="s">
        <v>29</v>
      </c>
      <c r="K758" t="s">
        <v>22</v>
      </c>
      <c r="L758">
        <v>4681.3999999999996</v>
      </c>
    </row>
    <row r="759" spans="1:12" x14ac:dyDescent="0.25">
      <c r="A759" t="s">
        <v>786</v>
      </c>
      <c r="B759">
        <v>32</v>
      </c>
      <c r="C759" t="s">
        <v>13</v>
      </c>
      <c r="D759" t="s">
        <v>40</v>
      </c>
      <c r="E759" s="2">
        <v>45697</v>
      </c>
      <c r="F759" s="2">
        <v>45699</v>
      </c>
      <c r="G759">
        <v>2</v>
      </c>
      <c r="H759" t="s">
        <v>15</v>
      </c>
      <c r="I759">
        <v>5</v>
      </c>
      <c r="J759" t="s">
        <v>21</v>
      </c>
      <c r="K759" t="s">
        <v>17</v>
      </c>
      <c r="L759">
        <v>14305.52</v>
      </c>
    </row>
    <row r="760" spans="1:12" x14ac:dyDescent="0.25">
      <c r="A760" t="s">
        <v>787</v>
      </c>
      <c r="B760">
        <v>87</v>
      </c>
      <c r="C760" t="s">
        <v>13</v>
      </c>
      <c r="D760" t="s">
        <v>40</v>
      </c>
      <c r="E760" s="2">
        <v>45669</v>
      </c>
      <c r="F760" s="2">
        <v>45674</v>
      </c>
      <c r="G760">
        <v>5</v>
      </c>
      <c r="H760" t="s">
        <v>20</v>
      </c>
      <c r="I760">
        <v>0</v>
      </c>
      <c r="J760" t="s">
        <v>25</v>
      </c>
      <c r="K760" t="s">
        <v>47</v>
      </c>
      <c r="L760">
        <v>6935.97</v>
      </c>
    </row>
    <row r="761" spans="1:12" x14ac:dyDescent="0.25">
      <c r="A761" t="s">
        <v>788</v>
      </c>
      <c r="B761">
        <v>26</v>
      </c>
      <c r="C761" t="s">
        <v>13</v>
      </c>
      <c r="D761" t="s">
        <v>14</v>
      </c>
      <c r="E761" s="2">
        <v>45988</v>
      </c>
      <c r="F761" s="2">
        <v>45989</v>
      </c>
      <c r="G761">
        <v>1</v>
      </c>
      <c r="H761" t="s">
        <v>15</v>
      </c>
      <c r="I761">
        <v>27</v>
      </c>
      <c r="J761" t="s">
        <v>25</v>
      </c>
      <c r="K761" t="s">
        <v>47</v>
      </c>
      <c r="L761">
        <v>8891.2199999999993</v>
      </c>
    </row>
    <row r="762" spans="1:12" x14ac:dyDescent="0.25">
      <c r="A762" t="s">
        <v>789</v>
      </c>
      <c r="B762">
        <v>80</v>
      </c>
      <c r="C762" t="s">
        <v>24</v>
      </c>
      <c r="D762" t="s">
        <v>40</v>
      </c>
      <c r="E762" s="2">
        <v>45993</v>
      </c>
      <c r="F762" s="2">
        <v>46004</v>
      </c>
      <c r="G762">
        <v>11</v>
      </c>
      <c r="H762" t="s">
        <v>20</v>
      </c>
      <c r="I762">
        <v>0</v>
      </c>
      <c r="J762" t="s">
        <v>25</v>
      </c>
      <c r="K762" t="s">
        <v>17</v>
      </c>
      <c r="L762">
        <v>2413.34</v>
      </c>
    </row>
    <row r="763" spans="1:12" x14ac:dyDescent="0.25">
      <c r="A763" t="s">
        <v>790</v>
      </c>
      <c r="B763">
        <v>47</v>
      </c>
      <c r="C763" t="s">
        <v>24</v>
      </c>
      <c r="D763" t="s">
        <v>32</v>
      </c>
      <c r="E763" s="2">
        <v>45814</v>
      </c>
      <c r="F763" s="2">
        <v>45817</v>
      </c>
      <c r="G763">
        <v>3</v>
      </c>
      <c r="H763" t="s">
        <v>20</v>
      </c>
      <c r="I763">
        <v>0</v>
      </c>
      <c r="J763" t="s">
        <v>25</v>
      </c>
      <c r="K763" t="s">
        <v>22</v>
      </c>
      <c r="L763">
        <v>2650.91</v>
      </c>
    </row>
    <row r="764" spans="1:12" x14ac:dyDescent="0.25">
      <c r="A764" t="s">
        <v>791</v>
      </c>
      <c r="B764">
        <v>38</v>
      </c>
      <c r="C764" t="s">
        <v>24</v>
      </c>
      <c r="D764" t="s">
        <v>14</v>
      </c>
      <c r="E764" s="2">
        <v>45803</v>
      </c>
      <c r="F764" s="2">
        <v>45811</v>
      </c>
      <c r="G764">
        <v>8</v>
      </c>
      <c r="H764" t="s">
        <v>20</v>
      </c>
      <c r="I764">
        <v>0</v>
      </c>
      <c r="J764" t="s">
        <v>21</v>
      </c>
      <c r="K764" t="s">
        <v>17</v>
      </c>
      <c r="L764">
        <v>10546.46</v>
      </c>
    </row>
    <row r="765" spans="1:12" x14ac:dyDescent="0.25">
      <c r="A765" t="s">
        <v>792</v>
      </c>
      <c r="B765">
        <v>48</v>
      </c>
      <c r="C765" t="s">
        <v>13</v>
      </c>
      <c r="D765" t="s">
        <v>19</v>
      </c>
      <c r="E765" s="2">
        <v>45999</v>
      </c>
      <c r="F765" s="2">
        <v>46012</v>
      </c>
      <c r="G765">
        <v>13</v>
      </c>
      <c r="H765" t="s">
        <v>15</v>
      </c>
      <c r="I765">
        <v>11</v>
      </c>
      <c r="J765" t="s">
        <v>21</v>
      </c>
      <c r="K765" t="s">
        <v>47</v>
      </c>
      <c r="L765">
        <v>4275.8999999999996</v>
      </c>
    </row>
    <row r="766" spans="1:12" x14ac:dyDescent="0.25">
      <c r="A766" t="s">
        <v>793</v>
      </c>
      <c r="B766">
        <v>22</v>
      </c>
      <c r="C766" t="s">
        <v>24</v>
      </c>
      <c r="D766" t="s">
        <v>32</v>
      </c>
      <c r="E766" s="2">
        <v>45752</v>
      </c>
      <c r="F766" s="2">
        <v>45756</v>
      </c>
      <c r="G766">
        <v>4</v>
      </c>
      <c r="H766" t="s">
        <v>20</v>
      </c>
      <c r="I766">
        <v>0</v>
      </c>
      <c r="J766" t="s">
        <v>21</v>
      </c>
      <c r="K766" t="s">
        <v>47</v>
      </c>
      <c r="L766">
        <v>7002.22</v>
      </c>
    </row>
    <row r="767" spans="1:12" x14ac:dyDescent="0.25">
      <c r="A767" t="s">
        <v>794</v>
      </c>
      <c r="B767">
        <v>21</v>
      </c>
      <c r="C767" t="s">
        <v>24</v>
      </c>
      <c r="D767" t="s">
        <v>40</v>
      </c>
      <c r="E767" s="2">
        <v>45741</v>
      </c>
      <c r="F767" s="2">
        <v>45750</v>
      </c>
      <c r="G767">
        <v>9</v>
      </c>
      <c r="H767" t="s">
        <v>20</v>
      </c>
      <c r="I767">
        <v>0</v>
      </c>
      <c r="J767" t="s">
        <v>21</v>
      </c>
      <c r="K767" t="s">
        <v>47</v>
      </c>
      <c r="L767">
        <v>13953.26</v>
      </c>
    </row>
    <row r="768" spans="1:12" x14ac:dyDescent="0.25">
      <c r="A768" t="s">
        <v>795</v>
      </c>
      <c r="B768">
        <v>87</v>
      </c>
      <c r="C768" t="s">
        <v>24</v>
      </c>
      <c r="D768" t="s">
        <v>28</v>
      </c>
      <c r="E768" s="2">
        <v>45737</v>
      </c>
      <c r="F768" s="2">
        <v>45738</v>
      </c>
      <c r="G768">
        <v>1</v>
      </c>
      <c r="H768" t="s">
        <v>20</v>
      </c>
      <c r="I768">
        <v>0</v>
      </c>
      <c r="J768" t="s">
        <v>25</v>
      </c>
      <c r="K768" t="s">
        <v>47</v>
      </c>
      <c r="L768">
        <v>13491.67</v>
      </c>
    </row>
    <row r="769" spans="1:12" x14ac:dyDescent="0.25">
      <c r="A769" t="s">
        <v>796</v>
      </c>
      <c r="B769">
        <v>90</v>
      </c>
      <c r="C769" t="s">
        <v>24</v>
      </c>
      <c r="D769" t="s">
        <v>32</v>
      </c>
      <c r="E769" s="2">
        <v>45951</v>
      </c>
      <c r="F769" s="2">
        <v>45962</v>
      </c>
      <c r="G769">
        <v>11</v>
      </c>
      <c r="H769" t="s">
        <v>15</v>
      </c>
      <c r="I769">
        <v>23</v>
      </c>
      <c r="J769" t="s">
        <v>16</v>
      </c>
      <c r="K769" t="s">
        <v>17</v>
      </c>
      <c r="L769">
        <v>7445.23</v>
      </c>
    </row>
    <row r="770" spans="1:12" x14ac:dyDescent="0.25">
      <c r="A770" t="s">
        <v>797</v>
      </c>
      <c r="B770">
        <v>32</v>
      </c>
      <c r="C770" t="s">
        <v>24</v>
      </c>
      <c r="D770" t="s">
        <v>19</v>
      </c>
      <c r="E770" s="2">
        <v>45678</v>
      </c>
      <c r="F770" s="2">
        <v>45681</v>
      </c>
      <c r="G770">
        <v>3</v>
      </c>
      <c r="H770" t="s">
        <v>20</v>
      </c>
      <c r="I770">
        <v>0</v>
      </c>
      <c r="J770" t="s">
        <v>29</v>
      </c>
      <c r="K770" t="s">
        <v>17</v>
      </c>
      <c r="L770">
        <v>12692.72</v>
      </c>
    </row>
    <row r="771" spans="1:12" x14ac:dyDescent="0.25">
      <c r="A771" t="s">
        <v>798</v>
      </c>
      <c r="B771">
        <v>25</v>
      </c>
      <c r="C771" t="s">
        <v>13</v>
      </c>
      <c r="D771" t="s">
        <v>34</v>
      </c>
      <c r="E771" s="2">
        <v>45886</v>
      </c>
      <c r="F771" s="2">
        <v>45892</v>
      </c>
      <c r="G771">
        <v>6</v>
      </c>
      <c r="H771" t="s">
        <v>15</v>
      </c>
      <c r="I771">
        <v>17</v>
      </c>
      <c r="J771" t="s">
        <v>21</v>
      </c>
      <c r="K771" t="s">
        <v>47</v>
      </c>
      <c r="L771">
        <v>3337.88</v>
      </c>
    </row>
    <row r="772" spans="1:12" x14ac:dyDescent="0.25">
      <c r="A772" t="s">
        <v>799</v>
      </c>
      <c r="B772">
        <v>29</v>
      </c>
      <c r="C772" t="s">
        <v>24</v>
      </c>
      <c r="D772" t="s">
        <v>14</v>
      </c>
      <c r="E772" s="2">
        <v>45700</v>
      </c>
      <c r="F772" s="2">
        <v>45709</v>
      </c>
      <c r="G772">
        <v>9</v>
      </c>
      <c r="H772" t="s">
        <v>20</v>
      </c>
      <c r="I772">
        <v>0</v>
      </c>
      <c r="J772" t="s">
        <v>29</v>
      </c>
      <c r="K772" t="s">
        <v>47</v>
      </c>
      <c r="L772">
        <v>9245.99</v>
      </c>
    </row>
    <row r="773" spans="1:12" x14ac:dyDescent="0.25">
      <c r="A773" t="s">
        <v>800</v>
      </c>
      <c r="B773">
        <v>64</v>
      </c>
      <c r="C773" t="s">
        <v>24</v>
      </c>
      <c r="D773" t="s">
        <v>14</v>
      </c>
      <c r="E773" s="2">
        <v>45919</v>
      </c>
      <c r="F773" s="2">
        <v>45920</v>
      </c>
      <c r="G773">
        <v>1</v>
      </c>
      <c r="H773" t="s">
        <v>20</v>
      </c>
      <c r="I773">
        <v>0</v>
      </c>
      <c r="J773" t="s">
        <v>29</v>
      </c>
      <c r="K773" t="s">
        <v>47</v>
      </c>
      <c r="L773">
        <v>6098.63</v>
      </c>
    </row>
    <row r="774" spans="1:12" x14ac:dyDescent="0.25">
      <c r="A774" t="s">
        <v>801</v>
      </c>
      <c r="B774">
        <v>57</v>
      </c>
      <c r="C774" t="s">
        <v>24</v>
      </c>
      <c r="D774" t="s">
        <v>34</v>
      </c>
      <c r="E774" s="2">
        <v>45664</v>
      </c>
      <c r="F774" s="2">
        <v>45669</v>
      </c>
      <c r="G774">
        <v>5</v>
      </c>
      <c r="H774" t="s">
        <v>20</v>
      </c>
      <c r="I774">
        <v>0</v>
      </c>
      <c r="J774" t="s">
        <v>16</v>
      </c>
      <c r="K774" t="s">
        <v>22</v>
      </c>
      <c r="L774">
        <v>11053.87</v>
      </c>
    </row>
    <row r="775" spans="1:12" x14ac:dyDescent="0.25">
      <c r="A775" t="s">
        <v>802</v>
      </c>
      <c r="B775">
        <v>74</v>
      </c>
      <c r="C775" t="s">
        <v>24</v>
      </c>
      <c r="D775" t="s">
        <v>14</v>
      </c>
      <c r="E775" s="2">
        <v>45885</v>
      </c>
      <c r="F775" s="2">
        <v>45897</v>
      </c>
      <c r="G775">
        <v>12</v>
      </c>
      <c r="H775" t="s">
        <v>20</v>
      </c>
      <c r="I775">
        <v>0</v>
      </c>
      <c r="J775" t="s">
        <v>29</v>
      </c>
      <c r="K775" t="s">
        <v>17</v>
      </c>
      <c r="L775">
        <v>13498.22</v>
      </c>
    </row>
    <row r="776" spans="1:12" x14ac:dyDescent="0.25">
      <c r="A776" t="s">
        <v>803</v>
      </c>
      <c r="B776">
        <v>29</v>
      </c>
      <c r="C776" t="s">
        <v>13</v>
      </c>
      <c r="D776" t="s">
        <v>14</v>
      </c>
      <c r="E776" s="2">
        <v>45729</v>
      </c>
      <c r="F776" s="2">
        <v>45743</v>
      </c>
      <c r="G776">
        <v>14</v>
      </c>
      <c r="H776" t="s">
        <v>20</v>
      </c>
      <c r="I776">
        <v>0</v>
      </c>
      <c r="J776" t="s">
        <v>25</v>
      </c>
      <c r="K776" t="s">
        <v>47</v>
      </c>
      <c r="L776">
        <v>14831.55</v>
      </c>
    </row>
    <row r="777" spans="1:12" x14ac:dyDescent="0.25">
      <c r="A777" t="s">
        <v>804</v>
      </c>
      <c r="B777">
        <v>66</v>
      </c>
      <c r="C777" t="s">
        <v>13</v>
      </c>
      <c r="D777" t="s">
        <v>19</v>
      </c>
      <c r="E777" s="2">
        <v>45926</v>
      </c>
      <c r="F777" s="2">
        <v>45932</v>
      </c>
      <c r="G777">
        <v>6</v>
      </c>
      <c r="H777" t="s">
        <v>15</v>
      </c>
      <c r="I777">
        <v>14</v>
      </c>
      <c r="J777" t="s">
        <v>25</v>
      </c>
      <c r="K777" t="s">
        <v>47</v>
      </c>
      <c r="L777">
        <v>3035.95</v>
      </c>
    </row>
    <row r="778" spans="1:12" x14ac:dyDescent="0.25">
      <c r="A778" t="s">
        <v>805</v>
      </c>
      <c r="B778">
        <v>35</v>
      </c>
      <c r="C778" t="s">
        <v>13</v>
      </c>
      <c r="D778" t="s">
        <v>14</v>
      </c>
      <c r="E778" s="2">
        <v>45894</v>
      </c>
      <c r="F778" s="2">
        <v>45906</v>
      </c>
      <c r="G778">
        <v>12</v>
      </c>
      <c r="H778" t="s">
        <v>20</v>
      </c>
      <c r="I778">
        <v>0</v>
      </c>
      <c r="J778" t="s">
        <v>29</v>
      </c>
      <c r="K778" t="s">
        <v>47</v>
      </c>
      <c r="L778">
        <v>8531.07</v>
      </c>
    </row>
    <row r="779" spans="1:12" x14ac:dyDescent="0.25">
      <c r="A779" t="s">
        <v>806</v>
      </c>
      <c r="B779">
        <v>56</v>
      </c>
      <c r="C779" t="s">
        <v>24</v>
      </c>
      <c r="D779" t="s">
        <v>34</v>
      </c>
      <c r="E779" s="2">
        <v>45679</v>
      </c>
      <c r="F779" s="2">
        <v>45693</v>
      </c>
      <c r="G779">
        <v>14</v>
      </c>
      <c r="H779" t="s">
        <v>20</v>
      </c>
      <c r="I779">
        <v>0</v>
      </c>
      <c r="J779" t="s">
        <v>29</v>
      </c>
      <c r="K779" t="s">
        <v>22</v>
      </c>
      <c r="L779">
        <v>889.18</v>
      </c>
    </row>
    <row r="780" spans="1:12" x14ac:dyDescent="0.25">
      <c r="A780" t="s">
        <v>807</v>
      </c>
      <c r="B780">
        <v>78</v>
      </c>
      <c r="C780" t="s">
        <v>13</v>
      </c>
      <c r="D780" t="s">
        <v>28</v>
      </c>
      <c r="E780" s="2">
        <v>45659</v>
      </c>
      <c r="F780" s="2">
        <v>45662</v>
      </c>
      <c r="G780">
        <v>3</v>
      </c>
      <c r="H780" t="s">
        <v>15</v>
      </c>
      <c r="I780">
        <v>22</v>
      </c>
      <c r="J780" t="s">
        <v>25</v>
      </c>
      <c r="K780" t="s">
        <v>47</v>
      </c>
      <c r="L780">
        <v>3100.9</v>
      </c>
    </row>
    <row r="781" spans="1:12" x14ac:dyDescent="0.25">
      <c r="A781" t="s">
        <v>808</v>
      </c>
      <c r="B781">
        <v>33</v>
      </c>
      <c r="C781" t="s">
        <v>24</v>
      </c>
      <c r="D781" t="s">
        <v>40</v>
      </c>
      <c r="E781" s="2">
        <v>46010</v>
      </c>
      <c r="F781" s="2">
        <v>46021</v>
      </c>
      <c r="G781">
        <v>11</v>
      </c>
      <c r="H781" t="s">
        <v>15</v>
      </c>
      <c r="I781">
        <v>3</v>
      </c>
      <c r="J781" t="s">
        <v>25</v>
      </c>
      <c r="K781" t="s">
        <v>17</v>
      </c>
      <c r="L781">
        <v>7467.05</v>
      </c>
    </row>
    <row r="782" spans="1:12" x14ac:dyDescent="0.25">
      <c r="A782" t="s">
        <v>809</v>
      </c>
      <c r="B782">
        <v>78</v>
      </c>
      <c r="C782" t="s">
        <v>13</v>
      </c>
      <c r="D782" t="s">
        <v>32</v>
      </c>
      <c r="E782" s="2">
        <v>45881</v>
      </c>
      <c r="F782" s="2">
        <v>45895</v>
      </c>
      <c r="G782">
        <v>14</v>
      </c>
      <c r="H782" t="s">
        <v>15</v>
      </c>
      <c r="I782">
        <v>17</v>
      </c>
      <c r="J782" t="s">
        <v>16</v>
      </c>
      <c r="K782" t="s">
        <v>47</v>
      </c>
      <c r="L782">
        <v>2861.28</v>
      </c>
    </row>
    <row r="783" spans="1:12" x14ac:dyDescent="0.25">
      <c r="A783" t="s">
        <v>810</v>
      </c>
      <c r="B783">
        <v>35</v>
      </c>
      <c r="C783" t="s">
        <v>24</v>
      </c>
      <c r="D783" t="s">
        <v>14</v>
      </c>
      <c r="E783" s="2">
        <v>45687</v>
      </c>
      <c r="F783" s="2">
        <v>45690</v>
      </c>
      <c r="G783">
        <v>3</v>
      </c>
      <c r="H783" t="s">
        <v>20</v>
      </c>
      <c r="I783">
        <v>0</v>
      </c>
      <c r="J783" t="s">
        <v>16</v>
      </c>
      <c r="K783" t="s">
        <v>47</v>
      </c>
      <c r="L783">
        <v>5736.87</v>
      </c>
    </row>
    <row r="784" spans="1:12" x14ac:dyDescent="0.25">
      <c r="A784" t="s">
        <v>811</v>
      </c>
      <c r="B784">
        <v>55</v>
      </c>
      <c r="C784" t="s">
        <v>13</v>
      </c>
      <c r="D784" t="s">
        <v>34</v>
      </c>
      <c r="E784" s="2">
        <v>45983</v>
      </c>
      <c r="F784" s="2">
        <v>45989</v>
      </c>
      <c r="G784">
        <v>6</v>
      </c>
      <c r="H784" t="s">
        <v>15</v>
      </c>
      <c r="I784">
        <v>7</v>
      </c>
      <c r="J784" t="s">
        <v>21</v>
      </c>
      <c r="K784" t="s">
        <v>22</v>
      </c>
      <c r="L784">
        <v>9182.06</v>
      </c>
    </row>
    <row r="785" spans="1:12" x14ac:dyDescent="0.25">
      <c r="A785" t="s">
        <v>812</v>
      </c>
      <c r="B785">
        <v>58</v>
      </c>
      <c r="C785" t="s">
        <v>24</v>
      </c>
      <c r="D785" t="s">
        <v>32</v>
      </c>
      <c r="E785" s="2">
        <v>45743</v>
      </c>
      <c r="F785" s="2">
        <v>45752</v>
      </c>
      <c r="G785">
        <v>9</v>
      </c>
      <c r="H785" t="s">
        <v>20</v>
      </c>
      <c r="I785">
        <v>0</v>
      </c>
      <c r="J785" t="s">
        <v>25</v>
      </c>
      <c r="K785" t="s">
        <v>22</v>
      </c>
      <c r="L785">
        <v>8249.09</v>
      </c>
    </row>
    <row r="786" spans="1:12" x14ac:dyDescent="0.25">
      <c r="A786" t="s">
        <v>813</v>
      </c>
      <c r="B786">
        <v>35</v>
      </c>
      <c r="C786" t="s">
        <v>24</v>
      </c>
      <c r="D786" t="s">
        <v>32</v>
      </c>
      <c r="E786" s="2">
        <v>45838</v>
      </c>
      <c r="F786" s="2">
        <v>45852</v>
      </c>
      <c r="G786">
        <v>14</v>
      </c>
      <c r="H786" t="s">
        <v>15</v>
      </c>
      <c r="I786">
        <v>25</v>
      </c>
      <c r="J786" t="s">
        <v>29</v>
      </c>
      <c r="K786" t="s">
        <v>47</v>
      </c>
      <c r="L786">
        <v>5434.54</v>
      </c>
    </row>
    <row r="787" spans="1:12" x14ac:dyDescent="0.25">
      <c r="A787" t="s">
        <v>814</v>
      </c>
      <c r="B787">
        <v>82</v>
      </c>
      <c r="C787" t="s">
        <v>13</v>
      </c>
      <c r="D787" t="s">
        <v>14</v>
      </c>
      <c r="E787" s="2">
        <v>45741</v>
      </c>
      <c r="F787" s="2">
        <v>45743</v>
      </c>
      <c r="G787">
        <v>2</v>
      </c>
      <c r="H787" t="s">
        <v>15</v>
      </c>
      <c r="I787">
        <v>26</v>
      </c>
      <c r="J787" t="s">
        <v>16</v>
      </c>
      <c r="K787" t="s">
        <v>47</v>
      </c>
      <c r="L787">
        <v>7177.12</v>
      </c>
    </row>
    <row r="788" spans="1:12" x14ac:dyDescent="0.25">
      <c r="A788" t="s">
        <v>815</v>
      </c>
      <c r="B788">
        <v>20</v>
      </c>
      <c r="C788" t="s">
        <v>24</v>
      </c>
      <c r="D788" t="s">
        <v>32</v>
      </c>
      <c r="E788" s="2">
        <v>45697</v>
      </c>
      <c r="F788" s="2">
        <v>45699</v>
      </c>
      <c r="G788">
        <v>2</v>
      </c>
      <c r="H788" t="s">
        <v>20</v>
      </c>
      <c r="I788">
        <v>0</v>
      </c>
      <c r="J788" t="s">
        <v>25</v>
      </c>
      <c r="K788" t="s">
        <v>17</v>
      </c>
      <c r="L788">
        <v>5757.24</v>
      </c>
    </row>
    <row r="789" spans="1:12" x14ac:dyDescent="0.25">
      <c r="A789" t="s">
        <v>816</v>
      </c>
      <c r="B789">
        <v>61</v>
      </c>
      <c r="C789" t="s">
        <v>13</v>
      </c>
      <c r="D789" t="s">
        <v>28</v>
      </c>
      <c r="E789" s="2">
        <v>45884</v>
      </c>
      <c r="F789" s="2">
        <v>45894</v>
      </c>
      <c r="G789">
        <v>10</v>
      </c>
      <c r="H789" t="s">
        <v>20</v>
      </c>
      <c r="I789">
        <v>0</v>
      </c>
      <c r="J789" t="s">
        <v>25</v>
      </c>
      <c r="K789" t="s">
        <v>22</v>
      </c>
      <c r="L789">
        <v>11294.67</v>
      </c>
    </row>
    <row r="790" spans="1:12" x14ac:dyDescent="0.25">
      <c r="A790" t="s">
        <v>817</v>
      </c>
      <c r="B790">
        <v>36</v>
      </c>
      <c r="C790" t="s">
        <v>13</v>
      </c>
      <c r="D790" t="s">
        <v>32</v>
      </c>
      <c r="E790" s="2">
        <v>45718</v>
      </c>
      <c r="F790" s="2">
        <v>45722</v>
      </c>
      <c r="G790">
        <v>4</v>
      </c>
      <c r="H790" t="s">
        <v>15</v>
      </c>
      <c r="I790">
        <v>5</v>
      </c>
      <c r="J790" t="s">
        <v>21</v>
      </c>
      <c r="K790" t="s">
        <v>22</v>
      </c>
      <c r="L790">
        <v>14726.09</v>
      </c>
    </row>
    <row r="791" spans="1:12" x14ac:dyDescent="0.25">
      <c r="A791" t="s">
        <v>818</v>
      </c>
      <c r="B791">
        <v>32</v>
      </c>
      <c r="C791" t="s">
        <v>13</v>
      </c>
      <c r="D791" t="s">
        <v>19</v>
      </c>
      <c r="E791" s="2">
        <v>45875</v>
      </c>
      <c r="F791" s="2">
        <v>45887</v>
      </c>
      <c r="G791">
        <v>12</v>
      </c>
      <c r="H791" t="s">
        <v>20</v>
      </c>
      <c r="I791">
        <v>0</v>
      </c>
      <c r="J791" t="s">
        <v>29</v>
      </c>
      <c r="K791" t="s">
        <v>47</v>
      </c>
      <c r="L791">
        <v>1116.5</v>
      </c>
    </row>
    <row r="792" spans="1:12" x14ac:dyDescent="0.25">
      <c r="A792" t="s">
        <v>819</v>
      </c>
      <c r="B792">
        <v>83</v>
      </c>
      <c r="C792" t="s">
        <v>13</v>
      </c>
      <c r="D792" t="s">
        <v>40</v>
      </c>
      <c r="E792" s="2">
        <v>45713</v>
      </c>
      <c r="F792" s="2">
        <v>45714</v>
      </c>
      <c r="G792">
        <v>1</v>
      </c>
      <c r="H792" t="s">
        <v>20</v>
      </c>
      <c r="I792">
        <v>0</v>
      </c>
      <c r="J792" t="s">
        <v>16</v>
      </c>
      <c r="K792" t="s">
        <v>47</v>
      </c>
      <c r="L792">
        <v>1127.58</v>
      </c>
    </row>
    <row r="793" spans="1:12" x14ac:dyDescent="0.25">
      <c r="A793" t="s">
        <v>820</v>
      </c>
      <c r="B793">
        <v>30</v>
      </c>
      <c r="C793" t="s">
        <v>13</v>
      </c>
      <c r="D793" t="s">
        <v>34</v>
      </c>
      <c r="E793" s="2">
        <v>45812</v>
      </c>
      <c r="F793" s="2">
        <v>45823</v>
      </c>
      <c r="G793">
        <v>11</v>
      </c>
      <c r="H793" t="s">
        <v>15</v>
      </c>
      <c r="I793">
        <v>7</v>
      </c>
      <c r="J793" t="s">
        <v>21</v>
      </c>
      <c r="K793" t="s">
        <v>22</v>
      </c>
      <c r="L793">
        <v>10223.709999999999</v>
      </c>
    </row>
    <row r="794" spans="1:12" x14ac:dyDescent="0.25">
      <c r="A794" t="s">
        <v>821</v>
      </c>
      <c r="B794">
        <v>53</v>
      </c>
      <c r="C794" t="s">
        <v>24</v>
      </c>
      <c r="D794" t="s">
        <v>32</v>
      </c>
      <c r="E794" s="2">
        <v>45672</v>
      </c>
      <c r="F794" s="2">
        <v>45674</v>
      </c>
      <c r="G794">
        <v>2</v>
      </c>
      <c r="H794" t="s">
        <v>15</v>
      </c>
      <c r="I794">
        <v>6</v>
      </c>
      <c r="J794" t="s">
        <v>21</v>
      </c>
      <c r="K794" t="s">
        <v>17</v>
      </c>
      <c r="L794">
        <v>8768.41</v>
      </c>
    </row>
    <row r="795" spans="1:12" x14ac:dyDescent="0.25">
      <c r="A795" t="s">
        <v>822</v>
      </c>
      <c r="B795">
        <v>19</v>
      </c>
      <c r="C795" t="s">
        <v>13</v>
      </c>
      <c r="D795" t="s">
        <v>28</v>
      </c>
      <c r="E795" s="2">
        <v>45708</v>
      </c>
      <c r="F795" s="2">
        <v>45722</v>
      </c>
      <c r="G795">
        <v>14</v>
      </c>
      <c r="H795" t="s">
        <v>20</v>
      </c>
      <c r="I795">
        <v>0</v>
      </c>
      <c r="J795" t="s">
        <v>21</v>
      </c>
      <c r="K795" t="s">
        <v>47</v>
      </c>
      <c r="L795">
        <v>2990.72</v>
      </c>
    </row>
    <row r="796" spans="1:12" x14ac:dyDescent="0.25">
      <c r="A796" t="s">
        <v>823</v>
      </c>
      <c r="B796">
        <v>30</v>
      </c>
      <c r="C796" t="s">
        <v>13</v>
      </c>
      <c r="D796" t="s">
        <v>34</v>
      </c>
      <c r="E796" s="2">
        <v>45933</v>
      </c>
      <c r="F796" s="2">
        <v>45934</v>
      </c>
      <c r="G796">
        <v>1</v>
      </c>
      <c r="H796" t="s">
        <v>20</v>
      </c>
      <c r="I796">
        <v>0</v>
      </c>
      <c r="J796" t="s">
        <v>29</v>
      </c>
      <c r="K796" t="s">
        <v>47</v>
      </c>
      <c r="L796">
        <v>10622.93</v>
      </c>
    </row>
    <row r="797" spans="1:12" x14ac:dyDescent="0.25">
      <c r="A797" t="s">
        <v>824</v>
      </c>
      <c r="B797">
        <v>31</v>
      </c>
      <c r="C797" t="s">
        <v>13</v>
      </c>
      <c r="D797" t="s">
        <v>32</v>
      </c>
      <c r="E797" s="2">
        <v>45752</v>
      </c>
      <c r="F797" s="2">
        <v>45760</v>
      </c>
      <c r="G797">
        <v>8</v>
      </c>
      <c r="H797" t="s">
        <v>20</v>
      </c>
      <c r="I797">
        <v>0</v>
      </c>
      <c r="J797" t="s">
        <v>29</v>
      </c>
      <c r="K797" t="s">
        <v>47</v>
      </c>
      <c r="L797">
        <v>3606.97</v>
      </c>
    </row>
    <row r="798" spans="1:12" x14ac:dyDescent="0.25">
      <c r="A798" t="s">
        <v>825</v>
      </c>
      <c r="B798">
        <v>58</v>
      </c>
      <c r="C798" t="s">
        <v>13</v>
      </c>
      <c r="D798" t="s">
        <v>40</v>
      </c>
      <c r="E798" s="2">
        <v>45774</v>
      </c>
      <c r="F798" s="2">
        <v>45781</v>
      </c>
      <c r="G798">
        <v>7</v>
      </c>
      <c r="H798" t="s">
        <v>15</v>
      </c>
      <c r="I798">
        <v>4</v>
      </c>
      <c r="J798" t="s">
        <v>21</v>
      </c>
      <c r="K798" t="s">
        <v>47</v>
      </c>
      <c r="L798">
        <v>11552.97</v>
      </c>
    </row>
    <row r="799" spans="1:12" x14ac:dyDescent="0.25">
      <c r="A799" t="s">
        <v>826</v>
      </c>
      <c r="B799">
        <v>23</v>
      </c>
      <c r="C799" t="s">
        <v>13</v>
      </c>
      <c r="D799" t="s">
        <v>32</v>
      </c>
      <c r="E799" s="2">
        <v>46018</v>
      </c>
      <c r="F799" s="2">
        <v>46023</v>
      </c>
      <c r="G799">
        <v>5</v>
      </c>
      <c r="H799" t="s">
        <v>20</v>
      </c>
      <c r="I799">
        <v>0</v>
      </c>
      <c r="J799" t="s">
        <v>29</v>
      </c>
      <c r="K799" t="s">
        <v>22</v>
      </c>
      <c r="L799">
        <v>6079.33</v>
      </c>
    </row>
    <row r="800" spans="1:12" x14ac:dyDescent="0.25">
      <c r="A800" t="s">
        <v>827</v>
      </c>
      <c r="B800">
        <v>74</v>
      </c>
      <c r="C800" t="s">
        <v>13</v>
      </c>
      <c r="D800" t="s">
        <v>34</v>
      </c>
      <c r="E800" s="2">
        <v>45891</v>
      </c>
      <c r="F800" s="2">
        <v>45901</v>
      </c>
      <c r="G800">
        <v>10</v>
      </c>
      <c r="H800" t="s">
        <v>20</v>
      </c>
      <c r="I800">
        <v>0</v>
      </c>
      <c r="J800" t="s">
        <v>29</v>
      </c>
      <c r="K800" t="s">
        <v>47</v>
      </c>
      <c r="L800">
        <v>14781.95</v>
      </c>
    </row>
    <row r="801" spans="1:12" x14ac:dyDescent="0.25">
      <c r="A801" t="s">
        <v>828</v>
      </c>
      <c r="B801">
        <v>78</v>
      </c>
      <c r="C801" t="s">
        <v>24</v>
      </c>
      <c r="D801" t="s">
        <v>14</v>
      </c>
      <c r="E801" s="2">
        <v>45877</v>
      </c>
      <c r="F801" s="2">
        <v>45881</v>
      </c>
      <c r="G801">
        <v>4</v>
      </c>
      <c r="H801" t="s">
        <v>20</v>
      </c>
      <c r="I801">
        <v>0</v>
      </c>
      <c r="J801" t="s">
        <v>16</v>
      </c>
      <c r="K801" t="s">
        <v>17</v>
      </c>
      <c r="L801">
        <v>7628.9</v>
      </c>
    </row>
    <row r="802" spans="1:12" x14ac:dyDescent="0.25">
      <c r="A802" t="s">
        <v>829</v>
      </c>
      <c r="B802">
        <v>28</v>
      </c>
      <c r="C802" t="s">
        <v>13</v>
      </c>
      <c r="D802" t="s">
        <v>14</v>
      </c>
      <c r="E802" s="2">
        <v>45711</v>
      </c>
      <c r="F802" s="2">
        <v>45718</v>
      </c>
      <c r="G802">
        <v>7</v>
      </c>
      <c r="H802" t="s">
        <v>20</v>
      </c>
      <c r="I802">
        <v>0</v>
      </c>
      <c r="J802" t="s">
        <v>29</v>
      </c>
      <c r="K802" t="s">
        <v>47</v>
      </c>
      <c r="L802">
        <v>10578.04</v>
      </c>
    </row>
    <row r="803" spans="1:12" x14ac:dyDescent="0.25">
      <c r="A803" t="s">
        <v>830</v>
      </c>
      <c r="B803">
        <v>39</v>
      </c>
      <c r="C803" t="s">
        <v>13</v>
      </c>
      <c r="D803" t="s">
        <v>32</v>
      </c>
      <c r="E803" s="2">
        <v>45710</v>
      </c>
      <c r="F803" s="2">
        <v>45722</v>
      </c>
      <c r="G803">
        <v>12</v>
      </c>
      <c r="H803" t="s">
        <v>20</v>
      </c>
      <c r="I803">
        <v>0</v>
      </c>
      <c r="J803" t="s">
        <v>21</v>
      </c>
      <c r="K803" t="s">
        <v>47</v>
      </c>
      <c r="L803">
        <v>3403.82</v>
      </c>
    </row>
    <row r="804" spans="1:12" x14ac:dyDescent="0.25">
      <c r="A804" t="s">
        <v>831</v>
      </c>
      <c r="B804">
        <v>72</v>
      </c>
      <c r="C804" t="s">
        <v>24</v>
      </c>
      <c r="D804" t="s">
        <v>32</v>
      </c>
      <c r="E804" s="2">
        <v>45864</v>
      </c>
      <c r="F804" s="2">
        <v>45866</v>
      </c>
      <c r="G804">
        <v>2</v>
      </c>
      <c r="H804" t="s">
        <v>15</v>
      </c>
      <c r="I804">
        <v>25</v>
      </c>
      <c r="J804" t="s">
        <v>25</v>
      </c>
      <c r="K804" t="s">
        <v>17</v>
      </c>
      <c r="L804">
        <v>14176.76</v>
      </c>
    </row>
    <row r="805" spans="1:12" x14ac:dyDescent="0.25">
      <c r="A805" t="s">
        <v>832</v>
      </c>
      <c r="B805">
        <v>69</v>
      </c>
      <c r="C805" t="s">
        <v>24</v>
      </c>
      <c r="D805" t="s">
        <v>34</v>
      </c>
      <c r="E805" s="2">
        <v>45840</v>
      </c>
      <c r="F805" s="2">
        <v>45848</v>
      </c>
      <c r="G805">
        <v>8</v>
      </c>
      <c r="H805" t="s">
        <v>20</v>
      </c>
      <c r="I805">
        <v>0</v>
      </c>
      <c r="J805" t="s">
        <v>25</v>
      </c>
      <c r="K805" t="s">
        <v>22</v>
      </c>
      <c r="L805">
        <v>11635.99</v>
      </c>
    </row>
    <row r="806" spans="1:12" x14ac:dyDescent="0.25">
      <c r="A806" t="s">
        <v>833</v>
      </c>
      <c r="B806">
        <v>81</v>
      </c>
      <c r="C806" t="s">
        <v>13</v>
      </c>
      <c r="D806" t="s">
        <v>28</v>
      </c>
      <c r="E806" s="2">
        <v>45713</v>
      </c>
      <c r="F806" s="2">
        <v>45715</v>
      </c>
      <c r="G806">
        <v>2</v>
      </c>
      <c r="H806" t="s">
        <v>15</v>
      </c>
      <c r="I806">
        <v>5</v>
      </c>
      <c r="J806" t="s">
        <v>16</v>
      </c>
      <c r="K806" t="s">
        <v>22</v>
      </c>
      <c r="L806">
        <v>11198.08</v>
      </c>
    </row>
    <row r="807" spans="1:12" x14ac:dyDescent="0.25">
      <c r="A807" t="s">
        <v>834</v>
      </c>
      <c r="B807">
        <v>40</v>
      </c>
      <c r="C807" t="s">
        <v>24</v>
      </c>
      <c r="D807" t="s">
        <v>34</v>
      </c>
      <c r="E807" s="2">
        <v>45692</v>
      </c>
      <c r="F807" s="2">
        <v>45700</v>
      </c>
      <c r="G807">
        <v>8</v>
      </c>
      <c r="H807" t="s">
        <v>20</v>
      </c>
      <c r="I807">
        <v>0</v>
      </c>
      <c r="J807" t="s">
        <v>25</v>
      </c>
      <c r="K807" t="s">
        <v>22</v>
      </c>
      <c r="L807">
        <v>4889.91</v>
      </c>
    </row>
    <row r="808" spans="1:12" x14ac:dyDescent="0.25">
      <c r="A808" t="s">
        <v>835</v>
      </c>
      <c r="B808">
        <v>84</v>
      </c>
      <c r="C808" t="s">
        <v>24</v>
      </c>
      <c r="D808" t="s">
        <v>40</v>
      </c>
      <c r="E808" s="2">
        <v>45977</v>
      </c>
      <c r="F808" s="2">
        <v>45979</v>
      </c>
      <c r="G808">
        <v>2</v>
      </c>
      <c r="H808" t="s">
        <v>20</v>
      </c>
      <c r="I808">
        <v>0</v>
      </c>
      <c r="J808" t="s">
        <v>21</v>
      </c>
      <c r="K808" t="s">
        <v>47</v>
      </c>
      <c r="L808">
        <v>10100.35</v>
      </c>
    </row>
    <row r="809" spans="1:12" x14ac:dyDescent="0.25">
      <c r="A809" t="s">
        <v>836</v>
      </c>
      <c r="B809">
        <v>61</v>
      </c>
      <c r="C809" t="s">
        <v>13</v>
      </c>
      <c r="D809" t="s">
        <v>19</v>
      </c>
      <c r="E809" s="2">
        <v>45909</v>
      </c>
      <c r="F809" s="2">
        <v>45918</v>
      </c>
      <c r="G809">
        <v>9</v>
      </c>
      <c r="H809" t="s">
        <v>15</v>
      </c>
      <c r="I809">
        <v>14</v>
      </c>
      <c r="J809" t="s">
        <v>16</v>
      </c>
      <c r="K809" t="s">
        <v>47</v>
      </c>
      <c r="L809">
        <v>7026.68</v>
      </c>
    </row>
    <row r="810" spans="1:12" x14ac:dyDescent="0.25">
      <c r="A810" t="s">
        <v>837</v>
      </c>
      <c r="B810">
        <v>22</v>
      </c>
      <c r="C810" t="s">
        <v>13</v>
      </c>
      <c r="D810" t="s">
        <v>34</v>
      </c>
      <c r="E810" s="2">
        <v>45850</v>
      </c>
      <c r="F810" s="2">
        <v>45858</v>
      </c>
      <c r="G810">
        <v>8</v>
      </c>
      <c r="H810" t="s">
        <v>20</v>
      </c>
      <c r="I810">
        <v>0</v>
      </c>
      <c r="J810" t="s">
        <v>25</v>
      </c>
      <c r="K810" t="s">
        <v>17</v>
      </c>
      <c r="L810">
        <v>2880.09</v>
      </c>
    </row>
    <row r="811" spans="1:12" x14ac:dyDescent="0.25">
      <c r="A811" t="s">
        <v>838</v>
      </c>
      <c r="B811">
        <v>67</v>
      </c>
      <c r="C811" t="s">
        <v>24</v>
      </c>
      <c r="D811" t="s">
        <v>19</v>
      </c>
      <c r="E811" s="2">
        <v>45878</v>
      </c>
      <c r="F811" s="2">
        <v>45881</v>
      </c>
      <c r="G811">
        <v>3</v>
      </c>
      <c r="H811" t="s">
        <v>20</v>
      </c>
      <c r="I811">
        <v>0</v>
      </c>
      <c r="J811" t="s">
        <v>29</v>
      </c>
      <c r="K811" t="s">
        <v>17</v>
      </c>
      <c r="L811">
        <v>8529.8700000000008</v>
      </c>
    </row>
    <row r="812" spans="1:12" x14ac:dyDescent="0.25">
      <c r="A812" t="s">
        <v>839</v>
      </c>
      <c r="B812">
        <v>89</v>
      </c>
      <c r="C812" t="s">
        <v>13</v>
      </c>
      <c r="D812" t="s">
        <v>34</v>
      </c>
      <c r="E812" s="2">
        <v>45934</v>
      </c>
      <c r="F812" s="2">
        <v>45944</v>
      </c>
      <c r="G812">
        <v>10</v>
      </c>
      <c r="H812" t="s">
        <v>20</v>
      </c>
      <c r="I812">
        <v>0</v>
      </c>
      <c r="J812" t="s">
        <v>16</v>
      </c>
      <c r="K812" t="s">
        <v>47</v>
      </c>
      <c r="L812">
        <v>4319.17</v>
      </c>
    </row>
    <row r="813" spans="1:12" x14ac:dyDescent="0.25">
      <c r="A813" t="s">
        <v>840</v>
      </c>
      <c r="B813">
        <v>63</v>
      </c>
      <c r="C813" t="s">
        <v>24</v>
      </c>
      <c r="D813" t="s">
        <v>32</v>
      </c>
      <c r="E813" s="2">
        <v>45960</v>
      </c>
      <c r="F813" s="2">
        <v>45967</v>
      </c>
      <c r="G813">
        <v>7</v>
      </c>
      <c r="H813" t="s">
        <v>20</v>
      </c>
      <c r="I813">
        <v>0</v>
      </c>
      <c r="J813" t="s">
        <v>16</v>
      </c>
      <c r="K813" t="s">
        <v>22</v>
      </c>
      <c r="L813">
        <v>9061.7199999999993</v>
      </c>
    </row>
    <row r="814" spans="1:12" x14ac:dyDescent="0.25">
      <c r="A814" t="s">
        <v>841</v>
      </c>
      <c r="B814">
        <v>21</v>
      </c>
      <c r="C814" t="s">
        <v>24</v>
      </c>
      <c r="D814" t="s">
        <v>40</v>
      </c>
      <c r="E814" s="2">
        <v>45723</v>
      </c>
      <c r="F814" s="2">
        <v>45737</v>
      </c>
      <c r="G814">
        <v>14</v>
      </c>
      <c r="H814" t="s">
        <v>20</v>
      </c>
      <c r="I814">
        <v>0</v>
      </c>
      <c r="J814" t="s">
        <v>16</v>
      </c>
      <c r="K814" t="s">
        <v>47</v>
      </c>
      <c r="L814">
        <v>5504.57</v>
      </c>
    </row>
    <row r="815" spans="1:12" x14ac:dyDescent="0.25">
      <c r="A815" t="s">
        <v>842</v>
      </c>
      <c r="B815">
        <v>49</v>
      </c>
      <c r="C815" t="s">
        <v>13</v>
      </c>
      <c r="D815" t="s">
        <v>14</v>
      </c>
      <c r="E815" s="2">
        <v>45840</v>
      </c>
      <c r="F815" s="2">
        <v>45847</v>
      </c>
      <c r="G815">
        <v>7</v>
      </c>
      <c r="H815" t="s">
        <v>20</v>
      </c>
      <c r="I815">
        <v>0</v>
      </c>
      <c r="J815" t="s">
        <v>25</v>
      </c>
      <c r="K815" t="s">
        <v>17</v>
      </c>
      <c r="L815">
        <v>1731.66</v>
      </c>
    </row>
    <row r="816" spans="1:12" x14ac:dyDescent="0.25">
      <c r="A816" t="s">
        <v>843</v>
      </c>
      <c r="B816">
        <v>32</v>
      </c>
      <c r="C816" t="s">
        <v>24</v>
      </c>
      <c r="D816" t="s">
        <v>14</v>
      </c>
      <c r="E816" s="2">
        <v>46010</v>
      </c>
      <c r="F816" s="2">
        <v>46012</v>
      </c>
      <c r="G816">
        <v>2</v>
      </c>
      <c r="H816" t="s">
        <v>20</v>
      </c>
      <c r="I816">
        <v>0</v>
      </c>
      <c r="J816" t="s">
        <v>16</v>
      </c>
      <c r="K816" t="s">
        <v>17</v>
      </c>
      <c r="L816">
        <v>5228.6899999999996</v>
      </c>
    </row>
    <row r="817" spans="1:12" x14ac:dyDescent="0.25">
      <c r="A817" t="s">
        <v>844</v>
      </c>
      <c r="B817">
        <v>90</v>
      </c>
      <c r="C817" t="s">
        <v>24</v>
      </c>
      <c r="D817" t="s">
        <v>32</v>
      </c>
      <c r="E817" s="2">
        <v>45893</v>
      </c>
      <c r="F817" s="2">
        <v>45904</v>
      </c>
      <c r="G817">
        <v>11</v>
      </c>
      <c r="H817" t="s">
        <v>20</v>
      </c>
      <c r="I817">
        <v>0</v>
      </c>
      <c r="J817" t="s">
        <v>16</v>
      </c>
      <c r="K817" t="s">
        <v>17</v>
      </c>
      <c r="L817">
        <v>7310.65</v>
      </c>
    </row>
    <row r="818" spans="1:12" x14ac:dyDescent="0.25">
      <c r="A818" t="s">
        <v>845</v>
      </c>
      <c r="B818">
        <v>67</v>
      </c>
      <c r="C818" t="s">
        <v>24</v>
      </c>
      <c r="D818" t="s">
        <v>34</v>
      </c>
      <c r="E818" s="2">
        <v>45669</v>
      </c>
      <c r="F818" s="2">
        <v>45675</v>
      </c>
      <c r="G818">
        <v>6</v>
      </c>
      <c r="H818" t="s">
        <v>20</v>
      </c>
      <c r="I818">
        <v>0</v>
      </c>
      <c r="J818" t="s">
        <v>16</v>
      </c>
      <c r="K818" t="s">
        <v>47</v>
      </c>
      <c r="L818">
        <v>1950.82</v>
      </c>
    </row>
    <row r="819" spans="1:12" x14ac:dyDescent="0.25">
      <c r="A819" t="s">
        <v>846</v>
      </c>
      <c r="B819">
        <v>82</v>
      </c>
      <c r="C819" t="s">
        <v>24</v>
      </c>
      <c r="D819" t="s">
        <v>14</v>
      </c>
      <c r="E819" s="2">
        <v>46003</v>
      </c>
      <c r="F819" s="2">
        <v>46007</v>
      </c>
      <c r="G819">
        <v>4</v>
      </c>
      <c r="H819" t="s">
        <v>20</v>
      </c>
      <c r="I819">
        <v>0</v>
      </c>
      <c r="J819" t="s">
        <v>25</v>
      </c>
      <c r="K819" t="s">
        <v>47</v>
      </c>
      <c r="L819">
        <v>14556.7</v>
      </c>
    </row>
    <row r="820" spans="1:12" x14ac:dyDescent="0.25">
      <c r="A820" t="s">
        <v>847</v>
      </c>
      <c r="B820">
        <v>27</v>
      </c>
      <c r="C820" t="s">
        <v>13</v>
      </c>
      <c r="D820" t="s">
        <v>32</v>
      </c>
      <c r="E820" s="2">
        <v>45761</v>
      </c>
      <c r="F820" s="2">
        <v>45769</v>
      </c>
      <c r="G820">
        <v>8</v>
      </c>
      <c r="H820" t="s">
        <v>20</v>
      </c>
      <c r="I820">
        <v>0</v>
      </c>
      <c r="J820" t="s">
        <v>25</v>
      </c>
      <c r="K820" t="s">
        <v>22</v>
      </c>
      <c r="L820">
        <v>4811.1400000000003</v>
      </c>
    </row>
    <row r="821" spans="1:12" x14ac:dyDescent="0.25">
      <c r="A821" t="s">
        <v>848</v>
      </c>
      <c r="B821">
        <v>29</v>
      </c>
      <c r="C821" t="s">
        <v>13</v>
      </c>
      <c r="D821" t="s">
        <v>34</v>
      </c>
      <c r="E821" s="2">
        <v>45951</v>
      </c>
      <c r="F821" s="2">
        <v>45958</v>
      </c>
      <c r="G821">
        <v>7</v>
      </c>
      <c r="H821" t="s">
        <v>20</v>
      </c>
      <c r="I821">
        <v>0</v>
      </c>
      <c r="J821" t="s">
        <v>25</v>
      </c>
      <c r="K821" t="s">
        <v>47</v>
      </c>
      <c r="L821">
        <v>1475.41</v>
      </c>
    </row>
    <row r="822" spans="1:12" x14ac:dyDescent="0.25">
      <c r="A822" t="s">
        <v>849</v>
      </c>
      <c r="B822">
        <v>62</v>
      </c>
      <c r="C822" t="s">
        <v>13</v>
      </c>
      <c r="D822" t="s">
        <v>28</v>
      </c>
      <c r="E822" s="2">
        <v>45929</v>
      </c>
      <c r="F822" s="2">
        <v>45937</v>
      </c>
      <c r="G822">
        <v>8</v>
      </c>
      <c r="H822" t="s">
        <v>20</v>
      </c>
      <c r="I822">
        <v>0</v>
      </c>
      <c r="J822" t="s">
        <v>25</v>
      </c>
      <c r="K822" t="s">
        <v>17</v>
      </c>
      <c r="L822">
        <v>12159.84</v>
      </c>
    </row>
    <row r="823" spans="1:12" x14ac:dyDescent="0.25">
      <c r="A823" t="s">
        <v>850</v>
      </c>
      <c r="B823">
        <v>43</v>
      </c>
      <c r="C823" t="s">
        <v>24</v>
      </c>
      <c r="D823" t="s">
        <v>40</v>
      </c>
      <c r="E823" s="2">
        <v>45879</v>
      </c>
      <c r="F823" s="2">
        <v>45890</v>
      </c>
      <c r="G823">
        <v>11</v>
      </c>
      <c r="H823" t="s">
        <v>20</v>
      </c>
      <c r="I823">
        <v>0</v>
      </c>
      <c r="J823" t="s">
        <v>25</v>
      </c>
      <c r="K823" t="s">
        <v>17</v>
      </c>
      <c r="L823">
        <v>7972.85</v>
      </c>
    </row>
    <row r="824" spans="1:12" x14ac:dyDescent="0.25">
      <c r="A824" t="s">
        <v>851</v>
      </c>
      <c r="B824">
        <v>20</v>
      </c>
      <c r="C824" t="s">
        <v>13</v>
      </c>
      <c r="D824" t="s">
        <v>34</v>
      </c>
      <c r="E824" s="2">
        <v>46001</v>
      </c>
      <c r="F824" s="2">
        <v>46014</v>
      </c>
      <c r="G824">
        <v>13</v>
      </c>
      <c r="H824" t="s">
        <v>20</v>
      </c>
      <c r="I824">
        <v>0</v>
      </c>
      <c r="J824" t="s">
        <v>29</v>
      </c>
      <c r="K824" t="s">
        <v>22</v>
      </c>
      <c r="L824">
        <v>10081.69</v>
      </c>
    </row>
    <row r="825" spans="1:12" x14ac:dyDescent="0.25">
      <c r="A825" t="s">
        <v>852</v>
      </c>
      <c r="B825">
        <v>86</v>
      </c>
      <c r="C825" t="s">
        <v>24</v>
      </c>
      <c r="D825" t="s">
        <v>34</v>
      </c>
      <c r="E825" s="2">
        <v>45897</v>
      </c>
      <c r="F825" s="2">
        <v>45902</v>
      </c>
      <c r="G825">
        <v>5</v>
      </c>
      <c r="H825" t="s">
        <v>20</v>
      </c>
      <c r="I825">
        <v>0</v>
      </c>
      <c r="J825" t="s">
        <v>16</v>
      </c>
      <c r="K825" t="s">
        <v>17</v>
      </c>
      <c r="L825">
        <v>3409.4</v>
      </c>
    </row>
    <row r="826" spans="1:12" x14ac:dyDescent="0.25">
      <c r="A826" t="s">
        <v>853</v>
      </c>
      <c r="B826">
        <v>56</v>
      </c>
      <c r="C826" t="s">
        <v>24</v>
      </c>
      <c r="D826" t="s">
        <v>40</v>
      </c>
      <c r="E826" s="2">
        <v>45894</v>
      </c>
      <c r="F826" s="2">
        <v>45897</v>
      </c>
      <c r="G826">
        <v>3</v>
      </c>
      <c r="H826" t="s">
        <v>15</v>
      </c>
      <c r="I826">
        <v>11</v>
      </c>
      <c r="J826" t="s">
        <v>16</v>
      </c>
      <c r="K826" t="s">
        <v>17</v>
      </c>
      <c r="L826">
        <v>3451.59</v>
      </c>
    </row>
    <row r="827" spans="1:12" x14ac:dyDescent="0.25">
      <c r="A827" t="s">
        <v>854</v>
      </c>
      <c r="B827">
        <v>38</v>
      </c>
      <c r="C827" t="s">
        <v>24</v>
      </c>
      <c r="D827" t="s">
        <v>28</v>
      </c>
      <c r="E827" s="2">
        <v>45869</v>
      </c>
      <c r="F827" s="2">
        <v>45874</v>
      </c>
      <c r="G827">
        <v>5</v>
      </c>
      <c r="H827" t="s">
        <v>20</v>
      </c>
      <c r="I827">
        <v>0</v>
      </c>
      <c r="J827" t="s">
        <v>21</v>
      </c>
      <c r="K827" t="s">
        <v>47</v>
      </c>
      <c r="L827">
        <v>3958.01</v>
      </c>
    </row>
    <row r="828" spans="1:12" x14ac:dyDescent="0.25">
      <c r="A828" t="s">
        <v>855</v>
      </c>
      <c r="B828">
        <v>57</v>
      </c>
      <c r="C828" t="s">
        <v>24</v>
      </c>
      <c r="D828" t="s">
        <v>40</v>
      </c>
      <c r="E828" s="2">
        <v>45734</v>
      </c>
      <c r="F828" s="2">
        <v>45738</v>
      </c>
      <c r="G828">
        <v>4</v>
      </c>
      <c r="H828" t="s">
        <v>15</v>
      </c>
      <c r="I828">
        <v>18</v>
      </c>
      <c r="J828" t="s">
        <v>29</v>
      </c>
      <c r="K828" t="s">
        <v>47</v>
      </c>
      <c r="L828">
        <v>9880.3700000000008</v>
      </c>
    </row>
    <row r="829" spans="1:12" x14ac:dyDescent="0.25">
      <c r="A829" t="s">
        <v>856</v>
      </c>
      <c r="B829">
        <v>35</v>
      </c>
      <c r="C829" t="s">
        <v>13</v>
      </c>
      <c r="D829" t="s">
        <v>32</v>
      </c>
      <c r="E829" s="2">
        <v>45676</v>
      </c>
      <c r="F829" s="2">
        <v>45680</v>
      </c>
      <c r="G829">
        <v>4</v>
      </c>
      <c r="H829" t="s">
        <v>15</v>
      </c>
      <c r="I829">
        <v>26</v>
      </c>
      <c r="J829" t="s">
        <v>25</v>
      </c>
      <c r="K829" t="s">
        <v>17</v>
      </c>
      <c r="L829">
        <v>8485.24</v>
      </c>
    </row>
    <row r="830" spans="1:12" x14ac:dyDescent="0.25">
      <c r="A830" t="s">
        <v>857</v>
      </c>
      <c r="B830">
        <v>80</v>
      </c>
      <c r="C830" t="s">
        <v>13</v>
      </c>
      <c r="D830" t="s">
        <v>19</v>
      </c>
      <c r="E830" s="2">
        <v>45987</v>
      </c>
      <c r="F830" s="2">
        <v>46001</v>
      </c>
      <c r="G830">
        <v>14</v>
      </c>
      <c r="H830" t="s">
        <v>15</v>
      </c>
      <c r="I830">
        <v>28</v>
      </c>
      <c r="J830" t="s">
        <v>16</v>
      </c>
      <c r="K830" t="s">
        <v>47</v>
      </c>
      <c r="L830">
        <v>9223.2000000000007</v>
      </c>
    </row>
    <row r="831" spans="1:12" x14ac:dyDescent="0.25">
      <c r="A831" t="s">
        <v>858</v>
      </c>
      <c r="B831">
        <v>29</v>
      </c>
      <c r="C831" t="s">
        <v>24</v>
      </c>
      <c r="D831" t="s">
        <v>28</v>
      </c>
      <c r="E831" s="2">
        <v>45690</v>
      </c>
      <c r="F831" s="2">
        <v>45697</v>
      </c>
      <c r="G831">
        <v>7</v>
      </c>
      <c r="H831" t="s">
        <v>20</v>
      </c>
      <c r="I831">
        <v>0</v>
      </c>
      <c r="J831" t="s">
        <v>21</v>
      </c>
      <c r="K831" t="s">
        <v>22</v>
      </c>
      <c r="L831">
        <v>2123.02</v>
      </c>
    </row>
    <row r="832" spans="1:12" x14ac:dyDescent="0.25">
      <c r="A832" t="s">
        <v>859</v>
      </c>
      <c r="B832">
        <v>85</v>
      </c>
      <c r="C832" t="s">
        <v>24</v>
      </c>
      <c r="D832" t="s">
        <v>40</v>
      </c>
      <c r="E832" s="2">
        <v>45914</v>
      </c>
      <c r="F832" s="2">
        <v>45916</v>
      </c>
      <c r="G832">
        <v>2</v>
      </c>
      <c r="H832" t="s">
        <v>20</v>
      </c>
      <c r="I832">
        <v>0</v>
      </c>
      <c r="J832" t="s">
        <v>16</v>
      </c>
      <c r="K832" t="s">
        <v>22</v>
      </c>
      <c r="L832">
        <v>9197.41</v>
      </c>
    </row>
    <row r="833" spans="1:12" x14ac:dyDescent="0.25">
      <c r="A833" t="s">
        <v>860</v>
      </c>
      <c r="B833">
        <v>67</v>
      </c>
      <c r="C833" t="s">
        <v>13</v>
      </c>
      <c r="D833" t="s">
        <v>40</v>
      </c>
      <c r="E833" s="2">
        <v>45818</v>
      </c>
      <c r="F833" s="2">
        <v>45824</v>
      </c>
      <c r="G833">
        <v>6</v>
      </c>
      <c r="H833" t="s">
        <v>20</v>
      </c>
      <c r="I833">
        <v>0</v>
      </c>
      <c r="J833" t="s">
        <v>21</v>
      </c>
      <c r="K833" t="s">
        <v>22</v>
      </c>
      <c r="L833">
        <v>2048.8000000000002</v>
      </c>
    </row>
    <row r="834" spans="1:12" x14ac:dyDescent="0.25">
      <c r="A834" t="s">
        <v>861</v>
      </c>
      <c r="B834">
        <v>50</v>
      </c>
      <c r="C834" t="s">
        <v>13</v>
      </c>
      <c r="D834" t="s">
        <v>40</v>
      </c>
      <c r="E834" s="2">
        <v>45767</v>
      </c>
      <c r="F834" s="2">
        <v>45772</v>
      </c>
      <c r="G834">
        <v>5</v>
      </c>
      <c r="H834" t="s">
        <v>20</v>
      </c>
      <c r="I834">
        <v>0</v>
      </c>
      <c r="J834" t="s">
        <v>25</v>
      </c>
      <c r="K834" t="s">
        <v>17</v>
      </c>
      <c r="L834">
        <v>14256.31</v>
      </c>
    </row>
    <row r="835" spans="1:12" x14ac:dyDescent="0.25">
      <c r="A835" t="s">
        <v>862</v>
      </c>
      <c r="B835">
        <v>49</v>
      </c>
      <c r="C835" t="s">
        <v>24</v>
      </c>
      <c r="D835" t="s">
        <v>14</v>
      </c>
      <c r="E835" s="2">
        <v>45820</v>
      </c>
      <c r="F835" s="2">
        <v>45829</v>
      </c>
      <c r="G835">
        <v>9</v>
      </c>
      <c r="H835" t="s">
        <v>20</v>
      </c>
      <c r="I835">
        <v>0</v>
      </c>
      <c r="J835" t="s">
        <v>25</v>
      </c>
      <c r="K835" t="s">
        <v>47</v>
      </c>
      <c r="L835">
        <v>10877.23</v>
      </c>
    </row>
    <row r="836" spans="1:12" x14ac:dyDescent="0.25">
      <c r="A836" t="s">
        <v>863</v>
      </c>
      <c r="B836">
        <v>22</v>
      </c>
      <c r="C836" t="s">
        <v>13</v>
      </c>
      <c r="D836" t="s">
        <v>28</v>
      </c>
      <c r="E836" s="2">
        <v>45815</v>
      </c>
      <c r="F836" s="2">
        <v>45816</v>
      </c>
      <c r="G836">
        <v>1</v>
      </c>
      <c r="H836" t="s">
        <v>20</v>
      </c>
      <c r="I836">
        <v>0</v>
      </c>
      <c r="J836" t="s">
        <v>21</v>
      </c>
      <c r="K836" t="s">
        <v>47</v>
      </c>
      <c r="L836">
        <v>8514.5499999999993</v>
      </c>
    </row>
    <row r="837" spans="1:12" x14ac:dyDescent="0.25">
      <c r="A837" t="s">
        <v>864</v>
      </c>
      <c r="B837">
        <v>64</v>
      </c>
      <c r="C837" t="s">
        <v>13</v>
      </c>
      <c r="D837" t="s">
        <v>34</v>
      </c>
      <c r="E837" s="2">
        <v>45816</v>
      </c>
      <c r="F837" s="2">
        <v>45827</v>
      </c>
      <c r="G837">
        <v>11</v>
      </c>
      <c r="H837" t="s">
        <v>20</v>
      </c>
      <c r="I837">
        <v>0</v>
      </c>
      <c r="J837" t="s">
        <v>21</v>
      </c>
      <c r="K837" t="s">
        <v>47</v>
      </c>
      <c r="L837">
        <v>6132.83</v>
      </c>
    </row>
    <row r="838" spans="1:12" x14ac:dyDescent="0.25">
      <c r="A838" t="s">
        <v>865</v>
      </c>
      <c r="B838">
        <v>48</v>
      </c>
      <c r="C838" t="s">
        <v>24</v>
      </c>
      <c r="D838" t="s">
        <v>14</v>
      </c>
      <c r="E838" s="2">
        <v>45859</v>
      </c>
      <c r="F838" s="2">
        <v>45864</v>
      </c>
      <c r="G838">
        <v>5</v>
      </c>
      <c r="H838" t="s">
        <v>20</v>
      </c>
      <c r="I838">
        <v>0</v>
      </c>
      <c r="J838" t="s">
        <v>21</v>
      </c>
      <c r="K838" t="s">
        <v>47</v>
      </c>
      <c r="L838">
        <v>9654.61</v>
      </c>
    </row>
    <row r="839" spans="1:12" x14ac:dyDescent="0.25">
      <c r="A839" t="s">
        <v>866</v>
      </c>
      <c r="B839">
        <v>53</v>
      </c>
      <c r="C839" t="s">
        <v>13</v>
      </c>
      <c r="D839" t="s">
        <v>40</v>
      </c>
      <c r="E839" s="2">
        <v>45987</v>
      </c>
      <c r="F839" s="2">
        <v>45994</v>
      </c>
      <c r="G839">
        <v>7</v>
      </c>
      <c r="H839" t="s">
        <v>20</v>
      </c>
      <c r="I839">
        <v>0</v>
      </c>
      <c r="J839" t="s">
        <v>29</v>
      </c>
      <c r="K839" t="s">
        <v>17</v>
      </c>
      <c r="L839">
        <v>6487.94</v>
      </c>
    </row>
    <row r="840" spans="1:12" x14ac:dyDescent="0.25">
      <c r="A840" t="s">
        <v>867</v>
      </c>
      <c r="B840">
        <v>30</v>
      </c>
      <c r="C840" t="s">
        <v>13</v>
      </c>
      <c r="D840" t="s">
        <v>28</v>
      </c>
      <c r="E840" s="2">
        <v>45828</v>
      </c>
      <c r="F840" s="2">
        <v>45840</v>
      </c>
      <c r="G840">
        <v>12</v>
      </c>
      <c r="H840" t="s">
        <v>20</v>
      </c>
      <c r="I840">
        <v>0</v>
      </c>
      <c r="J840" t="s">
        <v>25</v>
      </c>
      <c r="K840" t="s">
        <v>17</v>
      </c>
      <c r="L840">
        <v>1462.32</v>
      </c>
    </row>
    <row r="841" spans="1:12" x14ac:dyDescent="0.25">
      <c r="A841" t="s">
        <v>868</v>
      </c>
      <c r="B841">
        <v>88</v>
      </c>
      <c r="C841" t="s">
        <v>24</v>
      </c>
      <c r="D841" t="s">
        <v>40</v>
      </c>
      <c r="E841" s="2">
        <v>45873</v>
      </c>
      <c r="F841" s="2">
        <v>45883</v>
      </c>
      <c r="G841">
        <v>10</v>
      </c>
      <c r="H841" t="s">
        <v>20</v>
      </c>
      <c r="I841">
        <v>0</v>
      </c>
      <c r="J841" t="s">
        <v>16</v>
      </c>
      <c r="K841" t="s">
        <v>22</v>
      </c>
      <c r="L841">
        <v>9799.91</v>
      </c>
    </row>
    <row r="842" spans="1:12" x14ac:dyDescent="0.25">
      <c r="A842" t="s">
        <v>869</v>
      </c>
      <c r="B842">
        <v>35</v>
      </c>
      <c r="C842" t="s">
        <v>13</v>
      </c>
      <c r="D842" t="s">
        <v>40</v>
      </c>
      <c r="E842" s="2">
        <v>45752</v>
      </c>
      <c r="F842" s="2">
        <v>45763</v>
      </c>
      <c r="G842">
        <v>11</v>
      </c>
      <c r="H842" t="s">
        <v>20</v>
      </c>
      <c r="I842">
        <v>0</v>
      </c>
      <c r="J842" t="s">
        <v>21</v>
      </c>
      <c r="K842" t="s">
        <v>17</v>
      </c>
      <c r="L842">
        <v>4930.4399999999996</v>
      </c>
    </row>
    <row r="843" spans="1:12" x14ac:dyDescent="0.25">
      <c r="A843" t="s">
        <v>870</v>
      </c>
      <c r="B843">
        <v>49</v>
      </c>
      <c r="C843" t="s">
        <v>13</v>
      </c>
      <c r="D843" t="s">
        <v>34</v>
      </c>
      <c r="E843" s="2">
        <v>45952</v>
      </c>
      <c r="F843" s="2">
        <v>45954</v>
      </c>
      <c r="G843">
        <v>2</v>
      </c>
      <c r="H843" t="s">
        <v>15</v>
      </c>
      <c r="I843">
        <v>22</v>
      </c>
      <c r="J843" t="s">
        <v>29</v>
      </c>
      <c r="K843" t="s">
        <v>47</v>
      </c>
      <c r="L843">
        <v>7046.6</v>
      </c>
    </row>
    <row r="844" spans="1:12" x14ac:dyDescent="0.25">
      <c r="A844" t="s">
        <v>871</v>
      </c>
      <c r="B844">
        <v>59</v>
      </c>
      <c r="C844" t="s">
        <v>24</v>
      </c>
      <c r="D844" t="s">
        <v>14</v>
      </c>
      <c r="E844" s="2">
        <v>45726</v>
      </c>
      <c r="F844" s="2">
        <v>45731</v>
      </c>
      <c r="G844">
        <v>5</v>
      </c>
      <c r="H844" t="s">
        <v>15</v>
      </c>
      <c r="I844">
        <v>3</v>
      </c>
      <c r="J844" t="s">
        <v>29</v>
      </c>
      <c r="K844" t="s">
        <v>47</v>
      </c>
      <c r="L844">
        <v>3137.39</v>
      </c>
    </row>
    <row r="845" spans="1:12" x14ac:dyDescent="0.25">
      <c r="A845" t="s">
        <v>872</v>
      </c>
      <c r="B845">
        <v>46</v>
      </c>
      <c r="C845" t="s">
        <v>13</v>
      </c>
      <c r="D845" t="s">
        <v>19</v>
      </c>
      <c r="E845" s="2">
        <v>45851</v>
      </c>
      <c r="F845" s="2">
        <v>45865</v>
      </c>
      <c r="G845">
        <v>14</v>
      </c>
      <c r="H845" t="s">
        <v>20</v>
      </c>
      <c r="I845">
        <v>0</v>
      </c>
      <c r="J845" t="s">
        <v>21</v>
      </c>
      <c r="K845" t="s">
        <v>22</v>
      </c>
      <c r="L845">
        <v>14624.85</v>
      </c>
    </row>
    <row r="846" spans="1:12" x14ac:dyDescent="0.25">
      <c r="A846" t="s">
        <v>873</v>
      </c>
      <c r="B846">
        <v>39</v>
      </c>
      <c r="C846" t="s">
        <v>13</v>
      </c>
      <c r="D846" t="s">
        <v>40</v>
      </c>
      <c r="E846" s="2">
        <v>45759</v>
      </c>
      <c r="F846" s="2">
        <v>45764</v>
      </c>
      <c r="G846">
        <v>5</v>
      </c>
      <c r="H846" t="s">
        <v>20</v>
      </c>
      <c r="I846">
        <v>0</v>
      </c>
      <c r="J846" t="s">
        <v>29</v>
      </c>
      <c r="K846" t="s">
        <v>17</v>
      </c>
      <c r="L846">
        <v>4272.29</v>
      </c>
    </row>
    <row r="847" spans="1:12" x14ac:dyDescent="0.25">
      <c r="A847" t="s">
        <v>874</v>
      </c>
      <c r="B847">
        <v>90</v>
      </c>
      <c r="C847" t="s">
        <v>13</v>
      </c>
      <c r="D847" t="s">
        <v>19</v>
      </c>
      <c r="E847" s="2">
        <v>45703</v>
      </c>
      <c r="F847" s="2">
        <v>45709</v>
      </c>
      <c r="G847">
        <v>6</v>
      </c>
      <c r="H847" t="s">
        <v>15</v>
      </c>
      <c r="I847">
        <v>23</v>
      </c>
      <c r="J847" t="s">
        <v>29</v>
      </c>
      <c r="K847" t="s">
        <v>47</v>
      </c>
      <c r="L847">
        <v>12495.23</v>
      </c>
    </row>
    <row r="848" spans="1:12" x14ac:dyDescent="0.25">
      <c r="A848" t="s">
        <v>875</v>
      </c>
      <c r="B848">
        <v>44</v>
      </c>
      <c r="C848" t="s">
        <v>13</v>
      </c>
      <c r="D848" t="s">
        <v>32</v>
      </c>
      <c r="E848" s="2">
        <v>45911</v>
      </c>
      <c r="F848" s="2">
        <v>45913</v>
      </c>
      <c r="G848">
        <v>2</v>
      </c>
      <c r="H848" t="s">
        <v>15</v>
      </c>
      <c r="I848">
        <v>10</v>
      </c>
      <c r="J848" t="s">
        <v>29</v>
      </c>
      <c r="K848" t="s">
        <v>47</v>
      </c>
      <c r="L848">
        <v>2387.89</v>
      </c>
    </row>
    <row r="849" spans="1:12" x14ac:dyDescent="0.25">
      <c r="A849" t="s">
        <v>876</v>
      </c>
      <c r="B849">
        <v>54</v>
      </c>
      <c r="C849" t="s">
        <v>13</v>
      </c>
      <c r="D849" t="s">
        <v>40</v>
      </c>
      <c r="E849" s="2">
        <v>45763</v>
      </c>
      <c r="F849" s="2">
        <v>45773</v>
      </c>
      <c r="G849">
        <v>10</v>
      </c>
      <c r="H849" t="s">
        <v>15</v>
      </c>
      <c r="I849">
        <v>6</v>
      </c>
      <c r="J849" t="s">
        <v>29</v>
      </c>
      <c r="K849" t="s">
        <v>22</v>
      </c>
      <c r="L849">
        <v>917.21</v>
      </c>
    </row>
    <row r="850" spans="1:12" x14ac:dyDescent="0.25">
      <c r="A850" t="s">
        <v>877</v>
      </c>
      <c r="B850">
        <v>49</v>
      </c>
      <c r="C850" t="s">
        <v>24</v>
      </c>
      <c r="D850" t="s">
        <v>34</v>
      </c>
      <c r="E850" s="2">
        <v>45792</v>
      </c>
      <c r="F850" s="2">
        <v>45796</v>
      </c>
      <c r="G850">
        <v>4</v>
      </c>
      <c r="H850" t="s">
        <v>20</v>
      </c>
      <c r="I850">
        <v>0</v>
      </c>
      <c r="J850" t="s">
        <v>29</v>
      </c>
      <c r="K850" t="s">
        <v>22</v>
      </c>
      <c r="L850">
        <v>649.64</v>
      </c>
    </row>
    <row r="851" spans="1:12" x14ac:dyDescent="0.25">
      <c r="A851" t="s">
        <v>878</v>
      </c>
      <c r="B851">
        <v>68</v>
      </c>
      <c r="C851" t="s">
        <v>13</v>
      </c>
      <c r="D851" t="s">
        <v>28</v>
      </c>
      <c r="E851" s="2">
        <v>45726</v>
      </c>
      <c r="F851" s="2">
        <v>45740</v>
      </c>
      <c r="G851">
        <v>14</v>
      </c>
      <c r="H851" t="s">
        <v>20</v>
      </c>
      <c r="I851">
        <v>0</v>
      </c>
      <c r="J851" t="s">
        <v>29</v>
      </c>
      <c r="K851" t="s">
        <v>17</v>
      </c>
      <c r="L851">
        <v>6637.72</v>
      </c>
    </row>
    <row r="852" spans="1:12" x14ac:dyDescent="0.25">
      <c r="A852" t="s">
        <v>879</v>
      </c>
      <c r="B852">
        <v>89</v>
      </c>
      <c r="C852" t="s">
        <v>13</v>
      </c>
      <c r="D852" t="s">
        <v>19</v>
      </c>
      <c r="E852" s="2">
        <v>45963</v>
      </c>
      <c r="F852" s="2">
        <v>45968</v>
      </c>
      <c r="G852">
        <v>5</v>
      </c>
      <c r="H852" t="s">
        <v>15</v>
      </c>
      <c r="I852">
        <v>11</v>
      </c>
      <c r="J852" t="s">
        <v>21</v>
      </c>
      <c r="K852" t="s">
        <v>47</v>
      </c>
      <c r="L852">
        <v>13669.28</v>
      </c>
    </row>
    <row r="853" spans="1:12" x14ac:dyDescent="0.25">
      <c r="A853" t="s">
        <v>880</v>
      </c>
      <c r="B853">
        <v>23</v>
      </c>
      <c r="C853" t="s">
        <v>13</v>
      </c>
      <c r="D853" t="s">
        <v>32</v>
      </c>
      <c r="E853" s="2">
        <v>45968</v>
      </c>
      <c r="F853" s="2">
        <v>45979</v>
      </c>
      <c r="G853">
        <v>11</v>
      </c>
      <c r="H853" t="s">
        <v>20</v>
      </c>
      <c r="I853">
        <v>0</v>
      </c>
      <c r="J853" t="s">
        <v>29</v>
      </c>
      <c r="K853" t="s">
        <v>47</v>
      </c>
      <c r="L853">
        <v>14674.1</v>
      </c>
    </row>
    <row r="854" spans="1:12" x14ac:dyDescent="0.25">
      <c r="A854" t="s">
        <v>881</v>
      </c>
      <c r="B854">
        <v>89</v>
      </c>
      <c r="C854" t="s">
        <v>13</v>
      </c>
      <c r="D854" t="s">
        <v>34</v>
      </c>
      <c r="E854" s="2">
        <v>46001</v>
      </c>
      <c r="F854" s="2">
        <v>46007</v>
      </c>
      <c r="G854">
        <v>6</v>
      </c>
      <c r="H854" t="s">
        <v>15</v>
      </c>
      <c r="I854">
        <v>6</v>
      </c>
      <c r="J854" t="s">
        <v>25</v>
      </c>
      <c r="K854" t="s">
        <v>22</v>
      </c>
      <c r="L854">
        <v>7804.33</v>
      </c>
    </row>
    <row r="855" spans="1:12" x14ac:dyDescent="0.25">
      <c r="A855" t="s">
        <v>882</v>
      </c>
      <c r="B855">
        <v>58</v>
      </c>
      <c r="C855" t="s">
        <v>24</v>
      </c>
      <c r="D855" t="s">
        <v>14</v>
      </c>
      <c r="E855" s="2">
        <v>45831</v>
      </c>
      <c r="F855" s="2">
        <v>45839</v>
      </c>
      <c r="G855">
        <v>8</v>
      </c>
      <c r="H855" t="s">
        <v>15</v>
      </c>
      <c r="I855">
        <v>9</v>
      </c>
      <c r="J855" t="s">
        <v>16</v>
      </c>
      <c r="K855" t="s">
        <v>47</v>
      </c>
      <c r="L855">
        <v>1140.3499999999999</v>
      </c>
    </row>
    <row r="856" spans="1:12" x14ac:dyDescent="0.25">
      <c r="A856" t="s">
        <v>883</v>
      </c>
      <c r="B856">
        <v>53</v>
      </c>
      <c r="C856" t="s">
        <v>24</v>
      </c>
      <c r="D856" t="s">
        <v>40</v>
      </c>
      <c r="E856" s="2">
        <v>45723</v>
      </c>
      <c r="F856" s="2">
        <v>45731</v>
      </c>
      <c r="G856">
        <v>8</v>
      </c>
      <c r="H856" t="s">
        <v>20</v>
      </c>
      <c r="I856">
        <v>0</v>
      </c>
      <c r="J856" t="s">
        <v>25</v>
      </c>
      <c r="K856" t="s">
        <v>47</v>
      </c>
      <c r="L856">
        <v>9387.51</v>
      </c>
    </row>
    <row r="857" spans="1:12" x14ac:dyDescent="0.25">
      <c r="A857" t="s">
        <v>884</v>
      </c>
      <c r="B857">
        <v>39</v>
      </c>
      <c r="C857" t="s">
        <v>24</v>
      </c>
      <c r="D857" t="s">
        <v>28</v>
      </c>
      <c r="E857" s="2">
        <v>45793</v>
      </c>
      <c r="F857" s="2">
        <v>45802</v>
      </c>
      <c r="G857">
        <v>9</v>
      </c>
      <c r="H857" t="s">
        <v>20</v>
      </c>
      <c r="I857">
        <v>0</v>
      </c>
      <c r="J857" t="s">
        <v>29</v>
      </c>
      <c r="K857" t="s">
        <v>22</v>
      </c>
      <c r="L857">
        <v>8557.2800000000007</v>
      </c>
    </row>
    <row r="858" spans="1:12" x14ac:dyDescent="0.25">
      <c r="A858" t="s">
        <v>885</v>
      </c>
      <c r="B858">
        <v>24</v>
      </c>
      <c r="C858" t="s">
        <v>13</v>
      </c>
      <c r="D858" t="s">
        <v>14</v>
      </c>
      <c r="E858" s="2">
        <v>45994</v>
      </c>
      <c r="F858" s="2">
        <v>46005</v>
      </c>
      <c r="G858">
        <v>11</v>
      </c>
      <c r="H858" t="s">
        <v>20</v>
      </c>
      <c r="I858">
        <v>0</v>
      </c>
      <c r="J858" t="s">
        <v>16</v>
      </c>
      <c r="K858" t="s">
        <v>22</v>
      </c>
      <c r="L858">
        <v>3155.55</v>
      </c>
    </row>
    <row r="859" spans="1:12" x14ac:dyDescent="0.25">
      <c r="A859" t="s">
        <v>886</v>
      </c>
      <c r="B859">
        <v>77</v>
      </c>
      <c r="C859" t="s">
        <v>24</v>
      </c>
      <c r="D859" t="s">
        <v>19</v>
      </c>
      <c r="E859" s="2">
        <v>45898</v>
      </c>
      <c r="F859" s="2">
        <v>45903</v>
      </c>
      <c r="G859">
        <v>5</v>
      </c>
      <c r="H859" t="s">
        <v>15</v>
      </c>
      <c r="I859">
        <v>29</v>
      </c>
      <c r="J859" t="s">
        <v>29</v>
      </c>
      <c r="K859" t="s">
        <v>22</v>
      </c>
      <c r="L859">
        <v>6902.04</v>
      </c>
    </row>
    <row r="860" spans="1:12" x14ac:dyDescent="0.25">
      <c r="A860" t="s">
        <v>887</v>
      </c>
      <c r="B860">
        <v>81</v>
      </c>
      <c r="C860" t="s">
        <v>13</v>
      </c>
      <c r="D860" t="s">
        <v>28</v>
      </c>
      <c r="E860" s="2">
        <v>46021</v>
      </c>
      <c r="F860" s="2">
        <v>46030</v>
      </c>
      <c r="G860">
        <v>9</v>
      </c>
      <c r="H860" t="s">
        <v>20</v>
      </c>
      <c r="I860">
        <v>0</v>
      </c>
      <c r="J860" t="s">
        <v>21</v>
      </c>
      <c r="K860" t="s">
        <v>22</v>
      </c>
      <c r="L860">
        <v>5569.26</v>
      </c>
    </row>
    <row r="861" spans="1:12" x14ac:dyDescent="0.25">
      <c r="A861" t="s">
        <v>888</v>
      </c>
      <c r="B861">
        <v>39</v>
      </c>
      <c r="C861" t="s">
        <v>24</v>
      </c>
      <c r="D861" t="s">
        <v>34</v>
      </c>
      <c r="E861" s="2">
        <v>45762</v>
      </c>
      <c r="F861" s="2">
        <v>45776</v>
      </c>
      <c r="G861">
        <v>14</v>
      </c>
      <c r="H861" t="s">
        <v>15</v>
      </c>
      <c r="I861">
        <v>29</v>
      </c>
      <c r="J861" t="s">
        <v>21</v>
      </c>
      <c r="K861" t="s">
        <v>17</v>
      </c>
      <c r="L861">
        <v>14971.07</v>
      </c>
    </row>
    <row r="862" spans="1:12" x14ac:dyDescent="0.25">
      <c r="A862" t="s">
        <v>889</v>
      </c>
      <c r="B862">
        <v>41</v>
      </c>
      <c r="C862" t="s">
        <v>24</v>
      </c>
      <c r="D862" t="s">
        <v>19</v>
      </c>
      <c r="E862" s="2">
        <v>45660</v>
      </c>
      <c r="F862" s="2">
        <v>45669</v>
      </c>
      <c r="G862">
        <v>9</v>
      </c>
      <c r="H862" t="s">
        <v>20</v>
      </c>
      <c r="I862">
        <v>0</v>
      </c>
      <c r="J862" t="s">
        <v>21</v>
      </c>
      <c r="K862" t="s">
        <v>47</v>
      </c>
      <c r="L862">
        <v>10315.17</v>
      </c>
    </row>
    <row r="863" spans="1:12" x14ac:dyDescent="0.25">
      <c r="A863" t="s">
        <v>890</v>
      </c>
      <c r="B863">
        <v>33</v>
      </c>
      <c r="C863" t="s">
        <v>24</v>
      </c>
      <c r="D863" t="s">
        <v>32</v>
      </c>
      <c r="E863" s="2">
        <v>45826</v>
      </c>
      <c r="F863" s="2">
        <v>45827</v>
      </c>
      <c r="G863">
        <v>1</v>
      </c>
      <c r="H863" t="s">
        <v>15</v>
      </c>
      <c r="I863">
        <v>19</v>
      </c>
      <c r="J863" t="s">
        <v>16</v>
      </c>
      <c r="K863" t="s">
        <v>47</v>
      </c>
      <c r="L863">
        <v>2729.74</v>
      </c>
    </row>
    <row r="864" spans="1:12" x14ac:dyDescent="0.25">
      <c r="A864" t="s">
        <v>891</v>
      </c>
      <c r="B864">
        <v>79</v>
      </c>
      <c r="C864" t="s">
        <v>24</v>
      </c>
      <c r="D864" t="s">
        <v>28</v>
      </c>
      <c r="E864" s="2">
        <v>45699</v>
      </c>
      <c r="F864" s="2">
        <v>45707</v>
      </c>
      <c r="G864">
        <v>8</v>
      </c>
      <c r="H864" t="s">
        <v>20</v>
      </c>
      <c r="I864">
        <v>0</v>
      </c>
      <c r="J864" t="s">
        <v>25</v>
      </c>
      <c r="K864" t="s">
        <v>17</v>
      </c>
      <c r="L864">
        <v>10041.09</v>
      </c>
    </row>
    <row r="865" spans="1:12" x14ac:dyDescent="0.25">
      <c r="A865" t="s">
        <v>892</v>
      </c>
      <c r="B865">
        <v>75</v>
      </c>
      <c r="C865" t="s">
        <v>24</v>
      </c>
      <c r="D865" t="s">
        <v>28</v>
      </c>
      <c r="E865" s="2">
        <v>45826</v>
      </c>
      <c r="F865" s="2">
        <v>45827</v>
      </c>
      <c r="G865">
        <v>1</v>
      </c>
      <c r="H865" t="s">
        <v>20</v>
      </c>
      <c r="I865">
        <v>0</v>
      </c>
      <c r="J865" t="s">
        <v>21</v>
      </c>
      <c r="K865" t="s">
        <v>22</v>
      </c>
      <c r="L865">
        <v>13017.54</v>
      </c>
    </row>
    <row r="866" spans="1:12" x14ac:dyDescent="0.25">
      <c r="A866" t="s">
        <v>893</v>
      </c>
      <c r="B866">
        <v>25</v>
      </c>
      <c r="C866" t="s">
        <v>13</v>
      </c>
      <c r="D866" t="s">
        <v>34</v>
      </c>
      <c r="E866" s="2">
        <v>45987</v>
      </c>
      <c r="F866" s="2">
        <v>45992</v>
      </c>
      <c r="G866">
        <v>5</v>
      </c>
      <c r="H866" t="s">
        <v>20</v>
      </c>
      <c r="I866">
        <v>0</v>
      </c>
      <c r="J866" t="s">
        <v>29</v>
      </c>
      <c r="K866" t="s">
        <v>22</v>
      </c>
      <c r="L866">
        <v>6283.45</v>
      </c>
    </row>
    <row r="867" spans="1:12" x14ac:dyDescent="0.25">
      <c r="A867" t="s">
        <v>894</v>
      </c>
      <c r="B867">
        <v>69</v>
      </c>
      <c r="C867" t="s">
        <v>13</v>
      </c>
      <c r="D867" t="s">
        <v>19</v>
      </c>
      <c r="E867" s="2">
        <v>45749</v>
      </c>
      <c r="F867" s="2">
        <v>45753</v>
      </c>
      <c r="G867">
        <v>4</v>
      </c>
      <c r="H867" t="s">
        <v>20</v>
      </c>
      <c r="I867">
        <v>0</v>
      </c>
      <c r="J867" t="s">
        <v>21</v>
      </c>
      <c r="K867" t="s">
        <v>22</v>
      </c>
      <c r="L867">
        <v>6133.29</v>
      </c>
    </row>
    <row r="868" spans="1:12" x14ac:dyDescent="0.25">
      <c r="A868" t="s">
        <v>895</v>
      </c>
      <c r="B868">
        <v>37</v>
      </c>
      <c r="C868" t="s">
        <v>13</v>
      </c>
      <c r="D868" t="s">
        <v>32</v>
      </c>
      <c r="E868" s="2">
        <v>45864</v>
      </c>
      <c r="F868" s="2">
        <v>45869</v>
      </c>
      <c r="G868">
        <v>5</v>
      </c>
      <c r="H868" t="s">
        <v>20</v>
      </c>
      <c r="I868">
        <v>0</v>
      </c>
      <c r="J868" t="s">
        <v>29</v>
      </c>
      <c r="K868" t="s">
        <v>47</v>
      </c>
      <c r="L868">
        <v>11170.39</v>
      </c>
    </row>
    <row r="869" spans="1:12" x14ac:dyDescent="0.25">
      <c r="A869" t="s">
        <v>896</v>
      </c>
      <c r="B869">
        <v>63</v>
      </c>
      <c r="C869" t="s">
        <v>13</v>
      </c>
      <c r="D869" t="s">
        <v>32</v>
      </c>
      <c r="E869" s="2">
        <v>45816</v>
      </c>
      <c r="F869" s="2">
        <v>45827</v>
      </c>
      <c r="G869">
        <v>11</v>
      </c>
      <c r="H869" t="s">
        <v>20</v>
      </c>
      <c r="I869">
        <v>0</v>
      </c>
      <c r="J869" t="s">
        <v>21</v>
      </c>
      <c r="K869" t="s">
        <v>47</v>
      </c>
      <c r="L869">
        <v>6958.92</v>
      </c>
    </row>
    <row r="870" spans="1:12" x14ac:dyDescent="0.25">
      <c r="A870" t="s">
        <v>897</v>
      </c>
      <c r="B870">
        <v>72</v>
      </c>
      <c r="C870" t="s">
        <v>13</v>
      </c>
      <c r="D870" t="s">
        <v>40</v>
      </c>
      <c r="E870" s="2">
        <v>45856</v>
      </c>
      <c r="F870" s="2">
        <v>45864</v>
      </c>
      <c r="G870">
        <v>8</v>
      </c>
      <c r="H870" t="s">
        <v>15</v>
      </c>
      <c r="I870">
        <v>26</v>
      </c>
      <c r="J870" t="s">
        <v>25</v>
      </c>
      <c r="K870" t="s">
        <v>17</v>
      </c>
      <c r="L870">
        <v>3202.16</v>
      </c>
    </row>
    <row r="871" spans="1:12" x14ac:dyDescent="0.25">
      <c r="A871" t="s">
        <v>898</v>
      </c>
      <c r="B871">
        <v>83</v>
      </c>
      <c r="C871" t="s">
        <v>24</v>
      </c>
      <c r="D871" t="s">
        <v>40</v>
      </c>
      <c r="E871" s="2">
        <v>45980</v>
      </c>
      <c r="F871" s="2">
        <v>45987</v>
      </c>
      <c r="G871">
        <v>7</v>
      </c>
      <c r="H871" t="s">
        <v>15</v>
      </c>
      <c r="I871">
        <v>22</v>
      </c>
      <c r="J871" t="s">
        <v>21</v>
      </c>
      <c r="K871" t="s">
        <v>17</v>
      </c>
      <c r="L871">
        <v>10450.43</v>
      </c>
    </row>
    <row r="872" spans="1:12" x14ac:dyDescent="0.25">
      <c r="A872" t="s">
        <v>899</v>
      </c>
      <c r="B872">
        <v>85</v>
      </c>
      <c r="C872" t="s">
        <v>13</v>
      </c>
      <c r="D872" t="s">
        <v>32</v>
      </c>
      <c r="E872" s="2">
        <v>45737</v>
      </c>
      <c r="F872" s="2">
        <v>45745</v>
      </c>
      <c r="G872">
        <v>8</v>
      </c>
      <c r="H872" t="s">
        <v>20</v>
      </c>
      <c r="I872">
        <v>0</v>
      </c>
      <c r="J872" t="s">
        <v>29</v>
      </c>
      <c r="K872" t="s">
        <v>47</v>
      </c>
      <c r="L872">
        <v>1648.16</v>
      </c>
    </row>
    <row r="873" spans="1:12" x14ac:dyDescent="0.25">
      <c r="A873" t="s">
        <v>900</v>
      </c>
      <c r="B873">
        <v>34</v>
      </c>
      <c r="C873" t="s">
        <v>24</v>
      </c>
      <c r="D873" t="s">
        <v>14</v>
      </c>
      <c r="E873" s="2">
        <v>45902</v>
      </c>
      <c r="F873" s="2">
        <v>45907</v>
      </c>
      <c r="G873">
        <v>5</v>
      </c>
      <c r="H873" t="s">
        <v>15</v>
      </c>
      <c r="I873">
        <v>17</v>
      </c>
      <c r="J873" t="s">
        <v>29</v>
      </c>
      <c r="K873" t="s">
        <v>47</v>
      </c>
      <c r="L873">
        <v>8743.77</v>
      </c>
    </row>
    <row r="874" spans="1:12" x14ac:dyDescent="0.25">
      <c r="A874" t="s">
        <v>901</v>
      </c>
      <c r="B874">
        <v>83</v>
      </c>
      <c r="C874" t="s">
        <v>13</v>
      </c>
      <c r="D874" t="s">
        <v>34</v>
      </c>
      <c r="E874" s="2">
        <v>45940</v>
      </c>
      <c r="F874" s="2">
        <v>45942</v>
      </c>
      <c r="G874">
        <v>2</v>
      </c>
      <c r="H874" t="s">
        <v>20</v>
      </c>
      <c r="I874">
        <v>0</v>
      </c>
      <c r="J874" t="s">
        <v>29</v>
      </c>
      <c r="K874" t="s">
        <v>47</v>
      </c>
      <c r="L874">
        <v>1870.02</v>
      </c>
    </row>
    <row r="875" spans="1:12" x14ac:dyDescent="0.25">
      <c r="A875" t="s">
        <v>902</v>
      </c>
      <c r="B875">
        <v>50</v>
      </c>
      <c r="C875" t="s">
        <v>24</v>
      </c>
      <c r="D875" t="s">
        <v>32</v>
      </c>
      <c r="E875" s="2">
        <v>45996</v>
      </c>
      <c r="F875" s="2">
        <v>46008</v>
      </c>
      <c r="G875">
        <v>12</v>
      </c>
      <c r="H875" t="s">
        <v>20</v>
      </c>
      <c r="I875">
        <v>0</v>
      </c>
      <c r="J875" t="s">
        <v>16</v>
      </c>
      <c r="K875" t="s">
        <v>17</v>
      </c>
      <c r="L875">
        <v>735.9</v>
      </c>
    </row>
    <row r="876" spans="1:12" x14ac:dyDescent="0.25">
      <c r="A876" t="s">
        <v>903</v>
      </c>
      <c r="B876">
        <v>41</v>
      </c>
      <c r="C876" t="s">
        <v>24</v>
      </c>
      <c r="D876" t="s">
        <v>19</v>
      </c>
      <c r="E876" s="2">
        <v>45996</v>
      </c>
      <c r="F876" s="2">
        <v>46004</v>
      </c>
      <c r="G876">
        <v>8</v>
      </c>
      <c r="H876" t="s">
        <v>15</v>
      </c>
      <c r="I876">
        <v>3</v>
      </c>
      <c r="J876" t="s">
        <v>29</v>
      </c>
      <c r="K876" t="s">
        <v>17</v>
      </c>
      <c r="L876">
        <v>4815.8900000000003</v>
      </c>
    </row>
    <row r="877" spans="1:12" x14ac:dyDescent="0.25">
      <c r="A877" t="s">
        <v>904</v>
      </c>
      <c r="B877">
        <v>75</v>
      </c>
      <c r="C877" t="s">
        <v>24</v>
      </c>
      <c r="D877" t="s">
        <v>32</v>
      </c>
      <c r="E877" s="2">
        <v>45958</v>
      </c>
      <c r="F877" s="2">
        <v>45970</v>
      </c>
      <c r="G877">
        <v>12</v>
      </c>
      <c r="H877" t="s">
        <v>20</v>
      </c>
      <c r="I877">
        <v>0</v>
      </c>
      <c r="J877" t="s">
        <v>21</v>
      </c>
      <c r="K877" t="s">
        <v>22</v>
      </c>
      <c r="L877">
        <v>3183.77</v>
      </c>
    </row>
    <row r="878" spans="1:12" x14ac:dyDescent="0.25">
      <c r="A878" t="s">
        <v>905</v>
      </c>
      <c r="B878">
        <v>31</v>
      </c>
      <c r="C878" t="s">
        <v>24</v>
      </c>
      <c r="D878" t="s">
        <v>34</v>
      </c>
      <c r="E878" s="2">
        <v>45967</v>
      </c>
      <c r="F878" s="2">
        <v>45972</v>
      </c>
      <c r="G878">
        <v>5</v>
      </c>
      <c r="H878" t="s">
        <v>20</v>
      </c>
      <c r="I878">
        <v>0</v>
      </c>
      <c r="J878" t="s">
        <v>16</v>
      </c>
      <c r="K878" t="s">
        <v>22</v>
      </c>
      <c r="L878">
        <v>6226.54</v>
      </c>
    </row>
    <row r="879" spans="1:12" x14ac:dyDescent="0.25">
      <c r="A879" t="s">
        <v>906</v>
      </c>
      <c r="B879">
        <v>76</v>
      </c>
      <c r="C879" t="s">
        <v>24</v>
      </c>
      <c r="D879" t="s">
        <v>28</v>
      </c>
      <c r="E879" s="2">
        <v>45664</v>
      </c>
      <c r="F879" s="2">
        <v>45667</v>
      </c>
      <c r="G879">
        <v>3</v>
      </c>
      <c r="H879" t="s">
        <v>20</v>
      </c>
      <c r="I879">
        <v>0</v>
      </c>
      <c r="J879" t="s">
        <v>29</v>
      </c>
      <c r="K879" t="s">
        <v>47</v>
      </c>
      <c r="L879">
        <v>9468.24</v>
      </c>
    </row>
    <row r="880" spans="1:12" x14ac:dyDescent="0.25">
      <c r="A880" t="s">
        <v>907</v>
      </c>
      <c r="B880">
        <v>68</v>
      </c>
      <c r="C880" t="s">
        <v>24</v>
      </c>
      <c r="D880" t="s">
        <v>19</v>
      </c>
      <c r="E880" s="2">
        <v>45973</v>
      </c>
      <c r="F880" s="2">
        <v>45979</v>
      </c>
      <c r="G880">
        <v>6</v>
      </c>
      <c r="H880" t="s">
        <v>20</v>
      </c>
      <c r="I880">
        <v>0</v>
      </c>
      <c r="J880" t="s">
        <v>21</v>
      </c>
      <c r="K880" t="s">
        <v>22</v>
      </c>
      <c r="L880">
        <v>701.2</v>
      </c>
    </row>
    <row r="881" spans="1:12" x14ac:dyDescent="0.25">
      <c r="A881" t="s">
        <v>908</v>
      </c>
      <c r="B881">
        <v>42</v>
      </c>
      <c r="C881" t="s">
        <v>13</v>
      </c>
      <c r="D881" t="s">
        <v>14</v>
      </c>
      <c r="E881" s="2">
        <v>45715</v>
      </c>
      <c r="F881" s="2">
        <v>45729</v>
      </c>
      <c r="G881">
        <v>14</v>
      </c>
      <c r="H881" t="s">
        <v>15</v>
      </c>
      <c r="I881">
        <v>16</v>
      </c>
      <c r="J881" t="s">
        <v>21</v>
      </c>
      <c r="K881" t="s">
        <v>17</v>
      </c>
      <c r="L881">
        <v>4005.81</v>
      </c>
    </row>
    <row r="882" spans="1:12" x14ac:dyDescent="0.25">
      <c r="A882" t="s">
        <v>909</v>
      </c>
      <c r="B882">
        <v>42</v>
      </c>
      <c r="C882" t="s">
        <v>13</v>
      </c>
      <c r="D882" t="s">
        <v>32</v>
      </c>
      <c r="E882" s="2">
        <v>45978</v>
      </c>
      <c r="F882" s="2">
        <v>45992</v>
      </c>
      <c r="G882">
        <v>14</v>
      </c>
      <c r="H882" t="s">
        <v>20</v>
      </c>
      <c r="I882">
        <v>0</v>
      </c>
      <c r="J882" t="s">
        <v>29</v>
      </c>
      <c r="K882" t="s">
        <v>22</v>
      </c>
      <c r="L882">
        <v>7372.84</v>
      </c>
    </row>
    <row r="883" spans="1:12" x14ac:dyDescent="0.25">
      <c r="A883" t="s">
        <v>910</v>
      </c>
      <c r="B883">
        <v>37</v>
      </c>
      <c r="C883" t="s">
        <v>24</v>
      </c>
      <c r="D883" t="s">
        <v>40</v>
      </c>
      <c r="E883" s="2">
        <v>45669</v>
      </c>
      <c r="F883" s="2">
        <v>45671</v>
      </c>
      <c r="G883">
        <v>2</v>
      </c>
      <c r="H883" t="s">
        <v>15</v>
      </c>
      <c r="I883">
        <v>16</v>
      </c>
      <c r="J883" t="s">
        <v>16</v>
      </c>
      <c r="K883" t="s">
        <v>47</v>
      </c>
      <c r="L883">
        <v>8985.7800000000007</v>
      </c>
    </row>
    <row r="884" spans="1:12" x14ac:dyDescent="0.25">
      <c r="A884" t="s">
        <v>911</v>
      </c>
      <c r="B884">
        <v>68</v>
      </c>
      <c r="C884" t="s">
        <v>13</v>
      </c>
      <c r="D884" t="s">
        <v>32</v>
      </c>
      <c r="E884" s="2">
        <v>45761</v>
      </c>
      <c r="F884" s="2">
        <v>45766</v>
      </c>
      <c r="G884">
        <v>5</v>
      </c>
      <c r="H884" t="s">
        <v>20</v>
      </c>
      <c r="I884">
        <v>0</v>
      </c>
      <c r="J884" t="s">
        <v>16</v>
      </c>
      <c r="K884" t="s">
        <v>22</v>
      </c>
      <c r="L884">
        <v>9640.94</v>
      </c>
    </row>
    <row r="885" spans="1:12" x14ac:dyDescent="0.25">
      <c r="A885" t="s">
        <v>912</v>
      </c>
      <c r="B885">
        <v>88</v>
      </c>
      <c r="C885" t="s">
        <v>24</v>
      </c>
      <c r="D885" t="s">
        <v>19</v>
      </c>
      <c r="E885" s="2">
        <v>45879</v>
      </c>
      <c r="F885" s="2">
        <v>45886</v>
      </c>
      <c r="G885">
        <v>7</v>
      </c>
      <c r="H885" t="s">
        <v>20</v>
      </c>
      <c r="I885">
        <v>0</v>
      </c>
      <c r="J885" t="s">
        <v>29</v>
      </c>
      <c r="K885" t="s">
        <v>47</v>
      </c>
      <c r="L885">
        <v>7548.46</v>
      </c>
    </row>
    <row r="886" spans="1:12" x14ac:dyDescent="0.25">
      <c r="A886" t="s">
        <v>913</v>
      </c>
      <c r="B886">
        <v>80</v>
      </c>
      <c r="C886" t="s">
        <v>13</v>
      </c>
      <c r="D886" t="s">
        <v>28</v>
      </c>
      <c r="E886" s="2">
        <v>45960</v>
      </c>
      <c r="F886" s="2">
        <v>45972</v>
      </c>
      <c r="G886">
        <v>12</v>
      </c>
      <c r="H886" t="s">
        <v>20</v>
      </c>
      <c r="I886">
        <v>0</v>
      </c>
      <c r="J886" t="s">
        <v>16</v>
      </c>
      <c r="K886" t="s">
        <v>17</v>
      </c>
      <c r="L886">
        <v>775.79</v>
      </c>
    </row>
    <row r="887" spans="1:12" x14ac:dyDescent="0.25">
      <c r="A887" t="s">
        <v>914</v>
      </c>
      <c r="B887">
        <v>52</v>
      </c>
      <c r="C887" t="s">
        <v>24</v>
      </c>
      <c r="D887" t="s">
        <v>40</v>
      </c>
      <c r="E887" s="2">
        <v>45953</v>
      </c>
      <c r="F887" s="2">
        <v>45959</v>
      </c>
      <c r="G887">
        <v>6</v>
      </c>
      <c r="H887" t="s">
        <v>20</v>
      </c>
      <c r="I887">
        <v>0</v>
      </c>
      <c r="J887" t="s">
        <v>16</v>
      </c>
      <c r="K887" t="s">
        <v>47</v>
      </c>
      <c r="L887">
        <v>9529.1</v>
      </c>
    </row>
    <row r="888" spans="1:12" x14ac:dyDescent="0.25">
      <c r="A888" t="s">
        <v>915</v>
      </c>
      <c r="B888">
        <v>73</v>
      </c>
      <c r="C888" t="s">
        <v>13</v>
      </c>
      <c r="D888" t="s">
        <v>14</v>
      </c>
      <c r="E888" s="2">
        <v>45988</v>
      </c>
      <c r="F888" s="2">
        <v>45994</v>
      </c>
      <c r="G888">
        <v>6</v>
      </c>
      <c r="H888" t="s">
        <v>20</v>
      </c>
      <c r="I888">
        <v>0</v>
      </c>
      <c r="J888" t="s">
        <v>25</v>
      </c>
      <c r="K888" t="s">
        <v>17</v>
      </c>
      <c r="L888">
        <v>3286.92</v>
      </c>
    </row>
    <row r="889" spans="1:12" x14ac:dyDescent="0.25">
      <c r="A889" t="s">
        <v>916</v>
      </c>
      <c r="B889">
        <v>46</v>
      </c>
      <c r="C889" t="s">
        <v>24</v>
      </c>
      <c r="D889" t="s">
        <v>34</v>
      </c>
      <c r="E889" s="2">
        <v>45834</v>
      </c>
      <c r="F889" s="2">
        <v>45842</v>
      </c>
      <c r="G889">
        <v>8</v>
      </c>
      <c r="H889" t="s">
        <v>15</v>
      </c>
      <c r="I889">
        <v>28</v>
      </c>
      <c r="J889" t="s">
        <v>29</v>
      </c>
      <c r="K889" t="s">
        <v>22</v>
      </c>
      <c r="L889">
        <v>13306.01</v>
      </c>
    </row>
    <row r="890" spans="1:12" x14ac:dyDescent="0.25">
      <c r="A890" t="s">
        <v>917</v>
      </c>
      <c r="B890">
        <v>64</v>
      </c>
      <c r="C890" t="s">
        <v>24</v>
      </c>
      <c r="D890" t="s">
        <v>14</v>
      </c>
      <c r="E890" s="2">
        <v>46022</v>
      </c>
      <c r="F890" s="2">
        <v>46029</v>
      </c>
      <c r="G890">
        <v>7</v>
      </c>
      <c r="H890" t="s">
        <v>20</v>
      </c>
      <c r="I890">
        <v>0</v>
      </c>
      <c r="J890" t="s">
        <v>21</v>
      </c>
      <c r="K890" t="s">
        <v>47</v>
      </c>
      <c r="L890">
        <v>10515.11</v>
      </c>
    </row>
    <row r="891" spans="1:12" x14ac:dyDescent="0.25">
      <c r="A891" t="s">
        <v>918</v>
      </c>
      <c r="B891">
        <v>40</v>
      </c>
      <c r="C891" t="s">
        <v>13</v>
      </c>
      <c r="D891" t="s">
        <v>14</v>
      </c>
      <c r="E891" s="2">
        <v>45702</v>
      </c>
      <c r="F891" s="2">
        <v>45713</v>
      </c>
      <c r="G891">
        <v>11</v>
      </c>
      <c r="H891" t="s">
        <v>20</v>
      </c>
      <c r="I891">
        <v>0</v>
      </c>
      <c r="J891" t="s">
        <v>29</v>
      </c>
      <c r="K891" t="s">
        <v>22</v>
      </c>
      <c r="L891">
        <v>12005.5</v>
      </c>
    </row>
    <row r="892" spans="1:12" x14ac:dyDescent="0.25">
      <c r="A892" t="s">
        <v>919</v>
      </c>
      <c r="B892">
        <v>89</v>
      </c>
      <c r="C892" t="s">
        <v>13</v>
      </c>
      <c r="D892" t="s">
        <v>19</v>
      </c>
      <c r="E892" s="2">
        <v>45910</v>
      </c>
      <c r="F892" s="2">
        <v>45915</v>
      </c>
      <c r="G892">
        <v>5</v>
      </c>
      <c r="H892" t="s">
        <v>15</v>
      </c>
      <c r="I892">
        <v>12</v>
      </c>
      <c r="J892" t="s">
        <v>25</v>
      </c>
      <c r="K892" t="s">
        <v>47</v>
      </c>
      <c r="L892">
        <v>10315.450000000001</v>
      </c>
    </row>
    <row r="893" spans="1:12" x14ac:dyDescent="0.25">
      <c r="A893" t="s">
        <v>920</v>
      </c>
      <c r="B893">
        <v>82</v>
      </c>
      <c r="C893" t="s">
        <v>13</v>
      </c>
      <c r="D893" t="s">
        <v>19</v>
      </c>
      <c r="E893" s="2">
        <v>45747</v>
      </c>
      <c r="F893" s="2">
        <v>45761</v>
      </c>
      <c r="G893">
        <v>14</v>
      </c>
      <c r="H893" t="s">
        <v>20</v>
      </c>
      <c r="I893">
        <v>0</v>
      </c>
      <c r="J893" t="s">
        <v>25</v>
      </c>
      <c r="K893" t="s">
        <v>47</v>
      </c>
      <c r="L893">
        <v>2152.5500000000002</v>
      </c>
    </row>
    <row r="894" spans="1:12" x14ac:dyDescent="0.25">
      <c r="A894" t="s">
        <v>921</v>
      </c>
      <c r="B894">
        <v>80</v>
      </c>
      <c r="C894" t="s">
        <v>24</v>
      </c>
      <c r="D894" t="s">
        <v>32</v>
      </c>
      <c r="E894" s="2">
        <v>45774</v>
      </c>
      <c r="F894" s="2">
        <v>45776</v>
      </c>
      <c r="G894">
        <v>2</v>
      </c>
      <c r="H894" t="s">
        <v>20</v>
      </c>
      <c r="I894">
        <v>0</v>
      </c>
      <c r="J894" t="s">
        <v>25</v>
      </c>
      <c r="K894" t="s">
        <v>22</v>
      </c>
      <c r="L894">
        <v>11666.38</v>
      </c>
    </row>
    <row r="895" spans="1:12" x14ac:dyDescent="0.25">
      <c r="A895" t="s">
        <v>922</v>
      </c>
      <c r="B895">
        <v>83</v>
      </c>
      <c r="C895" t="s">
        <v>13</v>
      </c>
      <c r="D895" t="s">
        <v>28</v>
      </c>
      <c r="E895" s="2">
        <v>45943</v>
      </c>
      <c r="F895" s="2">
        <v>45948</v>
      </c>
      <c r="G895">
        <v>5</v>
      </c>
      <c r="H895" t="s">
        <v>20</v>
      </c>
      <c r="I895">
        <v>0</v>
      </c>
      <c r="J895" t="s">
        <v>16</v>
      </c>
      <c r="K895" t="s">
        <v>47</v>
      </c>
      <c r="L895">
        <v>12085.31</v>
      </c>
    </row>
    <row r="896" spans="1:12" x14ac:dyDescent="0.25">
      <c r="A896" t="s">
        <v>923</v>
      </c>
      <c r="B896">
        <v>31</v>
      </c>
      <c r="C896" t="s">
        <v>13</v>
      </c>
      <c r="D896" t="s">
        <v>34</v>
      </c>
      <c r="E896" s="2">
        <v>45714</v>
      </c>
      <c r="F896" s="2">
        <v>45716</v>
      </c>
      <c r="G896">
        <v>2</v>
      </c>
      <c r="H896" t="s">
        <v>20</v>
      </c>
      <c r="I896">
        <v>0</v>
      </c>
      <c r="J896" t="s">
        <v>16</v>
      </c>
      <c r="K896" t="s">
        <v>22</v>
      </c>
      <c r="L896">
        <v>9633.93</v>
      </c>
    </row>
    <row r="897" spans="1:12" x14ac:dyDescent="0.25">
      <c r="A897" t="s">
        <v>924</v>
      </c>
      <c r="B897">
        <v>55</v>
      </c>
      <c r="C897" t="s">
        <v>24</v>
      </c>
      <c r="D897" t="s">
        <v>34</v>
      </c>
      <c r="E897" s="2">
        <v>45763</v>
      </c>
      <c r="F897" s="2">
        <v>45769</v>
      </c>
      <c r="G897">
        <v>6</v>
      </c>
      <c r="H897" t="s">
        <v>15</v>
      </c>
      <c r="I897">
        <v>16</v>
      </c>
      <c r="J897" t="s">
        <v>16</v>
      </c>
      <c r="K897" t="s">
        <v>22</v>
      </c>
      <c r="L897">
        <v>9882.85</v>
      </c>
    </row>
    <row r="898" spans="1:12" x14ac:dyDescent="0.25">
      <c r="A898" t="s">
        <v>925</v>
      </c>
      <c r="B898">
        <v>43</v>
      </c>
      <c r="C898" t="s">
        <v>24</v>
      </c>
      <c r="D898" t="s">
        <v>40</v>
      </c>
      <c r="E898" s="2">
        <v>45829</v>
      </c>
      <c r="F898" s="2">
        <v>45843</v>
      </c>
      <c r="G898">
        <v>14</v>
      </c>
      <c r="H898" t="s">
        <v>15</v>
      </c>
      <c r="I898">
        <v>25</v>
      </c>
      <c r="J898" t="s">
        <v>16</v>
      </c>
      <c r="K898" t="s">
        <v>22</v>
      </c>
      <c r="L898">
        <v>12604.79</v>
      </c>
    </row>
    <row r="899" spans="1:12" x14ac:dyDescent="0.25">
      <c r="A899" t="s">
        <v>926</v>
      </c>
      <c r="B899">
        <v>39</v>
      </c>
      <c r="C899" t="s">
        <v>13</v>
      </c>
      <c r="D899" t="s">
        <v>32</v>
      </c>
      <c r="E899" s="2">
        <v>45900</v>
      </c>
      <c r="F899" s="2">
        <v>45906</v>
      </c>
      <c r="G899">
        <v>6</v>
      </c>
      <c r="H899" t="s">
        <v>15</v>
      </c>
      <c r="I899">
        <v>12</v>
      </c>
      <c r="J899" t="s">
        <v>29</v>
      </c>
      <c r="K899" t="s">
        <v>47</v>
      </c>
      <c r="L899">
        <v>9626.89</v>
      </c>
    </row>
    <row r="900" spans="1:12" x14ac:dyDescent="0.25">
      <c r="A900" t="s">
        <v>927</v>
      </c>
      <c r="B900">
        <v>85</v>
      </c>
      <c r="C900" t="s">
        <v>24</v>
      </c>
      <c r="D900" t="s">
        <v>14</v>
      </c>
      <c r="E900" s="2">
        <v>45783</v>
      </c>
      <c r="F900" s="2">
        <v>45786</v>
      </c>
      <c r="G900">
        <v>3</v>
      </c>
      <c r="H900" t="s">
        <v>20</v>
      </c>
      <c r="I900">
        <v>0</v>
      </c>
      <c r="J900" t="s">
        <v>21</v>
      </c>
      <c r="K900" t="s">
        <v>47</v>
      </c>
      <c r="L900">
        <v>6494.44</v>
      </c>
    </row>
    <row r="901" spans="1:12" x14ac:dyDescent="0.25">
      <c r="A901" t="s">
        <v>928</v>
      </c>
      <c r="B901">
        <v>84</v>
      </c>
      <c r="C901" t="s">
        <v>24</v>
      </c>
      <c r="D901" t="s">
        <v>19</v>
      </c>
      <c r="E901" s="2">
        <v>45867</v>
      </c>
      <c r="F901" s="2">
        <v>45875</v>
      </c>
      <c r="G901">
        <v>8</v>
      </c>
      <c r="H901" t="s">
        <v>20</v>
      </c>
      <c r="I901">
        <v>0</v>
      </c>
      <c r="J901" t="s">
        <v>29</v>
      </c>
      <c r="K901" t="s">
        <v>22</v>
      </c>
      <c r="L901">
        <v>11667.2</v>
      </c>
    </row>
    <row r="902" spans="1:12" x14ac:dyDescent="0.25">
      <c r="A902" t="s">
        <v>929</v>
      </c>
      <c r="B902">
        <v>58</v>
      </c>
      <c r="C902" t="s">
        <v>24</v>
      </c>
      <c r="D902" t="s">
        <v>14</v>
      </c>
      <c r="E902" s="2">
        <v>45922</v>
      </c>
      <c r="F902" s="2">
        <v>45924</v>
      </c>
      <c r="G902">
        <v>2</v>
      </c>
      <c r="H902" t="s">
        <v>15</v>
      </c>
      <c r="I902">
        <v>14</v>
      </c>
      <c r="J902" t="s">
        <v>16</v>
      </c>
      <c r="K902" t="s">
        <v>47</v>
      </c>
      <c r="L902">
        <v>11508.29</v>
      </c>
    </row>
    <row r="903" spans="1:12" x14ac:dyDescent="0.25">
      <c r="A903" t="s">
        <v>930</v>
      </c>
      <c r="B903">
        <v>25</v>
      </c>
      <c r="C903" t="s">
        <v>24</v>
      </c>
      <c r="D903" t="s">
        <v>40</v>
      </c>
      <c r="E903" s="2">
        <v>45996</v>
      </c>
      <c r="F903" s="2">
        <v>46007</v>
      </c>
      <c r="G903">
        <v>11</v>
      </c>
      <c r="H903" t="s">
        <v>15</v>
      </c>
      <c r="I903">
        <v>13</v>
      </c>
      <c r="J903" t="s">
        <v>25</v>
      </c>
      <c r="K903" t="s">
        <v>17</v>
      </c>
      <c r="L903">
        <v>11269.11</v>
      </c>
    </row>
    <row r="904" spans="1:12" x14ac:dyDescent="0.25">
      <c r="A904" t="s">
        <v>931</v>
      </c>
      <c r="B904">
        <v>85</v>
      </c>
      <c r="C904" t="s">
        <v>13</v>
      </c>
      <c r="D904" t="s">
        <v>28</v>
      </c>
      <c r="E904" s="2">
        <v>45834</v>
      </c>
      <c r="F904" s="2">
        <v>45835</v>
      </c>
      <c r="G904">
        <v>1</v>
      </c>
      <c r="H904" t="s">
        <v>20</v>
      </c>
      <c r="I904">
        <v>0</v>
      </c>
      <c r="J904" t="s">
        <v>29</v>
      </c>
      <c r="K904" t="s">
        <v>47</v>
      </c>
      <c r="L904">
        <v>9836.25</v>
      </c>
    </row>
    <row r="905" spans="1:12" x14ac:dyDescent="0.25">
      <c r="A905" t="s">
        <v>932</v>
      </c>
      <c r="B905">
        <v>74</v>
      </c>
      <c r="C905" t="s">
        <v>24</v>
      </c>
      <c r="D905" t="s">
        <v>28</v>
      </c>
      <c r="E905" s="2">
        <v>45936</v>
      </c>
      <c r="F905" s="2">
        <v>45946</v>
      </c>
      <c r="G905">
        <v>10</v>
      </c>
      <c r="H905" t="s">
        <v>20</v>
      </c>
      <c r="I905">
        <v>0</v>
      </c>
      <c r="J905" t="s">
        <v>29</v>
      </c>
      <c r="K905" t="s">
        <v>22</v>
      </c>
      <c r="L905">
        <v>13274.13</v>
      </c>
    </row>
    <row r="906" spans="1:12" x14ac:dyDescent="0.25">
      <c r="A906" t="s">
        <v>933</v>
      </c>
      <c r="B906">
        <v>67</v>
      </c>
      <c r="C906" t="s">
        <v>13</v>
      </c>
      <c r="D906" t="s">
        <v>34</v>
      </c>
      <c r="E906" s="2">
        <v>45701</v>
      </c>
      <c r="F906" s="2">
        <v>45702</v>
      </c>
      <c r="G906">
        <v>1</v>
      </c>
      <c r="H906" t="s">
        <v>20</v>
      </c>
      <c r="I906">
        <v>0</v>
      </c>
      <c r="J906" t="s">
        <v>25</v>
      </c>
      <c r="K906" t="s">
        <v>22</v>
      </c>
      <c r="L906">
        <v>1845.88</v>
      </c>
    </row>
    <row r="907" spans="1:12" x14ac:dyDescent="0.25">
      <c r="A907" t="s">
        <v>934</v>
      </c>
      <c r="B907">
        <v>38</v>
      </c>
      <c r="C907" t="s">
        <v>13</v>
      </c>
      <c r="D907" t="s">
        <v>19</v>
      </c>
      <c r="E907" s="2">
        <v>45940</v>
      </c>
      <c r="F907" s="2">
        <v>45945</v>
      </c>
      <c r="G907">
        <v>5</v>
      </c>
      <c r="H907" t="s">
        <v>20</v>
      </c>
      <c r="I907">
        <v>0</v>
      </c>
      <c r="J907" t="s">
        <v>25</v>
      </c>
      <c r="K907" t="s">
        <v>22</v>
      </c>
      <c r="L907">
        <v>12567.32</v>
      </c>
    </row>
    <row r="908" spans="1:12" x14ac:dyDescent="0.25">
      <c r="A908" t="s">
        <v>935</v>
      </c>
      <c r="B908">
        <v>82</v>
      </c>
      <c r="C908" t="s">
        <v>13</v>
      </c>
      <c r="D908" t="s">
        <v>28</v>
      </c>
      <c r="E908" s="2">
        <v>45813</v>
      </c>
      <c r="F908" s="2">
        <v>45825</v>
      </c>
      <c r="G908">
        <v>12</v>
      </c>
      <c r="H908" t="s">
        <v>20</v>
      </c>
      <c r="I908">
        <v>0</v>
      </c>
      <c r="J908" t="s">
        <v>16</v>
      </c>
      <c r="K908" t="s">
        <v>47</v>
      </c>
      <c r="L908">
        <v>4266.47</v>
      </c>
    </row>
    <row r="909" spans="1:12" x14ac:dyDescent="0.25">
      <c r="A909" t="s">
        <v>936</v>
      </c>
      <c r="B909">
        <v>33</v>
      </c>
      <c r="C909" t="s">
        <v>24</v>
      </c>
      <c r="D909" t="s">
        <v>32</v>
      </c>
      <c r="E909" s="2">
        <v>45917</v>
      </c>
      <c r="F909" s="2">
        <v>45923</v>
      </c>
      <c r="G909">
        <v>6</v>
      </c>
      <c r="H909" t="s">
        <v>15</v>
      </c>
      <c r="I909">
        <v>19</v>
      </c>
      <c r="J909" t="s">
        <v>16</v>
      </c>
      <c r="K909" t="s">
        <v>47</v>
      </c>
      <c r="L909">
        <v>5415.21</v>
      </c>
    </row>
    <row r="910" spans="1:12" x14ac:dyDescent="0.25">
      <c r="A910" t="s">
        <v>937</v>
      </c>
      <c r="B910">
        <v>90</v>
      </c>
      <c r="C910" t="s">
        <v>13</v>
      </c>
      <c r="D910" t="s">
        <v>32</v>
      </c>
      <c r="E910" s="2">
        <v>45778</v>
      </c>
      <c r="F910" s="2">
        <v>45791</v>
      </c>
      <c r="G910">
        <v>13</v>
      </c>
      <c r="H910" t="s">
        <v>20</v>
      </c>
      <c r="I910">
        <v>0</v>
      </c>
      <c r="J910" t="s">
        <v>25</v>
      </c>
      <c r="K910" t="s">
        <v>47</v>
      </c>
      <c r="L910">
        <v>10170.370000000001</v>
      </c>
    </row>
    <row r="911" spans="1:12" x14ac:dyDescent="0.25">
      <c r="A911" t="s">
        <v>938</v>
      </c>
      <c r="B911">
        <v>66</v>
      </c>
      <c r="C911" t="s">
        <v>13</v>
      </c>
      <c r="D911" t="s">
        <v>19</v>
      </c>
      <c r="E911" s="2">
        <v>45951</v>
      </c>
      <c r="F911" s="2">
        <v>45962</v>
      </c>
      <c r="G911">
        <v>11</v>
      </c>
      <c r="H911" t="s">
        <v>15</v>
      </c>
      <c r="I911">
        <v>11</v>
      </c>
      <c r="J911" t="s">
        <v>21</v>
      </c>
      <c r="K911" t="s">
        <v>47</v>
      </c>
      <c r="L911">
        <v>7087.49</v>
      </c>
    </row>
    <row r="912" spans="1:12" x14ac:dyDescent="0.25">
      <c r="A912" t="s">
        <v>939</v>
      </c>
      <c r="B912">
        <v>70</v>
      </c>
      <c r="C912" t="s">
        <v>13</v>
      </c>
      <c r="D912" t="s">
        <v>19</v>
      </c>
      <c r="E912" s="2">
        <v>45733</v>
      </c>
      <c r="F912" s="2">
        <v>45745</v>
      </c>
      <c r="G912">
        <v>12</v>
      </c>
      <c r="H912" t="s">
        <v>20</v>
      </c>
      <c r="I912">
        <v>0</v>
      </c>
      <c r="J912" t="s">
        <v>16</v>
      </c>
      <c r="K912" t="s">
        <v>47</v>
      </c>
      <c r="L912">
        <v>13383.38</v>
      </c>
    </row>
    <row r="913" spans="1:12" x14ac:dyDescent="0.25">
      <c r="A913" t="s">
        <v>940</v>
      </c>
      <c r="B913">
        <v>65</v>
      </c>
      <c r="C913" t="s">
        <v>24</v>
      </c>
      <c r="D913" t="s">
        <v>34</v>
      </c>
      <c r="E913" s="2">
        <v>45901</v>
      </c>
      <c r="F913" s="2">
        <v>45905</v>
      </c>
      <c r="G913">
        <v>4</v>
      </c>
      <c r="H913" t="s">
        <v>20</v>
      </c>
      <c r="I913">
        <v>0</v>
      </c>
      <c r="J913" t="s">
        <v>29</v>
      </c>
      <c r="K913" t="s">
        <v>47</v>
      </c>
      <c r="L913">
        <v>8972.4</v>
      </c>
    </row>
    <row r="914" spans="1:12" x14ac:dyDescent="0.25">
      <c r="A914" t="s">
        <v>941</v>
      </c>
      <c r="B914">
        <v>80</v>
      </c>
      <c r="C914" t="s">
        <v>24</v>
      </c>
      <c r="D914" t="s">
        <v>14</v>
      </c>
      <c r="E914" s="2">
        <v>45983</v>
      </c>
      <c r="F914" s="2">
        <v>45990</v>
      </c>
      <c r="G914">
        <v>7</v>
      </c>
      <c r="H914" t="s">
        <v>20</v>
      </c>
      <c r="I914">
        <v>0</v>
      </c>
      <c r="J914" t="s">
        <v>21</v>
      </c>
      <c r="K914" t="s">
        <v>17</v>
      </c>
      <c r="L914">
        <v>2343.3000000000002</v>
      </c>
    </row>
    <row r="915" spans="1:12" x14ac:dyDescent="0.25">
      <c r="A915" t="s">
        <v>942</v>
      </c>
      <c r="B915">
        <v>83</v>
      </c>
      <c r="C915" t="s">
        <v>13</v>
      </c>
      <c r="D915" t="s">
        <v>28</v>
      </c>
      <c r="E915" s="2">
        <v>46022</v>
      </c>
      <c r="F915" s="2">
        <v>46030</v>
      </c>
      <c r="G915">
        <v>8</v>
      </c>
      <c r="H915" t="s">
        <v>15</v>
      </c>
      <c r="I915">
        <v>7</v>
      </c>
      <c r="J915" t="s">
        <v>29</v>
      </c>
      <c r="K915" t="s">
        <v>47</v>
      </c>
      <c r="L915">
        <v>972.81</v>
      </c>
    </row>
    <row r="916" spans="1:12" x14ac:dyDescent="0.25">
      <c r="A916" t="s">
        <v>943</v>
      </c>
      <c r="B916">
        <v>33</v>
      </c>
      <c r="C916" t="s">
        <v>24</v>
      </c>
      <c r="D916" t="s">
        <v>19</v>
      </c>
      <c r="E916" s="2">
        <v>45738</v>
      </c>
      <c r="F916" s="2">
        <v>45747</v>
      </c>
      <c r="G916">
        <v>9</v>
      </c>
      <c r="H916" t="s">
        <v>20</v>
      </c>
      <c r="I916">
        <v>0</v>
      </c>
      <c r="J916" t="s">
        <v>16</v>
      </c>
      <c r="K916" t="s">
        <v>47</v>
      </c>
      <c r="L916">
        <v>8790.59</v>
      </c>
    </row>
    <row r="917" spans="1:12" x14ac:dyDescent="0.25">
      <c r="A917" t="s">
        <v>944</v>
      </c>
      <c r="B917">
        <v>65</v>
      </c>
      <c r="C917" t="s">
        <v>24</v>
      </c>
      <c r="D917" t="s">
        <v>32</v>
      </c>
      <c r="E917" s="2">
        <v>45678</v>
      </c>
      <c r="F917" s="2">
        <v>45687</v>
      </c>
      <c r="G917">
        <v>9</v>
      </c>
      <c r="H917" t="s">
        <v>15</v>
      </c>
      <c r="I917">
        <v>10</v>
      </c>
      <c r="J917" t="s">
        <v>25</v>
      </c>
      <c r="K917" t="s">
        <v>47</v>
      </c>
      <c r="L917">
        <v>905.68</v>
      </c>
    </row>
    <row r="918" spans="1:12" x14ac:dyDescent="0.25">
      <c r="A918" t="s">
        <v>945</v>
      </c>
      <c r="B918">
        <v>71</v>
      </c>
      <c r="C918" t="s">
        <v>13</v>
      </c>
      <c r="D918" t="s">
        <v>32</v>
      </c>
      <c r="E918" s="2">
        <v>45731</v>
      </c>
      <c r="F918" s="2">
        <v>45734</v>
      </c>
      <c r="G918">
        <v>3</v>
      </c>
      <c r="H918" t="s">
        <v>20</v>
      </c>
      <c r="I918">
        <v>0</v>
      </c>
      <c r="J918" t="s">
        <v>25</v>
      </c>
      <c r="K918" t="s">
        <v>22</v>
      </c>
      <c r="L918">
        <v>3154.62</v>
      </c>
    </row>
    <row r="919" spans="1:12" x14ac:dyDescent="0.25">
      <c r="A919" t="s">
        <v>946</v>
      </c>
      <c r="B919">
        <v>62</v>
      </c>
      <c r="C919" t="s">
        <v>13</v>
      </c>
      <c r="D919" t="s">
        <v>19</v>
      </c>
      <c r="E919" s="2">
        <v>45908</v>
      </c>
      <c r="F919" s="2">
        <v>45909</v>
      </c>
      <c r="G919">
        <v>1</v>
      </c>
      <c r="H919" t="s">
        <v>15</v>
      </c>
      <c r="I919">
        <v>14</v>
      </c>
      <c r="J919" t="s">
        <v>29</v>
      </c>
      <c r="K919" t="s">
        <v>17</v>
      </c>
      <c r="L919">
        <v>4990.68</v>
      </c>
    </row>
    <row r="920" spans="1:12" x14ac:dyDescent="0.25">
      <c r="A920" t="s">
        <v>947</v>
      </c>
      <c r="B920">
        <v>78</v>
      </c>
      <c r="C920" t="s">
        <v>13</v>
      </c>
      <c r="D920" t="s">
        <v>14</v>
      </c>
      <c r="E920" s="2">
        <v>45889</v>
      </c>
      <c r="F920" s="2">
        <v>45895</v>
      </c>
      <c r="G920">
        <v>6</v>
      </c>
      <c r="H920" t="s">
        <v>20</v>
      </c>
      <c r="I920">
        <v>0</v>
      </c>
      <c r="J920" t="s">
        <v>29</v>
      </c>
      <c r="K920" t="s">
        <v>47</v>
      </c>
      <c r="L920">
        <v>10174.700000000001</v>
      </c>
    </row>
    <row r="921" spans="1:12" x14ac:dyDescent="0.25">
      <c r="A921" t="s">
        <v>948</v>
      </c>
      <c r="B921">
        <v>29</v>
      </c>
      <c r="C921" t="s">
        <v>24</v>
      </c>
      <c r="D921" t="s">
        <v>40</v>
      </c>
      <c r="E921" s="2">
        <v>45734</v>
      </c>
      <c r="F921" s="2">
        <v>45748</v>
      </c>
      <c r="G921">
        <v>14</v>
      </c>
      <c r="H921" t="s">
        <v>20</v>
      </c>
      <c r="I921">
        <v>0</v>
      </c>
      <c r="J921" t="s">
        <v>21</v>
      </c>
      <c r="K921" t="s">
        <v>47</v>
      </c>
      <c r="L921">
        <v>5415.47</v>
      </c>
    </row>
    <row r="922" spans="1:12" x14ac:dyDescent="0.25">
      <c r="A922" t="s">
        <v>949</v>
      </c>
      <c r="B922">
        <v>53</v>
      </c>
      <c r="C922" t="s">
        <v>13</v>
      </c>
      <c r="D922" t="s">
        <v>14</v>
      </c>
      <c r="E922" s="2">
        <v>45681</v>
      </c>
      <c r="F922" s="2">
        <v>45692</v>
      </c>
      <c r="G922">
        <v>11</v>
      </c>
      <c r="H922" t="s">
        <v>20</v>
      </c>
      <c r="I922">
        <v>0</v>
      </c>
      <c r="J922" t="s">
        <v>16</v>
      </c>
      <c r="K922" t="s">
        <v>17</v>
      </c>
      <c r="L922">
        <v>9636.58</v>
      </c>
    </row>
    <row r="923" spans="1:12" x14ac:dyDescent="0.25">
      <c r="A923" t="s">
        <v>950</v>
      </c>
      <c r="B923">
        <v>33</v>
      </c>
      <c r="C923" t="s">
        <v>13</v>
      </c>
      <c r="D923" t="s">
        <v>14</v>
      </c>
      <c r="E923" s="2">
        <v>46020</v>
      </c>
      <c r="F923" s="2">
        <v>46025</v>
      </c>
      <c r="G923">
        <v>5</v>
      </c>
      <c r="H923" t="s">
        <v>20</v>
      </c>
      <c r="I923">
        <v>0</v>
      </c>
      <c r="J923" t="s">
        <v>16</v>
      </c>
      <c r="K923" t="s">
        <v>17</v>
      </c>
      <c r="L923">
        <v>8065.43</v>
      </c>
    </row>
    <row r="924" spans="1:12" x14ac:dyDescent="0.25">
      <c r="A924" t="s">
        <v>951</v>
      </c>
      <c r="B924">
        <v>33</v>
      </c>
      <c r="C924" t="s">
        <v>13</v>
      </c>
      <c r="D924" t="s">
        <v>19</v>
      </c>
      <c r="E924" s="2">
        <v>45901</v>
      </c>
      <c r="F924" s="2">
        <v>45910</v>
      </c>
      <c r="G924">
        <v>9</v>
      </c>
      <c r="H924" t="s">
        <v>20</v>
      </c>
      <c r="I924">
        <v>0</v>
      </c>
      <c r="J924" t="s">
        <v>25</v>
      </c>
      <c r="K924" t="s">
        <v>22</v>
      </c>
      <c r="L924">
        <v>4056.66</v>
      </c>
    </row>
    <row r="925" spans="1:12" x14ac:dyDescent="0.25">
      <c r="A925" t="s">
        <v>952</v>
      </c>
      <c r="B925">
        <v>74</v>
      </c>
      <c r="C925" t="s">
        <v>13</v>
      </c>
      <c r="D925" t="s">
        <v>34</v>
      </c>
      <c r="E925" s="2">
        <v>46019</v>
      </c>
      <c r="F925" s="2">
        <v>46033</v>
      </c>
      <c r="G925">
        <v>14</v>
      </c>
      <c r="H925" t="s">
        <v>20</v>
      </c>
      <c r="I925">
        <v>0</v>
      </c>
      <c r="J925" t="s">
        <v>25</v>
      </c>
      <c r="K925" t="s">
        <v>47</v>
      </c>
      <c r="L925">
        <v>9038.9500000000007</v>
      </c>
    </row>
    <row r="926" spans="1:12" x14ac:dyDescent="0.25">
      <c r="A926" t="s">
        <v>953</v>
      </c>
      <c r="B926">
        <v>61</v>
      </c>
      <c r="C926" t="s">
        <v>24</v>
      </c>
      <c r="D926" t="s">
        <v>14</v>
      </c>
      <c r="E926" s="2">
        <v>45909</v>
      </c>
      <c r="F926" s="2">
        <v>45923</v>
      </c>
      <c r="G926">
        <v>14</v>
      </c>
      <c r="H926" t="s">
        <v>20</v>
      </c>
      <c r="I926">
        <v>0</v>
      </c>
      <c r="J926" t="s">
        <v>29</v>
      </c>
      <c r="K926" t="s">
        <v>22</v>
      </c>
      <c r="L926">
        <v>12964.9</v>
      </c>
    </row>
    <row r="927" spans="1:12" x14ac:dyDescent="0.25">
      <c r="A927" t="s">
        <v>954</v>
      </c>
      <c r="B927">
        <v>32</v>
      </c>
      <c r="C927" t="s">
        <v>13</v>
      </c>
      <c r="D927" t="s">
        <v>34</v>
      </c>
      <c r="E927" s="2">
        <v>45820</v>
      </c>
      <c r="F927" s="2">
        <v>45827</v>
      </c>
      <c r="G927">
        <v>7</v>
      </c>
      <c r="H927" t="s">
        <v>15</v>
      </c>
      <c r="I927">
        <v>6</v>
      </c>
      <c r="J927" t="s">
        <v>25</v>
      </c>
      <c r="K927" t="s">
        <v>22</v>
      </c>
      <c r="L927">
        <v>3148.7</v>
      </c>
    </row>
    <row r="928" spans="1:12" x14ac:dyDescent="0.25">
      <c r="A928" t="s">
        <v>955</v>
      </c>
      <c r="B928">
        <v>70</v>
      </c>
      <c r="C928" t="s">
        <v>13</v>
      </c>
      <c r="D928" t="s">
        <v>19</v>
      </c>
      <c r="E928" s="2">
        <v>45703</v>
      </c>
      <c r="F928" s="2">
        <v>45706</v>
      </c>
      <c r="G928">
        <v>3</v>
      </c>
      <c r="H928" t="s">
        <v>20</v>
      </c>
      <c r="I928">
        <v>0</v>
      </c>
      <c r="J928" t="s">
        <v>25</v>
      </c>
      <c r="K928" t="s">
        <v>22</v>
      </c>
      <c r="L928">
        <v>893.98</v>
      </c>
    </row>
    <row r="929" spans="1:12" x14ac:dyDescent="0.25">
      <c r="A929" t="s">
        <v>956</v>
      </c>
      <c r="B929">
        <v>58</v>
      </c>
      <c r="C929" t="s">
        <v>13</v>
      </c>
      <c r="D929" t="s">
        <v>40</v>
      </c>
      <c r="E929" s="2">
        <v>45687</v>
      </c>
      <c r="F929" s="2">
        <v>45692</v>
      </c>
      <c r="G929">
        <v>5</v>
      </c>
      <c r="H929" t="s">
        <v>20</v>
      </c>
      <c r="I929">
        <v>0</v>
      </c>
      <c r="J929" t="s">
        <v>25</v>
      </c>
      <c r="K929" t="s">
        <v>47</v>
      </c>
      <c r="L929">
        <v>5944.94</v>
      </c>
    </row>
    <row r="930" spans="1:12" x14ac:dyDescent="0.25">
      <c r="A930" t="s">
        <v>957</v>
      </c>
      <c r="B930">
        <v>48</v>
      </c>
      <c r="C930" t="s">
        <v>24</v>
      </c>
      <c r="D930" t="s">
        <v>34</v>
      </c>
      <c r="E930" s="2">
        <v>45719</v>
      </c>
      <c r="F930" s="2">
        <v>45720</v>
      </c>
      <c r="G930">
        <v>1</v>
      </c>
      <c r="H930" t="s">
        <v>15</v>
      </c>
      <c r="I930">
        <v>25</v>
      </c>
      <c r="J930" t="s">
        <v>29</v>
      </c>
      <c r="K930" t="s">
        <v>22</v>
      </c>
      <c r="L930">
        <v>4404.67</v>
      </c>
    </row>
    <row r="931" spans="1:12" x14ac:dyDescent="0.25">
      <c r="A931" t="s">
        <v>958</v>
      </c>
      <c r="B931">
        <v>26</v>
      </c>
      <c r="C931" t="s">
        <v>24</v>
      </c>
      <c r="D931" t="s">
        <v>19</v>
      </c>
      <c r="E931" s="2">
        <v>45820</v>
      </c>
      <c r="F931" s="2">
        <v>45828</v>
      </c>
      <c r="G931">
        <v>8</v>
      </c>
      <c r="H931" t="s">
        <v>20</v>
      </c>
      <c r="I931">
        <v>0</v>
      </c>
      <c r="J931" t="s">
        <v>29</v>
      </c>
      <c r="K931" t="s">
        <v>17</v>
      </c>
      <c r="L931">
        <v>3889.24</v>
      </c>
    </row>
    <row r="932" spans="1:12" x14ac:dyDescent="0.25">
      <c r="A932" t="s">
        <v>959</v>
      </c>
      <c r="B932">
        <v>30</v>
      </c>
      <c r="C932" t="s">
        <v>13</v>
      </c>
      <c r="D932" t="s">
        <v>34</v>
      </c>
      <c r="E932" s="2">
        <v>45667</v>
      </c>
      <c r="F932" s="2">
        <v>45672</v>
      </c>
      <c r="G932">
        <v>5</v>
      </c>
      <c r="H932" t="s">
        <v>20</v>
      </c>
      <c r="I932">
        <v>0</v>
      </c>
      <c r="J932" t="s">
        <v>21</v>
      </c>
      <c r="K932" t="s">
        <v>47</v>
      </c>
      <c r="L932">
        <v>8739.56</v>
      </c>
    </row>
    <row r="933" spans="1:12" x14ac:dyDescent="0.25">
      <c r="A933" t="s">
        <v>960</v>
      </c>
      <c r="B933">
        <v>82</v>
      </c>
      <c r="C933" t="s">
        <v>13</v>
      </c>
      <c r="D933" t="s">
        <v>14</v>
      </c>
      <c r="E933" s="2">
        <v>45886</v>
      </c>
      <c r="F933" s="2">
        <v>45888</v>
      </c>
      <c r="G933">
        <v>2</v>
      </c>
      <c r="H933" t="s">
        <v>20</v>
      </c>
      <c r="I933">
        <v>0</v>
      </c>
      <c r="J933" t="s">
        <v>25</v>
      </c>
      <c r="K933" t="s">
        <v>17</v>
      </c>
      <c r="L933">
        <v>14786.98</v>
      </c>
    </row>
    <row r="934" spans="1:12" x14ac:dyDescent="0.25">
      <c r="A934" t="s">
        <v>961</v>
      </c>
      <c r="B934">
        <v>89</v>
      </c>
      <c r="C934" t="s">
        <v>24</v>
      </c>
      <c r="D934" t="s">
        <v>19</v>
      </c>
      <c r="E934" s="2">
        <v>45783</v>
      </c>
      <c r="F934" s="2">
        <v>45792</v>
      </c>
      <c r="G934">
        <v>9</v>
      </c>
      <c r="H934" t="s">
        <v>20</v>
      </c>
      <c r="I934">
        <v>0</v>
      </c>
      <c r="J934" t="s">
        <v>16</v>
      </c>
      <c r="K934" t="s">
        <v>47</v>
      </c>
      <c r="L934">
        <v>14436.16</v>
      </c>
    </row>
    <row r="935" spans="1:12" x14ac:dyDescent="0.25">
      <c r="A935" t="s">
        <v>962</v>
      </c>
      <c r="B935">
        <v>39</v>
      </c>
      <c r="C935" t="s">
        <v>13</v>
      </c>
      <c r="D935" t="s">
        <v>19</v>
      </c>
      <c r="E935" s="2">
        <v>45975</v>
      </c>
      <c r="F935" s="2">
        <v>45980</v>
      </c>
      <c r="G935">
        <v>5</v>
      </c>
      <c r="H935" t="s">
        <v>20</v>
      </c>
      <c r="I935">
        <v>0</v>
      </c>
      <c r="J935" t="s">
        <v>29</v>
      </c>
      <c r="K935" t="s">
        <v>47</v>
      </c>
      <c r="L935">
        <v>9169.08</v>
      </c>
    </row>
    <row r="936" spans="1:12" x14ac:dyDescent="0.25">
      <c r="A936" t="s">
        <v>963</v>
      </c>
      <c r="B936">
        <v>45</v>
      </c>
      <c r="C936" t="s">
        <v>24</v>
      </c>
      <c r="D936" t="s">
        <v>19</v>
      </c>
      <c r="E936" s="2">
        <v>46006</v>
      </c>
      <c r="F936" s="2">
        <v>46013</v>
      </c>
      <c r="G936">
        <v>7</v>
      </c>
      <c r="H936" t="s">
        <v>20</v>
      </c>
      <c r="I936">
        <v>0</v>
      </c>
      <c r="J936" t="s">
        <v>21</v>
      </c>
      <c r="K936" t="s">
        <v>17</v>
      </c>
      <c r="L936">
        <v>8244.2900000000009</v>
      </c>
    </row>
    <row r="937" spans="1:12" x14ac:dyDescent="0.25">
      <c r="A937" t="s">
        <v>964</v>
      </c>
      <c r="B937">
        <v>33</v>
      </c>
      <c r="C937" t="s">
        <v>13</v>
      </c>
      <c r="D937" t="s">
        <v>28</v>
      </c>
      <c r="E937" s="2">
        <v>45693</v>
      </c>
      <c r="F937" s="2">
        <v>45698</v>
      </c>
      <c r="G937">
        <v>5</v>
      </c>
      <c r="H937" t="s">
        <v>15</v>
      </c>
      <c r="I937">
        <v>18</v>
      </c>
      <c r="J937" t="s">
        <v>25</v>
      </c>
      <c r="K937" t="s">
        <v>47</v>
      </c>
      <c r="L937">
        <v>3557.33</v>
      </c>
    </row>
    <row r="938" spans="1:12" x14ac:dyDescent="0.25">
      <c r="A938" t="s">
        <v>965</v>
      </c>
      <c r="B938">
        <v>61</v>
      </c>
      <c r="C938" t="s">
        <v>24</v>
      </c>
      <c r="D938" t="s">
        <v>28</v>
      </c>
      <c r="E938" s="2">
        <v>45916</v>
      </c>
      <c r="F938" s="2">
        <v>45929</v>
      </c>
      <c r="G938">
        <v>13</v>
      </c>
      <c r="H938" t="s">
        <v>20</v>
      </c>
      <c r="I938">
        <v>0</v>
      </c>
      <c r="J938" t="s">
        <v>29</v>
      </c>
      <c r="K938" t="s">
        <v>47</v>
      </c>
      <c r="L938">
        <v>4065.96</v>
      </c>
    </row>
    <row r="939" spans="1:12" x14ac:dyDescent="0.25">
      <c r="A939" t="s">
        <v>966</v>
      </c>
      <c r="B939">
        <v>60</v>
      </c>
      <c r="C939" t="s">
        <v>13</v>
      </c>
      <c r="D939" t="s">
        <v>28</v>
      </c>
      <c r="E939" s="2">
        <v>45822</v>
      </c>
      <c r="F939" s="2">
        <v>45828</v>
      </c>
      <c r="G939">
        <v>6</v>
      </c>
      <c r="H939" t="s">
        <v>15</v>
      </c>
      <c r="I939">
        <v>5</v>
      </c>
      <c r="J939" t="s">
        <v>16</v>
      </c>
      <c r="K939" t="s">
        <v>17</v>
      </c>
      <c r="L939">
        <v>7409.67</v>
      </c>
    </row>
    <row r="940" spans="1:12" x14ac:dyDescent="0.25">
      <c r="A940" t="s">
        <v>967</v>
      </c>
      <c r="B940">
        <v>89</v>
      </c>
      <c r="C940" t="s">
        <v>24</v>
      </c>
      <c r="D940" t="s">
        <v>40</v>
      </c>
      <c r="E940" s="2">
        <v>45662</v>
      </c>
      <c r="F940" s="2">
        <v>45673</v>
      </c>
      <c r="G940">
        <v>11</v>
      </c>
      <c r="H940" t="s">
        <v>15</v>
      </c>
      <c r="I940">
        <v>18</v>
      </c>
      <c r="J940" t="s">
        <v>16</v>
      </c>
      <c r="K940" t="s">
        <v>17</v>
      </c>
      <c r="L940">
        <v>9943.36</v>
      </c>
    </row>
    <row r="941" spans="1:12" x14ac:dyDescent="0.25">
      <c r="A941" t="s">
        <v>968</v>
      </c>
      <c r="B941">
        <v>74</v>
      </c>
      <c r="C941" t="s">
        <v>13</v>
      </c>
      <c r="D941" t="s">
        <v>32</v>
      </c>
      <c r="E941" s="2">
        <v>45933</v>
      </c>
      <c r="F941" s="2">
        <v>45934</v>
      </c>
      <c r="G941">
        <v>1</v>
      </c>
      <c r="H941" t="s">
        <v>20</v>
      </c>
      <c r="I941">
        <v>0</v>
      </c>
      <c r="J941" t="s">
        <v>29</v>
      </c>
      <c r="K941" t="s">
        <v>17</v>
      </c>
      <c r="L941">
        <v>5690.5</v>
      </c>
    </row>
    <row r="942" spans="1:12" x14ac:dyDescent="0.25">
      <c r="A942" t="s">
        <v>969</v>
      </c>
      <c r="B942">
        <v>19</v>
      </c>
      <c r="C942" t="s">
        <v>13</v>
      </c>
      <c r="D942" t="s">
        <v>40</v>
      </c>
      <c r="E942" s="2">
        <v>45748</v>
      </c>
      <c r="F942" s="2">
        <v>45762</v>
      </c>
      <c r="G942">
        <v>14</v>
      </c>
      <c r="H942" t="s">
        <v>20</v>
      </c>
      <c r="I942">
        <v>0</v>
      </c>
      <c r="J942" t="s">
        <v>25</v>
      </c>
      <c r="K942" t="s">
        <v>22</v>
      </c>
      <c r="L942">
        <v>6946.38</v>
      </c>
    </row>
    <row r="943" spans="1:12" x14ac:dyDescent="0.25">
      <c r="A943" t="s">
        <v>970</v>
      </c>
      <c r="B943">
        <v>53</v>
      </c>
      <c r="C943" t="s">
        <v>24</v>
      </c>
      <c r="D943" t="s">
        <v>14</v>
      </c>
      <c r="E943" s="2">
        <v>45771</v>
      </c>
      <c r="F943" s="2">
        <v>45783</v>
      </c>
      <c r="G943">
        <v>12</v>
      </c>
      <c r="H943" t="s">
        <v>15</v>
      </c>
      <c r="I943">
        <v>3</v>
      </c>
      <c r="J943" t="s">
        <v>25</v>
      </c>
      <c r="K943" t="s">
        <v>17</v>
      </c>
      <c r="L943">
        <v>3706.64</v>
      </c>
    </row>
    <row r="944" spans="1:12" x14ac:dyDescent="0.25">
      <c r="A944" t="s">
        <v>971</v>
      </c>
      <c r="B944">
        <v>81</v>
      </c>
      <c r="C944" t="s">
        <v>13</v>
      </c>
      <c r="D944" t="s">
        <v>19</v>
      </c>
      <c r="E944" s="2">
        <v>45910</v>
      </c>
      <c r="F944" s="2">
        <v>45916</v>
      </c>
      <c r="G944">
        <v>6</v>
      </c>
      <c r="H944" t="s">
        <v>15</v>
      </c>
      <c r="I944">
        <v>7</v>
      </c>
      <c r="J944" t="s">
        <v>29</v>
      </c>
      <c r="K944" t="s">
        <v>22</v>
      </c>
      <c r="L944">
        <v>13113.79</v>
      </c>
    </row>
    <row r="945" spans="1:12" x14ac:dyDescent="0.25">
      <c r="A945" t="s">
        <v>972</v>
      </c>
      <c r="B945">
        <v>88</v>
      </c>
      <c r="C945" t="s">
        <v>13</v>
      </c>
      <c r="D945" t="s">
        <v>28</v>
      </c>
      <c r="E945" s="2">
        <v>45949</v>
      </c>
      <c r="F945" s="2">
        <v>45958</v>
      </c>
      <c r="G945">
        <v>9</v>
      </c>
      <c r="H945" t="s">
        <v>20</v>
      </c>
      <c r="I945">
        <v>0</v>
      </c>
      <c r="J945" t="s">
        <v>21</v>
      </c>
      <c r="K945" t="s">
        <v>22</v>
      </c>
      <c r="L945">
        <v>9028.39</v>
      </c>
    </row>
    <row r="946" spans="1:12" x14ac:dyDescent="0.25">
      <c r="A946" t="s">
        <v>973</v>
      </c>
      <c r="B946">
        <v>90</v>
      </c>
      <c r="C946" t="s">
        <v>13</v>
      </c>
      <c r="D946" t="s">
        <v>34</v>
      </c>
      <c r="E946" s="2">
        <v>45691</v>
      </c>
      <c r="F946" s="2">
        <v>45694</v>
      </c>
      <c r="G946">
        <v>3</v>
      </c>
      <c r="H946" t="s">
        <v>15</v>
      </c>
      <c r="I946">
        <v>24</v>
      </c>
      <c r="J946" t="s">
        <v>25</v>
      </c>
      <c r="K946" t="s">
        <v>22</v>
      </c>
      <c r="L946">
        <v>12791.17</v>
      </c>
    </row>
    <row r="947" spans="1:12" x14ac:dyDescent="0.25">
      <c r="A947" t="s">
        <v>974</v>
      </c>
      <c r="B947">
        <v>50</v>
      </c>
      <c r="C947" t="s">
        <v>24</v>
      </c>
      <c r="D947" t="s">
        <v>19</v>
      </c>
      <c r="E947" s="2">
        <v>45669</v>
      </c>
      <c r="F947" s="2">
        <v>45681</v>
      </c>
      <c r="G947">
        <v>12</v>
      </c>
      <c r="H947" t="s">
        <v>20</v>
      </c>
      <c r="I947">
        <v>0</v>
      </c>
      <c r="J947" t="s">
        <v>29</v>
      </c>
      <c r="K947" t="s">
        <v>17</v>
      </c>
      <c r="L947">
        <v>10259.950000000001</v>
      </c>
    </row>
    <row r="948" spans="1:12" x14ac:dyDescent="0.25">
      <c r="A948" t="s">
        <v>975</v>
      </c>
      <c r="B948">
        <v>59</v>
      </c>
      <c r="C948" t="s">
        <v>24</v>
      </c>
      <c r="D948" t="s">
        <v>40</v>
      </c>
      <c r="E948" s="2">
        <v>45990</v>
      </c>
      <c r="F948" s="2">
        <v>45991</v>
      </c>
      <c r="G948">
        <v>1</v>
      </c>
      <c r="H948" t="s">
        <v>20</v>
      </c>
      <c r="I948">
        <v>0</v>
      </c>
      <c r="J948" t="s">
        <v>25</v>
      </c>
      <c r="K948" t="s">
        <v>22</v>
      </c>
      <c r="L948">
        <v>10362.52</v>
      </c>
    </row>
    <row r="949" spans="1:12" x14ac:dyDescent="0.25">
      <c r="A949" t="s">
        <v>976</v>
      </c>
      <c r="B949">
        <v>23</v>
      </c>
      <c r="C949" t="s">
        <v>13</v>
      </c>
      <c r="D949" t="s">
        <v>19</v>
      </c>
      <c r="E949" s="2">
        <v>45896</v>
      </c>
      <c r="F949" s="2">
        <v>45904</v>
      </c>
      <c r="G949">
        <v>8</v>
      </c>
      <c r="H949" t="s">
        <v>20</v>
      </c>
      <c r="I949">
        <v>0</v>
      </c>
      <c r="J949" t="s">
        <v>25</v>
      </c>
      <c r="K949" t="s">
        <v>47</v>
      </c>
      <c r="L949">
        <v>8219.9500000000007</v>
      </c>
    </row>
    <row r="950" spans="1:12" x14ac:dyDescent="0.25">
      <c r="A950" t="s">
        <v>977</v>
      </c>
      <c r="B950">
        <v>60</v>
      </c>
      <c r="C950" t="s">
        <v>13</v>
      </c>
      <c r="D950" t="s">
        <v>34</v>
      </c>
      <c r="E950" s="2">
        <v>45819</v>
      </c>
      <c r="F950" s="2">
        <v>45820</v>
      </c>
      <c r="G950">
        <v>1</v>
      </c>
      <c r="H950" t="s">
        <v>20</v>
      </c>
      <c r="I950">
        <v>0</v>
      </c>
      <c r="J950" t="s">
        <v>16</v>
      </c>
      <c r="K950" t="s">
        <v>17</v>
      </c>
      <c r="L950">
        <v>3771.61</v>
      </c>
    </row>
    <row r="951" spans="1:12" x14ac:dyDescent="0.25">
      <c r="A951" t="s">
        <v>978</v>
      </c>
      <c r="B951">
        <v>49</v>
      </c>
      <c r="C951" t="s">
        <v>13</v>
      </c>
      <c r="D951" t="s">
        <v>14</v>
      </c>
      <c r="E951" s="2">
        <v>46011</v>
      </c>
      <c r="F951" s="2">
        <v>46018</v>
      </c>
      <c r="G951">
        <v>7</v>
      </c>
      <c r="H951" t="s">
        <v>20</v>
      </c>
      <c r="I951">
        <v>0</v>
      </c>
      <c r="J951" t="s">
        <v>25</v>
      </c>
      <c r="K951" t="s">
        <v>47</v>
      </c>
      <c r="L951">
        <v>1411.24</v>
      </c>
    </row>
    <row r="952" spans="1:12" x14ac:dyDescent="0.25">
      <c r="A952" t="s">
        <v>979</v>
      </c>
      <c r="B952">
        <v>73</v>
      </c>
      <c r="C952" t="s">
        <v>13</v>
      </c>
      <c r="D952" t="s">
        <v>34</v>
      </c>
      <c r="E952" s="2">
        <v>45978</v>
      </c>
      <c r="F952" s="2">
        <v>45980</v>
      </c>
      <c r="G952">
        <v>2</v>
      </c>
      <c r="H952" t="s">
        <v>15</v>
      </c>
      <c r="I952">
        <v>26</v>
      </c>
      <c r="J952" t="s">
        <v>25</v>
      </c>
      <c r="K952" t="s">
        <v>47</v>
      </c>
      <c r="L952">
        <v>4083.73</v>
      </c>
    </row>
    <row r="953" spans="1:12" x14ac:dyDescent="0.25">
      <c r="A953" t="s">
        <v>980</v>
      </c>
      <c r="B953">
        <v>24</v>
      </c>
      <c r="C953" t="s">
        <v>24</v>
      </c>
      <c r="D953" t="s">
        <v>34</v>
      </c>
      <c r="E953" s="2">
        <v>45900</v>
      </c>
      <c r="F953" s="2">
        <v>45904</v>
      </c>
      <c r="G953">
        <v>4</v>
      </c>
      <c r="H953" t="s">
        <v>20</v>
      </c>
      <c r="I953">
        <v>0</v>
      </c>
      <c r="J953" t="s">
        <v>21</v>
      </c>
      <c r="K953" t="s">
        <v>22</v>
      </c>
      <c r="L953">
        <v>11748.37</v>
      </c>
    </row>
    <row r="954" spans="1:12" x14ac:dyDescent="0.25">
      <c r="A954" t="s">
        <v>981</v>
      </c>
      <c r="B954">
        <v>75</v>
      </c>
      <c r="C954" t="s">
        <v>13</v>
      </c>
      <c r="D954" t="s">
        <v>19</v>
      </c>
      <c r="E954" s="2">
        <v>45975</v>
      </c>
      <c r="F954" s="2">
        <v>45983</v>
      </c>
      <c r="G954">
        <v>8</v>
      </c>
      <c r="H954" t="s">
        <v>20</v>
      </c>
      <c r="I954">
        <v>0</v>
      </c>
      <c r="J954" t="s">
        <v>16</v>
      </c>
      <c r="K954" t="s">
        <v>22</v>
      </c>
      <c r="L954">
        <v>5972.23</v>
      </c>
    </row>
    <row r="955" spans="1:12" x14ac:dyDescent="0.25">
      <c r="A955" t="s">
        <v>982</v>
      </c>
      <c r="B955">
        <v>25</v>
      </c>
      <c r="C955" t="s">
        <v>24</v>
      </c>
      <c r="D955" t="s">
        <v>19</v>
      </c>
      <c r="E955" s="2">
        <v>46013</v>
      </c>
      <c r="F955" s="2">
        <v>46015</v>
      </c>
      <c r="G955">
        <v>2</v>
      </c>
      <c r="H955" t="s">
        <v>20</v>
      </c>
      <c r="I955">
        <v>0</v>
      </c>
      <c r="J955" t="s">
        <v>25</v>
      </c>
      <c r="K955" t="s">
        <v>17</v>
      </c>
      <c r="L955">
        <v>9579.69</v>
      </c>
    </row>
    <row r="956" spans="1:12" x14ac:dyDescent="0.25">
      <c r="A956" t="s">
        <v>983</v>
      </c>
      <c r="B956">
        <v>89</v>
      </c>
      <c r="C956" t="s">
        <v>13</v>
      </c>
      <c r="D956" t="s">
        <v>32</v>
      </c>
      <c r="E956" s="2">
        <v>45691</v>
      </c>
      <c r="F956" s="2">
        <v>45693</v>
      </c>
      <c r="G956">
        <v>2</v>
      </c>
      <c r="H956" t="s">
        <v>20</v>
      </c>
      <c r="I956">
        <v>0</v>
      </c>
      <c r="J956" t="s">
        <v>29</v>
      </c>
      <c r="K956" t="s">
        <v>47</v>
      </c>
      <c r="L956">
        <v>1889.54</v>
      </c>
    </row>
    <row r="957" spans="1:12" x14ac:dyDescent="0.25">
      <c r="A957" t="s">
        <v>984</v>
      </c>
      <c r="B957">
        <v>19</v>
      </c>
      <c r="C957" t="s">
        <v>24</v>
      </c>
      <c r="D957" t="s">
        <v>40</v>
      </c>
      <c r="E957" s="2">
        <v>45868</v>
      </c>
      <c r="F957" s="2">
        <v>45872</v>
      </c>
      <c r="G957">
        <v>4</v>
      </c>
      <c r="H957" t="s">
        <v>20</v>
      </c>
      <c r="I957">
        <v>0</v>
      </c>
      <c r="J957" t="s">
        <v>29</v>
      </c>
      <c r="K957" t="s">
        <v>47</v>
      </c>
      <c r="L957">
        <v>13259.1</v>
      </c>
    </row>
    <row r="958" spans="1:12" x14ac:dyDescent="0.25">
      <c r="A958" t="s">
        <v>985</v>
      </c>
      <c r="B958">
        <v>21</v>
      </c>
      <c r="C958" t="s">
        <v>24</v>
      </c>
      <c r="D958" t="s">
        <v>34</v>
      </c>
      <c r="E958" s="2">
        <v>45975</v>
      </c>
      <c r="F958" s="2">
        <v>45977</v>
      </c>
      <c r="G958">
        <v>2</v>
      </c>
      <c r="H958" t="s">
        <v>20</v>
      </c>
      <c r="I958">
        <v>0</v>
      </c>
      <c r="J958" t="s">
        <v>25</v>
      </c>
      <c r="K958" t="s">
        <v>17</v>
      </c>
      <c r="L958">
        <v>3290.98</v>
      </c>
    </row>
    <row r="959" spans="1:12" x14ac:dyDescent="0.25">
      <c r="A959" t="s">
        <v>986</v>
      </c>
      <c r="B959">
        <v>26</v>
      </c>
      <c r="C959" t="s">
        <v>13</v>
      </c>
      <c r="D959" t="s">
        <v>34</v>
      </c>
      <c r="E959" s="2">
        <v>45710</v>
      </c>
      <c r="F959" s="2">
        <v>45711</v>
      </c>
      <c r="G959">
        <v>1</v>
      </c>
      <c r="H959" t="s">
        <v>20</v>
      </c>
      <c r="I959">
        <v>0</v>
      </c>
      <c r="J959" t="s">
        <v>21</v>
      </c>
      <c r="K959" t="s">
        <v>17</v>
      </c>
      <c r="L959">
        <v>7879.02</v>
      </c>
    </row>
    <row r="960" spans="1:12" x14ac:dyDescent="0.25">
      <c r="A960" t="s">
        <v>987</v>
      </c>
      <c r="B960">
        <v>74</v>
      </c>
      <c r="C960" t="s">
        <v>13</v>
      </c>
      <c r="D960" t="s">
        <v>14</v>
      </c>
      <c r="E960" s="2">
        <v>45839</v>
      </c>
      <c r="F960" s="2">
        <v>45846</v>
      </c>
      <c r="G960">
        <v>7</v>
      </c>
      <c r="H960" t="s">
        <v>20</v>
      </c>
      <c r="I960">
        <v>0</v>
      </c>
      <c r="J960" t="s">
        <v>21</v>
      </c>
      <c r="K960" t="s">
        <v>22</v>
      </c>
      <c r="L960">
        <v>1377.12</v>
      </c>
    </row>
    <row r="961" spans="1:12" x14ac:dyDescent="0.25">
      <c r="A961" t="s">
        <v>988</v>
      </c>
      <c r="B961">
        <v>63</v>
      </c>
      <c r="C961" t="s">
        <v>24</v>
      </c>
      <c r="D961" t="s">
        <v>34</v>
      </c>
      <c r="E961" s="2">
        <v>45817</v>
      </c>
      <c r="F961" s="2">
        <v>45827</v>
      </c>
      <c r="G961">
        <v>10</v>
      </c>
      <c r="H961" t="s">
        <v>20</v>
      </c>
      <c r="I961">
        <v>0</v>
      </c>
      <c r="J961" t="s">
        <v>21</v>
      </c>
      <c r="K961" t="s">
        <v>22</v>
      </c>
      <c r="L961">
        <v>7308.09</v>
      </c>
    </row>
    <row r="962" spans="1:12" x14ac:dyDescent="0.25">
      <c r="A962" t="s">
        <v>989</v>
      </c>
      <c r="B962">
        <v>19</v>
      </c>
      <c r="C962" t="s">
        <v>13</v>
      </c>
      <c r="D962" t="s">
        <v>19</v>
      </c>
      <c r="E962" s="2">
        <v>45966</v>
      </c>
      <c r="F962" s="2">
        <v>45972</v>
      </c>
      <c r="G962">
        <v>6</v>
      </c>
      <c r="H962" t="s">
        <v>15</v>
      </c>
      <c r="I962">
        <v>8</v>
      </c>
      <c r="J962" t="s">
        <v>16</v>
      </c>
      <c r="K962" t="s">
        <v>47</v>
      </c>
      <c r="L962">
        <v>5485.33</v>
      </c>
    </row>
    <row r="963" spans="1:12" x14ac:dyDescent="0.25">
      <c r="A963" t="s">
        <v>990</v>
      </c>
      <c r="B963">
        <v>26</v>
      </c>
      <c r="C963" t="s">
        <v>24</v>
      </c>
      <c r="D963" t="s">
        <v>14</v>
      </c>
      <c r="E963" s="2">
        <v>45760</v>
      </c>
      <c r="F963" s="2">
        <v>45771</v>
      </c>
      <c r="G963">
        <v>11</v>
      </c>
      <c r="H963" t="s">
        <v>20</v>
      </c>
      <c r="I963">
        <v>0</v>
      </c>
      <c r="J963" t="s">
        <v>29</v>
      </c>
      <c r="K963" t="s">
        <v>17</v>
      </c>
      <c r="L963">
        <v>10531.69</v>
      </c>
    </row>
    <row r="964" spans="1:12" x14ac:dyDescent="0.25">
      <c r="A964" t="s">
        <v>991</v>
      </c>
      <c r="B964">
        <v>90</v>
      </c>
      <c r="C964" t="s">
        <v>24</v>
      </c>
      <c r="D964" t="s">
        <v>34</v>
      </c>
      <c r="E964" s="2">
        <v>45897</v>
      </c>
      <c r="F964" s="2">
        <v>45907</v>
      </c>
      <c r="G964">
        <v>10</v>
      </c>
      <c r="H964" t="s">
        <v>20</v>
      </c>
      <c r="I964">
        <v>0</v>
      </c>
      <c r="J964" t="s">
        <v>25</v>
      </c>
      <c r="K964" t="s">
        <v>47</v>
      </c>
      <c r="L964">
        <v>5264.98</v>
      </c>
    </row>
    <row r="965" spans="1:12" x14ac:dyDescent="0.25">
      <c r="A965" t="s">
        <v>992</v>
      </c>
      <c r="B965">
        <v>23</v>
      </c>
      <c r="C965" t="s">
        <v>24</v>
      </c>
      <c r="D965" t="s">
        <v>14</v>
      </c>
      <c r="E965" s="2">
        <v>45711</v>
      </c>
      <c r="F965" s="2">
        <v>45719</v>
      </c>
      <c r="G965">
        <v>8</v>
      </c>
      <c r="H965" t="s">
        <v>20</v>
      </c>
      <c r="I965">
        <v>0</v>
      </c>
      <c r="J965" t="s">
        <v>16</v>
      </c>
      <c r="K965" t="s">
        <v>17</v>
      </c>
      <c r="L965">
        <v>3733.86</v>
      </c>
    </row>
    <row r="966" spans="1:12" x14ac:dyDescent="0.25">
      <c r="A966" t="s">
        <v>993</v>
      </c>
      <c r="B966">
        <v>48</v>
      </c>
      <c r="C966" t="s">
        <v>24</v>
      </c>
      <c r="D966" t="s">
        <v>28</v>
      </c>
      <c r="E966" s="2">
        <v>45775</v>
      </c>
      <c r="F966" s="2">
        <v>45783</v>
      </c>
      <c r="G966">
        <v>8</v>
      </c>
      <c r="H966" t="s">
        <v>20</v>
      </c>
      <c r="I966">
        <v>0</v>
      </c>
      <c r="J966" t="s">
        <v>25</v>
      </c>
      <c r="K966" t="s">
        <v>17</v>
      </c>
      <c r="L966">
        <v>5950.72</v>
      </c>
    </row>
    <row r="967" spans="1:12" x14ac:dyDescent="0.25">
      <c r="A967" t="s">
        <v>994</v>
      </c>
      <c r="B967">
        <v>18</v>
      </c>
      <c r="C967" t="s">
        <v>24</v>
      </c>
      <c r="D967" t="s">
        <v>19</v>
      </c>
      <c r="E967" s="2">
        <v>45862</v>
      </c>
      <c r="F967" s="2">
        <v>45865</v>
      </c>
      <c r="G967">
        <v>3</v>
      </c>
      <c r="H967" t="s">
        <v>20</v>
      </c>
      <c r="I967">
        <v>0</v>
      </c>
      <c r="J967" t="s">
        <v>16</v>
      </c>
      <c r="K967" t="s">
        <v>47</v>
      </c>
      <c r="L967">
        <v>935.26</v>
      </c>
    </row>
    <row r="968" spans="1:12" x14ac:dyDescent="0.25">
      <c r="A968" t="s">
        <v>995</v>
      </c>
      <c r="B968">
        <v>42</v>
      </c>
      <c r="C968" t="s">
        <v>24</v>
      </c>
      <c r="D968" t="s">
        <v>19</v>
      </c>
      <c r="E968" s="2">
        <v>45716</v>
      </c>
      <c r="F968" s="2">
        <v>45719</v>
      </c>
      <c r="G968">
        <v>3</v>
      </c>
      <c r="H968" t="s">
        <v>15</v>
      </c>
      <c r="I968">
        <v>1</v>
      </c>
      <c r="J968" t="s">
        <v>21</v>
      </c>
      <c r="K968" t="s">
        <v>22</v>
      </c>
      <c r="L968">
        <v>4619.46</v>
      </c>
    </row>
    <row r="969" spans="1:12" x14ac:dyDescent="0.25">
      <c r="A969" t="s">
        <v>996</v>
      </c>
      <c r="B969">
        <v>61</v>
      </c>
      <c r="C969" t="s">
        <v>13</v>
      </c>
      <c r="D969" t="s">
        <v>14</v>
      </c>
      <c r="E969" s="2">
        <v>45770</v>
      </c>
      <c r="F969" s="2">
        <v>45775</v>
      </c>
      <c r="G969">
        <v>5</v>
      </c>
      <c r="H969" t="s">
        <v>20</v>
      </c>
      <c r="I969">
        <v>0</v>
      </c>
      <c r="J969" t="s">
        <v>21</v>
      </c>
      <c r="K969" t="s">
        <v>22</v>
      </c>
      <c r="L969">
        <v>3053.12</v>
      </c>
    </row>
    <row r="970" spans="1:12" x14ac:dyDescent="0.25">
      <c r="A970" t="s">
        <v>997</v>
      </c>
      <c r="B970">
        <v>35</v>
      </c>
      <c r="C970" t="s">
        <v>24</v>
      </c>
      <c r="D970" t="s">
        <v>28</v>
      </c>
      <c r="E970" s="2">
        <v>45792</v>
      </c>
      <c r="F970" s="2">
        <v>45794</v>
      </c>
      <c r="G970">
        <v>2</v>
      </c>
      <c r="H970" t="s">
        <v>15</v>
      </c>
      <c r="I970">
        <v>26</v>
      </c>
      <c r="J970" t="s">
        <v>16</v>
      </c>
      <c r="K970" t="s">
        <v>47</v>
      </c>
      <c r="L970">
        <v>14073.65</v>
      </c>
    </row>
    <row r="971" spans="1:12" x14ac:dyDescent="0.25">
      <c r="A971" t="s">
        <v>998</v>
      </c>
      <c r="B971">
        <v>65</v>
      </c>
      <c r="C971" t="s">
        <v>13</v>
      </c>
      <c r="D971" t="s">
        <v>34</v>
      </c>
      <c r="E971" s="2">
        <v>45814</v>
      </c>
      <c r="F971" s="2">
        <v>45822</v>
      </c>
      <c r="G971">
        <v>8</v>
      </c>
      <c r="H971" t="s">
        <v>15</v>
      </c>
      <c r="I971">
        <v>26</v>
      </c>
      <c r="J971" t="s">
        <v>29</v>
      </c>
      <c r="K971" t="s">
        <v>17</v>
      </c>
      <c r="L971">
        <v>1447.97</v>
      </c>
    </row>
    <row r="972" spans="1:12" x14ac:dyDescent="0.25">
      <c r="A972" t="s">
        <v>999</v>
      </c>
      <c r="B972">
        <v>42</v>
      </c>
      <c r="C972" t="s">
        <v>24</v>
      </c>
      <c r="D972" t="s">
        <v>28</v>
      </c>
      <c r="E972" s="2">
        <v>45731</v>
      </c>
      <c r="F972" s="2">
        <v>45734</v>
      </c>
      <c r="G972">
        <v>3</v>
      </c>
      <c r="H972" t="s">
        <v>20</v>
      </c>
      <c r="I972">
        <v>0</v>
      </c>
      <c r="J972" t="s">
        <v>25</v>
      </c>
      <c r="K972" t="s">
        <v>47</v>
      </c>
      <c r="L972">
        <v>9193.4599999999991</v>
      </c>
    </row>
    <row r="973" spans="1:12" x14ac:dyDescent="0.25">
      <c r="A973" t="s">
        <v>1000</v>
      </c>
      <c r="B973">
        <v>42</v>
      </c>
      <c r="C973" t="s">
        <v>24</v>
      </c>
      <c r="D973" t="s">
        <v>14</v>
      </c>
      <c r="E973" s="2">
        <v>45983</v>
      </c>
      <c r="F973" s="2">
        <v>45987</v>
      </c>
      <c r="G973">
        <v>4</v>
      </c>
      <c r="H973" t="s">
        <v>20</v>
      </c>
      <c r="I973">
        <v>0</v>
      </c>
      <c r="J973" t="s">
        <v>25</v>
      </c>
      <c r="K973" t="s">
        <v>22</v>
      </c>
      <c r="L973">
        <v>1272.26</v>
      </c>
    </row>
    <row r="974" spans="1:12" x14ac:dyDescent="0.25">
      <c r="A974" t="s">
        <v>1001</v>
      </c>
      <c r="B974">
        <v>83</v>
      </c>
      <c r="C974" t="s">
        <v>24</v>
      </c>
      <c r="D974" t="s">
        <v>14</v>
      </c>
      <c r="E974" s="2">
        <v>45801</v>
      </c>
      <c r="F974" s="2">
        <v>45815</v>
      </c>
      <c r="G974">
        <v>14</v>
      </c>
      <c r="H974" t="s">
        <v>15</v>
      </c>
      <c r="I974">
        <v>24</v>
      </c>
      <c r="J974" t="s">
        <v>16</v>
      </c>
      <c r="K974" t="s">
        <v>47</v>
      </c>
      <c r="L974">
        <v>11969.46</v>
      </c>
    </row>
    <row r="975" spans="1:12" x14ac:dyDescent="0.25">
      <c r="A975" t="s">
        <v>1002</v>
      </c>
      <c r="B975">
        <v>67</v>
      </c>
      <c r="C975" t="s">
        <v>24</v>
      </c>
      <c r="D975" t="s">
        <v>40</v>
      </c>
      <c r="E975" s="2">
        <v>45972</v>
      </c>
      <c r="F975" s="2">
        <v>45974</v>
      </c>
      <c r="G975">
        <v>2</v>
      </c>
      <c r="H975" t="s">
        <v>15</v>
      </c>
      <c r="I975">
        <v>17</v>
      </c>
      <c r="J975" t="s">
        <v>29</v>
      </c>
      <c r="K975" t="s">
        <v>22</v>
      </c>
      <c r="L975">
        <v>5166.4399999999996</v>
      </c>
    </row>
    <row r="976" spans="1:12" x14ac:dyDescent="0.25">
      <c r="A976" t="s">
        <v>1003</v>
      </c>
      <c r="B976">
        <v>81</v>
      </c>
      <c r="C976" t="s">
        <v>24</v>
      </c>
      <c r="D976" t="s">
        <v>32</v>
      </c>
      <c r="E976" s="2">
        <v>45849</v>
      </c>
      <c r="F976" s="2">
        <v>45858</v>
      </c>
      <c r="G976">
        <v>9</v>
      </c>
      <c r="H976" t="s">
        <v>20</v>
      </c>
      <c r="I976">
        <v>0</v>
      </c>
      <c r="J976" t="s">
        <v>29</v>
      </c>
      <c r="K976" t="s">
        <v>17</v>
      </c>
      <c r="L976">
        <v>13857.19</v>
      </c>
    </row>
    <row r="977" spans="1:12" x14ac:dyDescent="0.25">
      <c r="A977" t="s">
        <v>1004</v>
      </c>
      <c r="B977">
        <v>46</v>
      </c>
      <c r="C977" t="s">
        <v>13</v>
      </c>
      <c r="D977" t="s">
        <v>40</v>
      </c>
      <c r="E977" s="2">
        <v>45956</v>
      </c>
      <c r="F977" s="2">
        <v>45967</v>
      </c>
      <c r="G977">
        <v>11</v>
      </c>
      <c r="H977" t="s">
        <v>15</v>
      </c>
      <c r="I977">
        <v>28</v>
      </c>
      <c r="J977" t="s">
        <v>21</v>
      </c>
      <c r="K977" t="s">
        <v>47</v>
      </c>
      <c r="L977">
        <v>3669.61</v>
      </c>
    </row>
    <row r="978" spans="1:12" x14ac:dyDescent="0.25">
      <c r="A978" t="s">
        <v>1005</v>
      </c>
      <c r="B978">
        <v>65</v>
      </c>
      <c r="C978" t="s">
        <v>24</v>
      </c>
      <c r="D978" t="s">
        <v>34</v>
      </c>
      <c r="E978" s="2">
        <v>45875</v>
      </c>
      <c r="F978" s="2">
        <v>45882</v>
      </c>
      <c r="G978">
        <v>7</v>
      </c>
      <c r="H978" t="s">
        <v>20</v>
      </c>
      <c r="I978">
        <v>0</v>
      </c>
      <c r="J978" t="s">
        <v>16</v>
      </c>
      <c r="K978" t="s">
        <v>22</v>
      </c>
      <c r="L978">
        <v>11398.53</v>
      </c>
    </row>
    <row r="979" spans="1:12" x14ac:dyDescent="0.25">
      <c r="A979" t="s">
        <v>1006</v>
      </c>
      <c r="B979">
        <v>47</v>
      </c>
      <c r="C979" t="s">
        <v>13</v>
      </c>
      <c r="D979" t="s">
        <v>40</v>
      </c>
      <c r="E979" s="2">
        <v>45809</v>
      </c>
      <c r="F979" s="2">
        <v>45817</v>
      </c>
      <c r="G979">
        <v>8</v>
      </c>
      <c r="H979" t="s">
        <v>20</v>
      </c>
      <c r="I979">
        <v>0</v>
      </c>
      <c r="J979" t="s">
        <v>25</v>
      </c>
      <c r="K979" t="s">
        <v>47</v>
      </c>
      <c r="L979">
        <v>7041.69</v>
      </c>
    </row>
    <row r="980" spans="1:12" x14ac:dyDescent="0.25">
      <c r="A980" t="s">
        <v>1007</v>
      </c>
      <c r="B980">
        <v>81</v>
      </c>
      <c r="C980" t="s">
        <v>24</v>
      </c>
      <c r="D980" t="s">
        <v>32</v>
      </c>
      <c r="E980" s="2">
        <v>45879</v>
      </c>
      <c r="F980" s="2">
        <v>45886</v>
      </c>
      <c r="G980">
        <v>7</v>
      </c>
      <c r="H980" t="s">
        <v>20</v>
      </c>
      <c r="I980">
        <v>0</v>
      </c>
      <c r="J980" t="s">
        <v>29</v>
      </c>
      <c r="K980" t="s">
        <v>22</v>
      </c>
      <c r="L980">
        <v>3103.7</v>
      </c>
    </row>
    <row r="981" spans="1:12" x14ac:dyDescent="0.25">
      <c r="A981" t="s">
        <v>1008</v>
      </c>
      <c r="B981">
        <v>63</v>
      </c>
      <c r="C981" t="s">
        <v>13</v>
      </c>
      <c r="D981" t="s">
        <v>32</v>
      </c>
      <c r="E981" s="2">
        <v>45777</v>
      </c>
      <c r="F981" s="2">
        <v>45782</v>
      </c>
      <c r="G981">
        <v>5</v>
      </c>
      <c r="H981" t="s">
        <v>20</v>
      </c>
      <c r="I981">
        <v>0</v>
      </c>
      <c r="J981" t="s">
        <v>16</v>
      </c>
      <c r="K981" t="s">
        <v>47</v>
      </c>
      <c r="L981">
        <v>13935.79</v>
      </c>
    </row>
    <row r="982" spans="1:12" x14ac:dyDescent="0.25">
      <c r="A982" t="s">
        <v>1009</v>
      </c>
      <c r="B982">
        <v>22</v>
      </c>
      <c r="C982" t="s">
        <v>13</v>
      </c>
      <c r="D982" t="s">
        <v>32</v>
      </c>
      <c r="E982" s="2">
        <v>45708</v>
      </c>
      <c r="F982" s="2">
        <v>45710</v>
      </c>
      <c r="G982">
        <v>2</v>
      </c>
      <c r="H982" t="s">
        <v>15</v>
      </c>
      <c r="I982">
        <v>7</v>
      </c>
      <c r="J982" t="s">
        <v>25</v>
      </c>
      <c r="K982" t="s">
        <v>47</v>
      </c>
      <c r="L982">
        <v>4889.38</v>
      </c>
    </row>
    <row r="983" spans="1:12" x14ac:dyDescent="0.25">
      <c r="A983" t="s">
        <v>1010</v>
      </c>
      <c r="B983">
        <v>35</v>
      </c>
      <c r="C983" t="s">
        <v>24</v>
      </c>
      <c r="D983" t="s">
        <v>19</v>
      </c>
      <c r="E983" s="2">
        <v>46007</v>
      </c>
      <c r="F983" s="2">
        <v>46021</v>
      </c>
      <c r="G983">
        <v>14</v>
      </c>
      <c r="H983" t="s">
        <v>15</v>
      </c>
      <c r="I983">
        <v>25</v>
      </c>
      <c r="J983" t="s">
        <v>25</v>
      </c>
      <c r="K983" t="s">
        <v>47</v>
      </c>
      <c r="L983">
        <v>12423.48</v>
      </c>
    </row>
    <row r="984" spans="1:12" x14ac:dyDescent="0.25">
      <c r="A984" t="s">
        <v>1011</v>
      </c>
      <c r="B984">
        <v>19</v>
      </c>
      <c r="C984" t="s">
        <v>24</v>
      </c>
      <c r="D984" t="s">
        <v>28</v>
      </c>
      <c r="E984" s="2">
        <v>45864</v>
      </c>
      <c r="F984" s="2">
        <v>45871</v>
      </c>
      <c r="G984">
        <v>7</v>
      </c>
      <c r="H984" t="s">
        <v>20</v>
      </c>
      <c r="I984">
        <v>0</v>
      </c>
      <c r="J984" t="s">
        <v>21</v>
      </c>
      <c r="K984" t="s">
        <v>47</v>
      </c>
      <c r="L984">
        <v>3799.89</v>
      </c>
    </row>
    <row r="985" spans="1:12" x14ac:dyDescent="0.25">
      <c r="A985" t="s">
        <v>1012</v>
      </c>
      <c r="B985">
        <v>88</v>
      </c>
      <c r="C985" t="s">
        <v>24</v>
      </c>
      <c r="D985" t="s">
        <v>28</v>
      </c>
      <c r="E985" s="2">
        <v>45765</v>
      </c>
      <c r="F985" s="2">
        <v>45773</v>
      </c>
      <c r="G985">
        <v>8</v>
      </c>
      <c r="H985" t="s">
        <v>15</v>
      </c>
      <c r="I985">
        <v>27</v>
      </c>
      <c r="J985" t="s">
        <v>29</v>
      </c>
      <c r="K985" t="s">
        <v>47</v>
      </c>
      <c r="L985">
        <v>11982.77</v>
      </c>
    </row>
    <row r="986" spans="1:12" x14ac:dyDescent="0.25">
      <c r="A986" t="s">
        <v>1013</v>
      </c>
      <c r="B986">
        <v>71</v>
      </c>
      <c r="C986" t="s">
        <v>13</v>
      </c>
      <c r="D986" t="s">
        <v>40</v>
      </c>
      <c r="E986" s="2">
        <v>45818</v>
      </c>
      <c r="F986" s="2">
        <v>45832</v>
      </c>
      <c r="G986">
        <v>14</v>
      </c>
      <c r="H986" t="s">
        <v>15</v>
      </c>
      <c r="I986">
        <v>15</v>
      </c>
      <c r="J986" t="s">
        <v>16</v>
      </c>
      <c r="K986" t="s">
        <v>47</v>
      </c>
      <c r="L986">
        <v>2514.7800000000002</v>
      </c>
    </row>
    <row r="987" spans="1:12" x14ac:dyDescent="0.25">
      <c r="A987" t="s">
        <v>1014</v>
      </c>
      <c r="B987">
        <v>19</v>
      </c>
      <c r="C987" t="s">
        <v>24</v>
      </c>
      <c r="D987" t="s">
        <v>28</v>
      </c>
      <c r="E987" s="2">
        <v>45723</v>
      </c>
      <c r="F987" s="2">
        <v>45728</v>
      </c>
      <c r="G987">
        <v>5</v>
      </c>
      <c r="H987" t="s">
        <v>20</v>
      </c>
      <c r="I987">
        <v>0</v>
      </c>
      <c r="J987" t="s">
        <v>25</v>
      </c>
      <c r="K987" t="s">
        <v>47</v>
      </c>
      <c r="L987">
        <v>3769.61</v>
      </c>
    </row>
    <row r="988" spans="1:12" x14ac:dyDescent="0.25">
      <c r="A988" t="s">
        <v>1015</v>
      </c>
      <c r="B988">
        <v>86</v>
      </c>
      <c r="C988" t="s">
        <v>24</v>
      </c>
      <c r="D988" t="s">
        <v>32</v>
      </c>
      <c r="E988" s="2">
        <v>45875</v>
      </c>
      <c r="F988" s="2">
        <v>45886</v>
      </c>
      <c r="G988">
        <v>11</v>
      </c>
      <c r="H988" t="s">
        <v>20</v>
      </c>
      <c r="I988">
        <v>0</v>
      </c>
      <c r="J988" t="s">
        <v>16</v>
      </c>
      <c r="K988" t="s">
        <v>17</v>
      </c>
      <c r="L988">
        <v>11887.69</v>
      </c>
    </row>
    <row r="989" spans="1:12" x14ac:dyDescent="0.25">
      <c r="A989" t="s">
        <v>1016</v>
      </c>
      <c r="B989">
        <v>60</v>
      </c>
      <c r="C989" t="s">
        <v>24</v>
      </c>
      <c r="D989" t="s">
        <v>40</v>
      </c>
      <c r="E989" s="2">
        <v>45729</v>
      </c>
      <c r="F989" s="2">
        <v>45732</v>
      </c>
      <c r="G989">
        <v>3</v>
      </c>
      <c r="H989" t="s">
        <v>20</v>
      </c>
      <c r="I989">
        <v>0</v>
      </c>
      <c r="J989" t="s">
        <v>21</v>
      </c>
      <c r="K989" t="s">
        <v>47</v>
      </c>
      <c r="L989">
        <v>1423.78</v>
      </c>
    </row>
    <row r="990" spans="1:12" x14ac:dyDescent="0.25">
      <c r="A990" t="s">
        <v>1017</v>
      </c>
      <c r="B990">
        <v>60</v>
      </c>
      <c r="C990" t="s">
        <v>24</v>
      </c>
      <c r="D990" t="s">
        <v>28</v>
      </c>
      <c r="E990" s="2">
        <v>45855</v>
      </c>
      <c r="F990" s="2">
        <v>45859</v>
      </c>
      <c r="G990">
        <v>4</v>
      </c>
      <c r="H990" t="s">
        <v>20</v>
      </c>
      <c r="I990">
        <v>0</v>
      </c>
      <c r="J990" t="s">
        <v>25</v>
      </c>
      <c r="K990" t="s">
        <v>22</v>
      </c>
      <c r="L990">
        <v>2985.64</v>
      </c>
    </row>
    <row r="991" spans="1:12" x14ac:dyDescent="0.25">
      <c r="A991" t="s">
        <v>1018</v>
      </c>
      <c r="B991">
        <v>80</v>
      </c>
      <c r="C991" t="s">
        <v>13</v>
      </c>
      <c r="D991" t="s">
        <v>14</v>
      </c>
      <c r="E991" s="2">
        <v>46003</v>
      </c>
      <c r="F991" s="2">
        <v>46012</v>
      </c>
      <c r="G991">
        <v>9</v>
      </c>
      <c r="H991" t="s">
        <v>15</v>
      </c>
      <c r="I991">
        <v>7</v>
      </c>
      <c r="J991" t="s">
        <v>16</v>
      </c>
      <c r="K991" t="s">
        <v>47</v>
      </c>
      <c r="L991">
        <v>4615.3599999999997</v>
      </c>
    </row>
    <row r="992" spans="1:12" x14ac:dyDescent="0.25">
      <c r="A992" t="s">
        <v>1019</v>
      </c>
      <c r="B992">
        <v>26</v>
      </c>
      <c r="C992" t="s">
        <v>24</v>
      </c>
      <c r="D992" t="s">
        <v>19</v>
      </c>
      <c r="E992" s="2">
        <v>45777</v>
      </c>
      <c r="F992" s="2">
        <v>45782</v>
      </c>
      <c r="G992">
        <v>5</v>
      </c>
      <c r="H992" t="s">
        <v>20</v>
      </c>
      <c r="I992">
        <v>0</v>
      </c>
      <c r="J992" t="s">
        <v>25</v>
      </c>
      <c r="K992" t="s">
        <v>17</v>
      </c>
      <c r="L992">
        <v>660.18</v>
      </c>
    </row>
    <row r="993" spans="1:12" x14ac:dyDescent="0.25">
      <c r="A993" t="s">
        <v>1020</v>
      </c>
      <c r="B993">
        <v>68</v>
      </c>
      <c r="C993" t="s">
        <v>13</v>
      </c>
      <c r="D993" t="s">
        <v>19</v>
      </c>
      <c r="E993" s="2">
        <v>45825</v>
      </c>
      <c r="F993" s="2">
        <v>45839</v>
      </c>
      <c r="G993">
        <v>14</v>
      </c>
      <c r="H993" t="s">
        <v>20</v>
      </c>
      <c r="I993">
        <v>0</v>
      </c>
      <c r="J993" t="s">
        <v>21</v>
      </c>
      <c r="K993" t="s">
        <v>17</v>
      </c>
      <c r="L993">
        <v>6566.99</v>
      </c>
    </row>
    <row r="994" spans="1:12" x14ac:dyDescent="0.25">
      <c r="A994" t="s">
        <v>1021</v>
      </c>
      <c r="B994">
        <v>44</v>
      </c>
      <c r="C994" t="s">
        <v>13</v>
      </c>
      <c r="D994" t="s">
        <v>14</v>
      </c>
      <c r="E994" s="2">
        <v>45693</v>
      </c>
      <c r="F994" s="2">
        <v>45700</v>
      </c>
      <c r="G994">
        <v>7</v>
      </c>
      <c r="H994" t="s">
        <v>20</v>
      </c>
      <c r="I994">
        <v>0</v>
      </c>
      <c r="J994" t="s">
        <v>25</v>
      </c>
      <c r="K994" t="s">
        <v>47</v>
      </c>
      <c r="L994">
        <v>12359.49</v>
      </c>
    </row>
    <row r="995" spans="1:12" x14ac:dyDescent="0.25">
      <c r="A995" t="s">
        <v>1022</v>
      </c>
      <c r="B995">
        <v>57</v>
      </c>
      <c r="C995" t="s">
        <v>13</v>
      </c>
      <c r="D995" t="s">
        <v>34</v>
      </c>
      <c r="E995" s="2">
        <v>45998</v>
      </c>
      <c r="F995" s="2">
        <v>46006</v>
      </c>
      <c r="G995">
        <v>8</v>
      </c>
      <c r="H995" t="s">
        <v>15</v>
      </c>
      <c r="I995">
        <v>23</v>
      </c>
      <c r="J995" t="s">
        <v>29</v>
      </c>
      <c r="K995" t="s">
        <v>47</v>
      </c>
      <c r="L995">
        <v>3424.69</v>
      </c>
    </row>
    <row r="996" spans="1:12" x14ac:dyDescent="0.25">
      <c r="A996" t="s">
        <v>1023</v>
      </c>
      <c r="B996">
        <v>69</v>
      </c>
      <c r="C996" t="s">
        <v>13</v>
      </c>
      <c r="D996" t="s">
        <v>34</v>
      </c>
      <c r="E996" s="2">
        <v>45731</v>
      </c>
      <c r="F996" s="2">
        <v>45739</v>
      </c>
      <c r="G996">
        <v>8</v>
      </c>
      <c r="H996" t="s">
        <v>15</v>
      </c>
      <c r="I996">
        <v>11</v>
      </c>
      <c r="J996" t="s">
        <v>29</v>
      </c>
      <c r="K996" t="s">
        <v>47</v>
      </c>
      <c r="L996">
        <v>7209.08</v>
      </c>
    </row>
    <row r="997" spans="1:12" x14ac:dyDescent="0.25">
      <c r="A997" t="s">
        <v>1024</v>
      </c>
      <c r="B997">
        <v>76</v>
      </c>
      <c r="C997" t="s">
        <v>24</v>
      </c>
      <c r="D997" t="s">
        <v>28</v>
      </c>
      <c r="E997" s="2">
        <v>45678</v>
      </c>
      <c r="F997" s="2">
        <v>45690</v>
      </c>
      <c r="G997">
        <v>12</v>
      </c>
      <c r="H997" t="s">
        <v>15</v>
      </c>
      <c r="I997">
        <v>27</v>
      </c>
      <c r="J997" t="s">
        <v>25</v>
      </c>
      <c r="K997" t="s">
        <v>47</v>
      </c>
      <c r="L997">
        <v>9388.9</v>
      </c>
    </row>
    <row r="998" spans="1:12" x14ac:dyDescent="0.25">
      <c r="A998" t="s">
        <v>1025</v>
      </c>
      <c r="B998">
        <v>73</v>
      </c>
      <c r="C998" t="s">
        <v>24</v>
      </c>
      <c r="D998" t="s">
        <v>40</v>
      </c>
      <c r="E998" s="2">
        <v>45747</v>
      </c>
      <c r="F998" s="2">
        <v>45754</v>
      </c>
      <c r="G998">
        <v>7</v>
      </c>
      <c r="H998" t="s">
        <v>15</v>
      </c>
      <c r="I998">
        <v>30</v>
      </c>
      <c r="J998" t="s">
        <v>21</v>
      </c>
      <c r="K998" t="s">
        <v>17</v>
      </c>
      <c r="L998">
        <v>8744.92</v>
      </c>
    </row>
    <row r="999" spans="1:12" x14ac:dyDescent="0.25">
      <c r="A999" t="s">
        <v>1026</v>
      </c>
      <c r="B999">
        <v>48</v>
      </c>
      <c r="C999" t="s">
        <v>13</v>
      </c>
      <c r="D999" t="s">
        <v>32</v>
      </c>
      <c r="E999" s="2">
        <v>45859</v>
      </c>
      <c r="F999" s="2">
        <v>45871</v>
      </c>
      <c r="G999">
        <v>12</v>
      </c>
      <c r="H999" t="s">
        <v>20</v>
      </c>
      <c r="I999">
        <v>0</v>
      </c>
      <c r="J999" t="s">
        <v>25</v>
      </c>
      <c r="K999" t="s">
        <v>17</v>
      </c>
      <c r="L999">
        <v>13786.3</v>
      </c>
    </row>
    <row r="1000" spans="1:12" x14ac:dyDescent="0.25">
      <c r="A1000" t="s">
        <v>1027</v>
      </c>
      <c r="B1000">
        <v>45</v>
      </c>
      <c r="C1000" t="s">
        <v>24</v>
      </c>
      <c r="D1000" t="s">
        <v>40</v>
      </c>
      <c r="E1000" s="2">
        <v>46015</v>
      </c>
      <c r="F1000" s="2">
        <v>46027</v>
      </c>
      <c r="G1000">
        <v>12</v>
      </c>
      <c r="H1000" t="s">
        <v>20</v>
      </c>
      <c r="I1000">
        <v>0</v>
      </c>
      <c r="J1000" t="s">
        <v>16</v>
      </c>
      <c r="K1000" t="s">
        <v>47</v>
      </c>
      <c r="L1000">
        <v>1609.74</v>
      </c>
    </row>
    <row r="1001" spans="1:12" x14ac:dyDescent="0.25">
      <c r="A1001" t="s">
        <v>1028</v>
      </c>
      <c r="B1001">
        <v>59</v>
      </c>
      <c r="C1001" t="s">
        <v>24</v>
      </c>
      <c r="D1001" t="s">
        <v>40</v>
      </c>
      <c r="E1001" s="2">
        <v>45711</v>
      </c>
      <c r="F1001" s="2">
        <v>45720</v>
      </c>
      <c r="G1001">
        <v>9</v>
      </c>
      <c r="H1001" t="s">
        <v>20</v>
      </c>
      <c r="I1001">
        <v>0</v>
      </c>
      <c r="J1001" t="s">
        <v>21</v>
      </c>
      <c r="K1001" t="s">
        <v>47</v>
      </c>
      <c r="L1001">
        <v>3506.9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Cleaned Readmission_Data</vt:lpstr>
      <vt:lpstr>Hospital readmission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Ujunwa Ezeanochie</cp:lastModifiedBy>
  <dcterms:created xsi:type="dcterms:W3CDTF">2026-06-02T05:03:23Z</dcterms:created>
  <dcterms:modified xsi:type="dcterms:W3CDTF">2026-06-15T20:17:44Z</dcterms:modified>
</cp:coreProperties>
</file>